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"/>
    </mc:Choice>
  </mc:AlternateContent>
  <xr:revisionPtr revIDLastSave="0" documentId="13_ncr:1_{0AADF95C-7DE6-4DCD-8803-AC85C3D50F8D}" xr6:coauthVersionLast="44" xr6:coauthVersionMax="44" xr10:uidLastSave="{00000000-0000-0000-0000-000000000000}"/>
  <bookViews>
    <workbookView xWindow="360" yWindow="1965" windowWidth="18120" windowHeight="11025" firstSheet="6" activeTab="9" xr2:uid="{0B3A10A0-3D16-438E-9705-ED94D05497C8}"/>
  </bookViews>
  <sheets>
    <sheet name="GDS_Monthly" sheetId="1" r:id="rId1"/>
    <sheet name="Bloomberg" sheetId="12" r:id="rId2"/>
    <sheet name="OECD" sheetId="9" r:id="rId3"/>
    <sheet name="GDS_Quarterly" sheetId="2" r:id="rId4"/>
    <sheet name="Sheet1" sheetId="6" r:id="rId5"/>
    <sheet name="Commodity_Prices" sheetId="3" r:id="rId6"/>
    <sheet name="Monthly Haver" sheetId="5" r:id="rId7"/>
    <sheet name="Quarterly Haver" sheetId="7" r:id="rId8"/>
    <sheet name="Monthly" sheetId="8" r:id="rId9"/>
    <sheet name="Quarterly" sheetId="10" r:id="rId10"/>
    <sheet name="data" sheetId="11" r:id="rId11"/>
  </sheets>
  <definedNames>
    <definedName name="_DLX1.USE">#REF!</definedName>
    <definedName name="_DLX2.USE">'Monthly Haver'!$1:$4</definedName>
    <definedName name="_DLX3.USE">'Quarterly Haver'!$A$1:$W$3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53" i="11" l="1"/>
  <c r="AF190" i="11"/>
  <c r="AF193" i="11"/>
  <c r="AF196" i="11"/>
  <c r="AF199" i="11"/>
  <c r="AF202" i="11"/>
  <c r="AF205" i="11"/>
  <c r="AF208" i="11"/>
  <c r="AF211" i="11"/>
  <c r="AF214" i="11"/>
  <c r="AF217" i="11"/>
  <c r="AF220" i="11"/>
  <c r="AF223" i="11"/>
  <c r="AF226" i="11"/>
  <c r="AF229" i="11"/>
  <c r="AF232" i="11"/>
  <c r="AF235" i="11"/>
  <c r="AF238" i="11"/>
  <c r="AF241" i="11"/>
  <c r="AF244" i="11"/>
  <c r="AF247" i="11"/>
  <c r="AF250" i="11"/>
  <c r="AF253" i="11"/>
  <c r="AF187" i="11"/>
  <c r="B254" i="11"/>
  <c r="C254" i="11"/>
  <c r="D254" i="11"/>
  <c r="E254" i="11"/>
  <c r="F254" i="11"/>
  <c r="G254" i="11"/>
  <c r="H254" i="11"/>
  <c r="I254" i="11"/>
  <c r="J254" i="11"/>
  <c r="K254" i="11"/>
  <c r="L254" i="11"/>
  <c r="N254" i="11"/>
  <c r="O254" i="11"/>
  <c r="P254" i="11"/>
  <c r="Q254" i="11"/>
  <c r="R254" i="11"/>
  <c r="S254" i="11"/>
  <c r="T254" i="11"/>
  <c r="U254" i="11"/>
  <c r="V254" i="11"/>
  <c r="W254" i="11"/>
  <c r="X254" i="11"/>
  <c r="Z254" i="11"/>
  <c r="AA254" i="11"/>
  <c r="AB254" i="11"/>
  <c r="B255" i="11"/>
  <c r="C255" i="11"/>
  <c r="D255" i="11"/>
  <c r="E255" i="11"/>
  <c r="F255" i="11"/>
  <c r="G255" i="11"/>
  <c r="H255" i="11"/>
  <c r="N255" i="11"/>
  <c r="O255" i="11"/>
  <c r="P255" i="11"/>
  <c r="Q255" i="11"/>
  <c r="R255" i="11"/>
  <c r="S255" i="11"/>
  <c r="T255" i="11"/>
  <c r="U255" i="11"/>
  <c r="V255" i="11"/>
  <c r="W255" i="11"/>
  <c r="X255" i="11"/>
  <c r="Z255" i="11"/>
  <c r="AA255" i="11"/>
  <c r="AB255" i="11"/>
  <c r="P256" i="11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255" i="9" l="1"/>
  <c r="B252" i="11" l="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F62" i="12"/>
  <c r="F63" i="12"/>
  <c r="A254" i="9" l="1"/>
  <c r="B18" i="12"/>
  <c r="C17" i="12"/>
  <c r="D85" i="10" l="1"/>
  <c r="B84" i="10" l="1"/>
  <c r="AC250" i="11" s="1"/>
  <c r="C84" i="10"/>
  <c r="AD250" i="11" s="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252" i="9" l="1"/>
  <c r="A253" i="9"/>
  <c r="B248" i="11" l="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D84" i="10" l="1"/>
  <c r="AE250" i="11" s="1"/>
  <c r="A252" i="8"/>
  <c r="M249" i="8" l="1"/>
  <c r="M248" i="8"/>
  <c r="A251" i="9" l="1"/>
  <c r="A251" i="8"/>
  <c r="C83" i="10" l="1"/>
  <c r="AD247" i="11" s="1"/>
  <c r="B83" i="10"/>
  <c r="AC247" i="11" s="1"/>
  <c r="B248" i="8"/>
  <c r="C248" i="8"/>
  <c r="D248" i="8"/>
  <c r="E248" i="8"/>
  <c r="F248" i="8"/>
  <c r="G248" i="8"/>
  <c r="H248" i="8"/>
  <c r="I248" i="8"/>
  <c r="J248" i="8"/>
  <c r="K248" i="8"/>
  <c r="L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B249" i="8"/>
  <c r="C249" i="8"/>
  <c r="D249" i="8"/>
  <c r="E249" i="8"/>
  <c r="F249" i="8"/>
  <c r="G249" i="8"/>
  <c r="H249" i="8"/>
  <c r="I249" i="8"/>
  <c r="J249" i="8"/>
  <c r="K249" i="8"/>
  <c r="L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249" i="9" l="1"/>
  <c r="A250" i="9"/>
  <c r="A250" i="8"/>
  <c r="A249" i="8" l="1"/>
  <c r="M247" i="11" l="1"/>
  <c r="B245" i="11" l="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B247" i="11"/>
  <c r="C247" i="11"/>
  <c r="D247" i="11"/>
  <c r="E247" i="11"/>
  <c r="F247" i="11"/>
  <c r="G247" i="11"/>
  <c r="H247" i="11"/>
  <c r="I247" i="11"/>
  <c r="J247" i="11"/>
  <c r="K247" i="11"/>
  <c r="L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D83" i="10"/>
  <c r="AE247" i="11" s="1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248" i="8"/>
  <c r="A248" i="9"/>
  <c r="Z3" i="11" l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" i="11"/>
  <c r="B82" i="10"/>
  <c r="AC244" i="11" s="1"/>
  <c r="C82" i="10"/>
  <c r="AD244" i="11" s="1"/>
  <c r="D82" i="10"/>
  <c r="AE244" i="11" s="1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" i="8"/>
  <c r="Y244" i="8"/>
  <c r="A246" i="8"/>
  <c r="A247" i="8"/>
  <c r="A246" i="9"/>
  <c r="A247" i="9"/>
  <c r="Y244" i="11" l="1"/>
  <c r="A245" i="9"/>
  <c r="AA244" i="11" l="1"/>
  <c r="AB244" i="11" l="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" i="11"/>
  <c r="Y243" i="8" l="1"/>
  <c r="X244" i="8"/>
  <c r="W244" i="8"/>
  <c r="V244" i="8"/>
  <c r="U244" i="8"/>
  <c r="T244" i="8"/>
  <c r="S244" i="8"/>
  <c r="R244" i="8"/>
  <c r="Q244" i="8"/>
  <c r="O244" i="8"/>
  <c r="M242" i="8"/>
  <c r="M243" i="8"/>
  <c r="M244" i="8"/>
  <c r="L244" i="8"/>
  <c r="K244" i="8"/>
  <c r="J244" i="8"/>
  <c r="I243" i="8"/>
  <c r="I244" i="8"/>
  <c r="H244" i="8"/>
  <c r="A245" i="8"/>
  <c r="B81" i="10" l="1"/>
  <c r="AC241" i="11" s="1"/>
  <c r="C81" i="10"/>
  <c r="AD241" i="11" s="1"/>
  <c r="Y243" i="11"/>
  <c r="X244" i="11" l="1"/>
  <c r="W244" i="11"/>
  <c r="V244" i="11"/>
  <c r="U244" i="11"/>
  <c r="T244" i="11"/>
  <c r="S244" i="11"/>
  <c r="R244" i="11"/>
  <c r="Q244" i="11"/>
  <c r="O244" i="11"/>
  <c r="M242" i="11"/>
  <c r="M243" i="11"/>
  <c r="M244" i="11"/>
  <c r="L244" i="11"/>
  <c r="K244" i="11"/>
  <c r="J244" i="11"/>
  <c r="H244" i="11"/>
  <c r="I243" i="11"/>
  <c r="I244" i="11"/>
  <c r="D7" i="11" l="1"/>
  <c r="P244" i="11"/>
  <c r="N244" i="11"/>
  <c r="G244" i="11"/>
  <c r="F244" i="11"/>
  <c r="E244" i="11"/>
  <c r="D244" i="11"/>
  <c r="C244" i="11"/>
  <c r="B244" i="11"/>
  <c r="AA243" i="11"/>
  <c r="X243" i="11"/>
  <c r="W243" i="11"/>
  <c r="V243" i="11"/>
  <c r="U243" i="11"/>
  <c r="T243" i="11"/>
  <c r="S243" i="11"/>
  <c r="R243" i="11"/>
  <c r="Q243" i="11"/>
  <c r="P243" i="11"/>
  <c r="O243" i="11"/>
  <c r="N243" i="11"/>
  <c r="L243" i="11"/>
  <c r="K243" i="11"/>
  <c r="J243" i="11"/>
  <c r="H243" i="11"/>
  <c r="G243" i="11"/>
  <c r="F243" i="11"/>
  <c r="E243" i="11"/>
  <c r="D243" i="11"/>
  <c r="C243" i="11"/>
  <c r="B243" i="11"/>
  <c r="AA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B242" i="11"/>
  <c r="AA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A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A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A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A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A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A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A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A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A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A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A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A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A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A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A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A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A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A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A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A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A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A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A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A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A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A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A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A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A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A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A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A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A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A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A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A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A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A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A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A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A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A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A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A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A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A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A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A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A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A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A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A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A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A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A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A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A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A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A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A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A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A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A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A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A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A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A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A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A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A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A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A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A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A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A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A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A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A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A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A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A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A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A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A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A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A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A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A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A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A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A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A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A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A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A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A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A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A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A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A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A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A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A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A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A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A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A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A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A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A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A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A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A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A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A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A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A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A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A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A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A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A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A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A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A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A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A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A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A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A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A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A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A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A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A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A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A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A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A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A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A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A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A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A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A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A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A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A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A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A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A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A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A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A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A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A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A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A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A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A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A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A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A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A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A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A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A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A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A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A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A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A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A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A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A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A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A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A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A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A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A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A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A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A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A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A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A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A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A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A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A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A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A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A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A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A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A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A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A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A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A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A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A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A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A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A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A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A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A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A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A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A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A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A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A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A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A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A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A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A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A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A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A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A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A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A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A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A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A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A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A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A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A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A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C7" i="11"/>
  <c r="B7" i="11"/>
  <c r="AA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A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A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A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A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D81" i="10"/>
  <c r="AE241" i="11" s="1"/>
  <c r="D80" i="10"/>
  <c r="AE238" i="11" s="1"/>
  <c r="D79" i="10"/>
  <c r="AE235" i="11" s="1"/>
  <c r="D78" i="10"/>
  <c r="AE232" i="11" s="1"/>
  <c r="D77" i="10"/>
  <c r="AE229" i="11" s="1"/>
  <c r="D76" i="10"/>
  <c r="AE226" i="11" s="1"/>
  <c r="D75" i="10"/>
  <c r="AE223" i="11" s="1"/>
  <c r="D74" i="10"/>
  <c r="AE220" i="11" s="1"/>
  <c r="D73" i="10"/>
  <c r="AE217" i="11" s="1"/>
  <c r="D72" i="10"/>
  <c r="AE214" i="11" s="1"/>
  <c r="D71" i="10"/>
  <c r="AE211" i="11" s="1"/>
  <c r="D70" i="10"/>
  <c r="AE208" i="11" s="1"/>
  <c r="D69" i="10"/>
  <c r="AE205" i="11" s="1"/>
  <c r="D68" i="10"/>
  <c r="AE202" i="11" s="1"/>
  <c r="D67" i="10"/>
  <c r="AE199" i="11" s="1"/>
  <c r="D66" i="10"/>
  <c r="AE196" i="11" s="1"/>
  <c r="D65" i="10"/>
  <c r="AE193" i="11" s="1"/>
  <c r="D64" i="10"/>
  <c r="AE190" i="11" s="1"/>
  <c r="D63" i="10"/>
  <c r="AE187" i="11" s="1"/>
  <c r="D62" i="10"/>
  <c r="AE184" i="11" s="1"/>
  <c r="D61" i="10"/>
  <c r="AE181" i="11" s="1"/>
  <c r="D60" i="10"/>
  <c r="AE178" i="11" s="1"/>
  <c r="D59" i="10"/>
  <c r="AE175" i="11" s="1"/>
  <c r="D58" i="10"/>
  <c r="AE172" i="11" s="1"/>
  <c r="D57" i="10"/>
  <c r="AE169" i="11" s="1"/>
  <c r="D56" i="10"/>
  <c r="AE166" i="11" s="1"/>
  <c r="D55" i="10"/>
  <c r="AE163" i="11" s="1"/>
  <c r="D54" i="10"/>
  <c r="AE160" i="11" s="1"/>
  <c r="D53" i="10"/>
  <c r="AE157" i="11" s="1"/>
  <c r="D52" i="10"/>
  <c r="AE154" i="11" s="1"/>
  <c r="D51" i="10"/>
  <c r="AE151" i="11" s="1"/>
  <c r="D50" i="10"/>
  <c r="AE148" i="11" s="1"/>
  <c r="D49" i="10"/>
  <c r="AE145" i="11" s="1"/>
  <c r="D48" i="10"/>
  <c r="AE142" i="11" s="1"/>
  <c r="D47" i="10"/>
  <c r="AE139" i="11" s="1"/>
  <c r="D46" i="10"/>
  <c r="AE136" i="11" s="1"/>
  <c r="D45" i="10"/>
  <c r="AE133" i="11" s="1"/>
  <c r="D44" i="10"/>
  <c r="AE130" i="11" s="1"/>
  <c r="D43" i="10"/>
  <c r="AE127" i="11" s="1"/>
  <c r="D42" i="10"/>
  <c r="AE124" i="11" s="1"/>
  <c r="D41" i="10"/>
  <c r="AE121" i="11" s="1"/>
  <c r="D40" i="10"/>
  <c r="AE118" i="11" s="1"/>
  <c r="D39" i="10"/>
  <c r="AE115" i="11" s="1"/>
  <c r="D38" i="10"/>
  <c r="AE112" i="11" s="1"/>
  <c r="D37" i="10"/>
  <c r="AE109" i="11" s="1"/>
  <c r="D36" i="10"/>
  <c r="AE106" i="11" s="1"/>
  <c r="D35" i="10"/>
  <c r="AE103" i="11" s="1"/>
  <c r="D34" i="10"/>
  <c r="AE100" i="11" s="1"/>
  <c r="D33" i="10"/>
  <c r="AE97" i="11" s="1"/>
  <c r="D32" i="10"/>
  <c r="AE94" i="11" s="1"/>
  <c r="D31" i="10"/>
  <c r="AE91" i="11" s="1"/>
  <c r="D30" i="10"/>
  <c r="AE88" i="11" s="1"/>
  <c r="D29" i="10"/>
  <c r="AE85" i="11" s="1"/>
  <c r="D28" i="10"/>
  <c r="AE82" i="11" s="1"/>
  <c r="D27" i="10"/>
  <c r="AE79" i="11" s="1"/>
  <c r="D26" i="10"/>
  <c r="AE76" i="11" s="1"/>
  <c r="D25" i="10"/>
  <c r="AE73" i="11" s="1"/>
  <c r="D24" i="10"/>
  <c r="AE70" i="11" s="1"/>
  <c r="D23" i="10"/>
  <c r="AE67" i="11" s="1"/>
  <c r="D22" i="10"/>
  <c r="AE64" i="11" s="1"/>
  <c r="D21" i="10"/>
  <c r="AE61" i="11" s="1"/>
  <c r="D20" i="10"/>
  <c r="AE58" i="11" s="1"/>
  <c r="D19" i="10"/>
  <c r="AE55" i="11" s="1"/>
  <c r="D18" i="10"/>
  <c r="AE52" i="11" s="1"/>
  <c r="D17" i="10"/>
  <c r="AE49" i="11" s="1"/>
  <c r="D16" i="10"/>
  <c r="AE46" i="11" s="1"/>
  <c r="D15" i="10"/>
  <c r="AE43" i="11" s="1"/>
  <c r="D14" i="10"/>
  <c r="AE40" i="11" s="1"/>
  <c r="D13" i="10"/>
  <c r="AE37" i="11" s="1"/>
  <c r="D12" i="10"/>
  <c r="AE34" i="11" s="1"/>
  <c r="D11" i="10"/>
  <c r="AE31" i="11" s="1"/>
  <c r="D10" i="10"/>
  <c r="AE28" i="11" s="1"/>
  <c r="D9" i="10"/>
  <c r="AE25" i="11" s="1"/>
  <c r="D8" i="10"/>
  <c r="AE22" i="11" s="1"/>
  <c r="D7" i="10"/>
  <c r="AE19" i="11" s="1"/>
  <c r="D6" i="10"/>
  <c r="AE16" i="11" s="1"/>
  <c r="D5" i="10"/>
  <c r="AE13" i="11" s="1"/>
  <c r="D4" i="10"/>
  <c r="AE10" i="11" s="1"/>
  <c r="D3" i="10"/>
  <c r="AE7" i="11" s="1"/>
  <c r="D2" i="10"/>
  <c r="AE4" i="11" s="1"/>
  <c r="Z244" i="8"/>
  <c r="Z243" i="8"/>
  <c r="Z242" i="8"/>
  <c r="Z241" i="8"/>
  <c r="Z240" i="8"/>
  <c r="Z239" i="8"/>
  <c r="Z238" i="8"/>
  <c r="Z237" i="8"/>
  <c r="Z236" i="8"/>
  <c r="Z235" i="8"/>
  <c r="Z234" i="8"/>
  <c r="Z233" i="8"/>
  <c r="Z232" i="8"/>
  <c r="Z231" i="8"/>
  <c r="Z230" i="8"/>
  <c r="Z229" i="8"/>
  <c r="Z228" i="8"/>
  <c r="Z227" i="8"/>
  <c r="Z226" i="8"/>
  <c r="Z225" i="8"/>
  <c r="Z224" i="8"/>
  <c r="Z223" i="8"/>
  <c r="Z222" i="8"/>
  <c r="Z221" i="8"/>
  <c r="Z220" i="8"/>
  <c r="Z219" i="8"/>
  <c r="Z218" i="8"/>
  <c r="Z217" i="8"/>
  <c r="Z216" i="8"/>
  <c r="Z215" i="8"/>
  <c r="Z214" i="8"/>
  <c r="Z213" i="8"/>
  <c r="Z212" i="8"/>
  <c r="Z211" i="8"/>
  <c r="Z210" i="8"/>
  <c r="Z209" i="8"/>
  <c r="Z208" i="8"/>
  <c r="Z207" i="8"/>
  <c r="Z206" i="8"/>
  <c r="Z205" i="8"/>
  <c r="Z204" i="8"/>
  <c r="Z203" i="8"/>
  <c r="Z202" i="8"/>
  <c r="Z201" i="8"/>
  <c r="Z200" i="8"/>
  <c r="Z199" i="8"/>
  <c r="Z198" i="8"/>
  <c r="Z197" i="8"/>
  <c r="Z196" i="8"/>
  <c r="Z195" i="8"/>
  <c r="Z194" i="8"/>
  <c r="Z193" i="8"/>
  <c r="Z192" i="8"/>
  <c r="Z191" i="8"/>
  <c r="Z190" i="8"/>
  <c r="Z189" i="8"/>
  <c r="Z188" i="8"/>
  <c r="Z187" i="8"/>
  <c r="Z186" i="8"/>
  <c r="Z185" i="8"/>
  <c r="Z184" i="8"/>
  <c r="Z183" i="8"/>
  <c r="Z182" i="8"/>
  <c r="Z181" i="8"/>
  <c r="Z180" i="8"/>
  <c r="Z179" i="8"/>
  <c r="Z178" i="8"/>
  <c r="Z177" i="8"/>
  <c r="Z176" i="8"/>
  <c r="Z175" i="8"/>
  <c r="Z174" i="8"/>
  <c r="Z173" i="8"/>
  <c r="Z172" i="8"/>
  <c r="Z171" i="8"/>
  <c r="Z170" i="8"/>
  <c r="Z169" i="8"/>
  <c r="Z168" i="8"/>
  <c r="Z167" i="8"/>
  <c r="Z166" i="8"/>
  <c r="Z165" i="8"/>
  <c r="Z164" i="8"/>
  <c r="Z163" i="8"/>
  <c r="Z162" i="8"/>
  <c r="Z161" i="8"/>
  <c r="Z160" i="8"/>
  <c r="Z159" i="8"/>
  <c r="Z158" i="8"/>
  <c r="Z157" i="8"/>
  <c r="Z156" i="8"/>
  <c r="Z155" i="8"/>
  <c r="Z154" i="8"/>
  <c r="Z153" i="8"/>
  <c r="Z152" i="8"/>
  <c r="Z151" i="8"/>
  <c r="Z150" i="8"/>
  <c r="Z149" i="8"/>
  <c r="Z148" i="8"/>
  <c r="Z147" i="8"/>
  <c r="Z146" i="8"/>
  <c r="Z145" i="8"/>
  <c r="Z144" i="8"/>
  <c r="Z143" i="8"/>
  <c r="Z142" i="8"/>
  <c r="Z141" i="8"/>
  <c r="Z140" i="8"/>
  <c r="Z139" i="8"/>
  <c r="Z138" i="8"/>
  <c r="Z137" i="8"/>
  <c r="Z136" i="8"/>
  <c r="Z135" i="8"/>
  <c r="Z134" i="8"/>
  <c r="Z133" i="8"/>
  <c r="Z132" i="8"/>
  <c r="Z131" i="8"/>
  <c r="Z130" i="8"/>
  <c r="Z129" i="8"/>
  <c r="Z128" i="8"/>
  <c r="Z127" i="8"/>
  <c r="Z126" i="8"/>
  <c r="Z125" i="8"/>
  <c r="Z124" i="8"/>
  <c r="Z123" i="8"/>
  <c r="Z122" i="8"/>
  <c r="Z121" i="8"/>
  <c r="Z120" i="8"/>
  <c r="Z119" i="8"/>
  <c r="Z118" i="8"/>
  <c r="Z117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Z5" i="8"/>
  <c r="Z4" i="8"/>
  <c r="Z3" i="8"/>
  <c r="Z2" i="8"/>
  <c r="C80" i="10"/>
  <c r="AD238" i="11" s="1"/>
  <c r="C79" i="10"/>
  <c r="AD235" i="11" s="1"/>
  <c r="C78" i="10"/>
  <c r="AD232" i="11" s="1"/>
  <c r="C77" i="10"/>
  <c r="AD229" i="11" s="1"/>
  <c r="C76" i="10"/>
  <c r="AD226" i="11" s="1"/>
  <c r="C75" i="10"/>
  <c r="AD223" i="11" s="1"/>
  <c r="C74" i="10"/>
  <c r="AD220" i="11" s="1"/>
  <c r="C73" i="10"/>
  <c r="AD217" i="11" s="1"/>
  <c r="C72" i="10"/>
  <c r="AD214" i="11" s="1"/>
  <c r="C71" i="10"/>
  <c r="AD211" i="11" s="1"/>
  <c r="C70" i="10"/>
  <c r="AD208" i="11" s="1"/>
  <c r="C69" i="10"/>
  <c r="AD205" i="11" s="1"/>
  <c r="C68" i="10"/>
  <c r="AD202" i="11" s="1"/>
  <c r="C67" i="10"/>
  <c r="AD199" i="11" s="1"/>
  <c r="C66" i="10"/>
  <c r="AD196" i="11" s="1"/>
  <c r="C65" i="10"/>
  <c r="AD193" i="11" s="1"/>
  <c r="C64" i="10"/>
  <c r="AD190" i="11" s="1"/>
  <c r="C63" i="10"/>
  <c r="AD187" i="11" s="1"/>
  <c r="C62" i="10"/>
  <c r="AD184" i="11" s="1"/>
  <c r="C61" i="10"/>
  <c r="AD181" i="11" s="1"/>
  <c r="C60" i="10"/>
  <c r="AD178" i="11" s="1"/>
  <c r="C59" i="10"/>
  <c r="AD175" i="11" s="1"/>
  <c r="C58" i="10"/>
  <c r="AD172" i="11" s="1"/>
  <c r="C57" i="10"/>
  <c r="AD169" i="11" s="1"/>
  <c r="C56" i="10"/>
  <c r="AD166" i="11" s="1"/>
  <c r="C55" i="10"/>
  <c r="AD163" i="11" s="1"/>
  <c r="C54" i="10"/>
  <c r="AD160" i="11" s="1"/>
  <c r="C53" i="10"/>
  <c r="AD157" i="11" s="1"/>
  <c r="C52" i="10"/>
  <c r="AD154" i="11" s="1"/>
  <c r="C51" i="10"/>
  <c r="AD151" i="11" s="1"/>
  <c r="C50" i="10"/>
  <c r="AD148" i="11" s="1"/>
  <c r="C49" i="10"/>
  <c r="AD145" i="11" s="1"/>
  <c r="C48" i="10"/>
  <c r="AD142" i="11" s="1"/>
  <c r="C47" i="10"/>
  <c r="AD139" i="11" s="1"/>
  <c r="C46" i="10"/>
  <c r="AD136" i="11" s="1"/>
  <c r="C45" i="10"/>
  <c r="AD133" i="11" s="1"/>
  <c r="C44" i="10"/>
  <c r="AD130" i="11" s="1"/>
  <c r="C43" i="10"/>
  <c r="AD127" i="11" s="1"/>
  <c r="C42" i="10"/>
  <c r="AD124" i="11" s="1"/>
  <c r="C41" i="10"/>
  <c r="AD121" i="11" s="1"/>
  <c r="C40" i="10"/>
  <c r="AD118" i="11" s="1"/>
  <c r="C39" i="10"/>
  <c r="AD115" i="11" s="1"/>
  <c r="C38" i="10"/>
  <c r="AD112" i="11" s="1"/>
  <c r="C37" i="10"/>
  <c r="AD109" i="11" s="1"/>
  <c r="C36" i="10"/>
  <c r="AD106" i="11" s="1"/>
  <c r="C35" i="10"/>
  <c r="AD103" i="11" s="1"/>
  <c r="C34" i="10"/>
  <c r="AD100" i="11" s="1"/>
  <c r="C33" i="10"/>
  <c r="AD97" i="11" s="1"/>
  <c r="C32" i="10"/>
  <c r="AD94" i="11" s="1"/>
  <c r="C31" i="10"/>
  <c r="AD91" i="11" s="1"/>
  <c r="C30" i="10"/>
  <c r="AD88" i="11" s="1"/>
  <c r="C29" i="10"/>
  <c r="AD85" i="11" s="1"/>
  <c r="C28" i="10"/>
  <c r="AD82" i="11" s="1"/>
  <c r="C27" i="10"/>
  <c r="AD79" i="11" s="1"/>
  <c r="C26" i="10"/>
  <c r="AD76" i="11" s="1"/>
  <c r="C25" i="10"/>
  <c r="AD73" i="11" s="1"/>
  <c r="C24" i="10"/>
  <c r="AD70" i="11" s="1"/>
  <c r="C23" i="10"/>
  <c r="AD67" i="11" s="1"/>
  <c r="C22" i="10"/>
  <c r="AD64" i="11" s="1"/>
  <c r="C21" i="10"/>
  <c r="AD61" i="11" s="1"/>
  <c r="C20" i="10"/>
  <c r="AD58" i="11" s="1"/>
  <c r="C19" i="10"/>
  <c r="AD55" i="11" s="1"/>
  <c r="C18" i="10"/>
  <c r="AD52" i="11" s="1"/>
  <c r="C17" i="10"/>
  <c r="AD49" i="11" s="1"/>
  <c r="C16" i="10"/>
  <c r="AD46" i="11" s="1"/>
  <c r="C15" i="10"/>
  <c r="AD43" i="11" s="1"/>
  <c r="C14" i="10"/>
  <c r="AD40" i="11" s="1"/>
  <c r="C13" i="10"/>
  <c r="AD37" i="11" s="1"/>
  <c r="C12" i="10"/>
  <c r="AD34" i="11" s="1"/>
  <c r="C11" i="10"/>
  <c r="AD31" i="11" s="1"/>
  <c r="C10" i="10"/>
  <c r="AD28" i="11" s="1"/>
  <c r="C9" i="10"/>
  <c r="AD25" i="11" s="1"/>
  <c r="C8" i="10"/>
  <c r="AD22" i="11" s="1"/>
  <c r="C7" i="10"/>
  <c r="AD19" i="11" s="1"/>
  <c r="C6" i="10"/>
  <c r="AD16" i="11" s="1"/>
  <c r="C5" i="10"/>
  <c r="AD13" i="11" s="1"/>
  <c r="C4" i="10"/>
  <c r="AD10" i="11" s="1"/>
  <c r="C3" i="10"/>
  <c r="AD7" i="11" s="1"/>
  <c r="C2" i="10"/>
  <c r="AD4" i="11" s="1"/>
  <c r="B80" i="10"/>
  <c r="AC238" i="11" s="1"/>
  <c r="B79" i="10"/>
  <c r="AC235" i="11" s="1"/>
  <c r="B78" i="10"/>
  <c r="AC232" i="11" s="1"/>
  <c r="B77" i="10"/>
  <c r="AC229" i="11" s="1"/>
  <c r="B76" i="10"/>
  <c r="AC226" i="11" s="1"/>
  <c r="B75" i="10"/>
  <c r="AC223" i="11" s="1"/>
  <c r="B74" i="10"/>
  <c r="AC220" i="11" s="1"/>
  <c r="B73" i="10"/>
  <c r="AC217" i="11" s="1"/>
  <c r="B72" i="10"/>
  <c r="AC214" i="11" s="1"/>
  <c r="B71" i="10"/>
  <c r="AC211" i="11" s="1"/>
  <c r="B70" i="10"/>
  <c r="AC208" i="11" s="1"/>
  <c r="B69" i="10"/>
  <c r="AC205" i="11" s="1"/>
  <c r="B68" i="10"/>
  <c r="AC202" i="11" s="1"/>
  <c r="B67" i="10"/>
  <c r="AC199" i="11" s="1"/>
  <c r="B66" i="10"/>
  <c r="AC196" i="11" s="1"/>
  <c r="B65" i="10"/>
  <c r="AC193" i="11" s="1"/>
  <c r="B64" i="10"/>
  <c r="AC190" i="11" s="1"/>
  <c r="B63" i="10"/>
  <c r="AC187" i="11" s="1"/>
  <c r="B62" i="10"/>
  <c r="AC184" i="11" s="1"/>
  <c r="B61" i="10"/>
  <c r="AC181" i="11" s="1"/>
  <c r="B60" i="10"/>
  <c r="AC178" i="11" s="1"/>
  <c r="B59" i="10"/>
  <c r="AC175" i="11" s="1"/>
  <c r="B58" i="10"/>
  <c r="AC172" i="11" s="1"/>
  <c r="B57" i="10"/>
  <c r="AC169" i="11" s="1"/>
  <c r="B56" i="10"/>
  <c r="AC166" i="11" s="1"/>
  <c r="B55" i="10"/>
  <c r="AC163" i="11" s="1"/>
  <c r="B54" i="10"/>
  <c r="AC160" i="11" s="1"/>
  <c r="B53" i="10"/>
  <c r="AC157" i="11" s="1"/>
  <c r="B52" i="10"/>
  <c r="AC154" i="11" s="1"/>
  <c r="B51" i="10"/>
  <c r="AC151" i="11" s="1"/>
  <c r="B50" i="10"/>
  <c r="AC148" i="11" s="1"/>
  <c r="B49" i="10"/>
  <c r="AC145" i="11" s="1"/>
  <c r="B48" i="10"/>
  <c r="AC142" i="11" s="1"/>
  <c r="B47" i="10"/>
  <c r="AC139" i="11" s="1"/>
  <c r="B46" i="10"/>
  <c r="AC136" i="11" s="1"/>
  <c r="B45" i="10"/>
  <c r="AC133" i="11" s="1"/>
  <c r="B44" i="10"/>
  <c r="AC130" i="11" s="1"/>
  <c r="B43" i="10"/>
  <c r="AC127" i="11" s="1"/>
  <c r="B42" i="10"/>
  <c r="AC124" i="11" s="1"/>
  <c r="B41" i="10"/>
  <c r="AC121" i="11" s="1"/>
  <c r="B40" i="10"/>
  <c r="AC118" i="11" s="1"/>
  <c r="B39" i="10"/>
  <c r="AC115" i="11" s="1"/>
  <c r="B38" i="10"/>
  <c r="AC112" i="11" s="1"/>
  <c r="B37" i="10"/>
  <c r="AC109" i="11" s="1"/>
  <c r="B36" i="10"/>
  <c r="AC106" i="11" s="1"/>
  <c r="B35" i="10"/>
  <c r="AC103" i="11" s="1"/>
  <c r="B34" i="10"/>
  <c r="AC100" i="11" s="1"/>
  <c r="B33" i="10"/>
  <c r="AC97" i="11" s="1"/>
  <c r="B32" i="10"/>
  <c r="AC94" i="11" s="1"/>
  <c r="B31" i="10"/>
  <c r="AC91" i="11" s="1"/>
  <c r="B30" i="10"/>
  <c r="AC88" i="11" s="1"/>
  <c r="B29" i="10"/>
  <c r="AC85" i="11" s="1"/>
  <c r="B28" i="10"/>
  <c r="AC82" i="11" s="1"/>
  <c r="B27" i="10"/>
  <c r="AC79" i="11" s="1"/>
  <c r="B26" i="10"/>
  <c r="AC76" i="11" s="1"/>
  <c r="B25" i="10"/>
  <c r="AC73" i="11" s="1"/>
  <c r="B24" i="10"/>
  <c r="AC70" i="11" s="1"/>
  <c r="B23" i="10"/>
  <c r="AC67" i="11" s="1"/>
  <c r="B22" i="10"/>
  <c r="AC64" i="11" s="1"/>
  <c r="B21" i="10"/>
  <c r="AC61" i="11" s="1"/>
  <c r="B20" i="10"/>
  <c r="AC58" i="11" s="1"/>
  <c r="B19" i="10"/>
  <c r="AC55" i="11" s="1"/>
  <c r="B18" i="10"/>
  <c r="AC52" i="11" s="1"/>
  <c r="B17" i="10"/>
  <c r="AC49" i="11" s="1"/>
  <c r="B16" i="10"/>
  <c r="AC46" i="11" s="1"/>
  <c r="B15" i="10"/>
  <c r="AC43" i="11" s="1"/>
  <c r="B14" i="10"/>
  <c r="AC40" i="11" s="1"/>
  <c r="B13" i="10"/>
  <c r="AC37" i="11" s="1"/>
  <c r="B12" i="10"/>
  <c r="AC34" i="11" s="1"/>
  <c r="B11" i="10"/>
  <c r="AC31" i="11" s="1"/>
  <c r="B10" i="10"/>
  <c r="AC28" i="11" s="1"/>
  <c r="B9" i="10"/>
  <c r="AC25" i="11" s="1"/>
  <c r="B8" i="10"/>
  <c r="AC22" i="11" s="1"/>
  <c r="B7" i="10"/>
  <c r="AC19" i="11" s="1"/>
  <c r="B6" i="10"/>
  <c r="AC16" i="11" s="1"/>
  <c r="B5" i="10"/>
  <c r="AC13" i="11" s="1"/>
  <c r="B4" i="10"/>
  <c r="AC10" i="11" s="1"/>
  <c r="B3" i="10"/>
  <c r="AC7" i="11" s="1"/>
  <c r="B2" i="10"/>
  <c r="AC4" i="11" s="1"/>
  <c r="Y242" i="8"/>
  <c r="Y241" i="8"/>
  <c r="Y240" i="8"/>
  <c r="Y239" i="8"/>
  <c r="Y238" i="8"/>
  <c r="Y237" i="8"/>
  <c r="Y236" i="8"/>
  <c r="Y235" i="8"/>
  <c r="Y234" i="8"/>
  <c r="Y233" i="8"/>
  <c r="Y232" i="8"/>
  <c r="Y231" i="8"/>
  <c r="Y230" i="8"/>
  <c r="Y229" i="8"/>
  <c r="Y228" i="8"/>
  <c r="Y227" i="8"/>
  <c r="Y226" i="8"/>
  <c r="Y225" i="8"/>
  <c r="Y224" i="8"/>
  <c r="Y223" i="8"/>
  <c r="Y222" i="8"/>
  <c r="Y221" i="8"/>
  <c r="Y220" i="8"/>
  <c r="Y219" i="8"/>
  <c r="Y218" i="8"/>
  <c r="Y217" i="8"/>
  <c r="Y216" i="8"/>
  <c r="Y215" i="8"/>
  <c r="Y214" i="8"/>
  <c r="Y213" i="8"/>
  <c r="Y212" i="8"/>
  <c r="Y211" i="8"/>
  <c r="Y210" i="8"/>
  <c r="Y209" i="8"/>
  <c r="Y208" i="8"/>
  <c r="Y207" i="8"/>
  <c r="Y206" i="8"/>
  <c r="Y205" i="8"/>
  <c r="Y204" i="8"/>
  <c r="Y203" i="8"/>
  <c r="Y202" i="8"/>
  <c r="Y201" i="8"/>
  <c r="Y200" i="8"/>
  <c r="Y199" i="8"/>
  <c r="Y198" i="8"/>
  <c r="Y197" i="8"/>
  <c r="Y196" i="8"/>
  <c r="Y195" i="8"/>
  <c r="Y194" i="8"/>
  <c r="Y193" i="8"/>
  <c r="Y192" i="8"/>
  <c r="Y191" i="8"/>
  <c r="Y190" i="8"/>
  <c r="Y189" i="8"/>
  <c r="Y188" i="8"/>
  <c r="Y187" i="8"/>
  <c r="Y186" i="8"/>
  <c r="Y185" i="8"/>
  <c r="Y184" i="8"/>
  <c r="Y183" i="8"/>
  <c r="Y182" i="8"/>
  <c r="Y181" i="8"/>
  <c r="Y180" i="8"/>
  <c r="Y179" i="8"/>
  <c r="Y178" i="8"/>
  <c r="Y177" i="8"/>
  <c r="Y176" i="8"/>
  <c r="Y175" i="8"/>
  <c r="Y174" i="8"/>
  <c r="Y173" i="8"/>
  <c r="Y172" i="8"/>
  <c r="Y171" i="8"/>
  <c r="Y170" i="8"/>
  <c r="Y169" i="8"/>
  <c r="Y168" i="8"/>
  <c r="Y167" i="8"/>
  <c r="Y166" i="8"/>
  <c r="Y165" i="8"/>
  <c r="Y164" i="8"/>
  <c r="Y163" i="8"/>
  <c r="Y162" i="8"/>
  <c r="Y161" i="8"/>
  <c r="Y160" i="8"/>
  <c r="Y159" i="8"/>
  <c r="Y158" i="8"/>
  <c r="Y157" i="8"/>
  <c r="Y156" i="8"/>
  <c r="Y155" i="8"/>
  <c r="Y154" i="8"/>
  <c r="Y153" i="8"/>
  <c r="Y152" i="8"/>
  <c r="Y151" i="8"/>
  <c r="Y150" i="8"/>
  <c r="Y149" i="8"/>
  <c r="Y148" i="8"/>
  <c r="Y147" i="8"/>
  <c r="Y146" i="8"/>
  <c r="Y145" i="8"/>
  <c r="Y144" i="8"/>
  <c r="Y143" i="8"/>
  <c r="Y142" i="8"/>
  <c r="Y141" i="8"/>
  <c r="Y140" i="8"/>
  <c r="Y139" i="8"/>
  <c r="Y138" i="8"/>
  <c r="Y137" i="8"/>
  <c r="Y136" i="8"/>
  <c r="Y135" i="8"/>
  <c r="Y134" i="8"/>
  <c r="Y133" i="8"/>
  <c r="Y132" i="8"/>
  <c r="Y131" i="8"/>
  <c r="Y130" i="8"/>
  <c r="Y129" i="8"/>
  <c r="Y128" i="8"/>
  <c r="Y127" i="8"/>
  <c r="Y126" i="8"/>
  <c r="Y125" i="8"/>
  <c r="Y124" i="8"/>
  <c r="Y123" i="8"/>
  <c r="Y122" i="8"/>
  <c r="Y121" i="8"/>
  <c r="Y120" i="8"/>
  <c r="Y119" i="8"/>
  <c r="Y118" i="8"/>
  <c r="Y117" i="8"/>
  <c r="Y116" i="8"/>
  <c r="Y115" i="8"/>
  <c r="Y114" i="8"/>
  <c r="Y113" i="8"/>
  <c r="Y112" i="8"/>
  <c r="Y111" i="8"/>
  <c r="Y110" i="8"/>
  <c r="Y109" i="8"/>
  <c r="Y108" i="8"/>
  <c r="Y107" i="8"/>
  <c r="Y106" i="8"/>
  <c r="Y105" i="8"/>
  <c r="Y104" i="8"/>
  <c r="Y103" i="8"/>
  <c r="Y102" i="8"/>
  <c r="Y101" i="8"/>
  <c r="Y100" i="8"/>
  <c r="Y99" i="8"/>
  <c r="Y98" i="8"/>
  <c r="Y97" i="8"/>
  <c r="Y96" i="8"/>
  <c r="Y95" i="8"/>
  <c r="Y94" i="8"/>
  <c r="Y93" i="8"/>
  <c r="Y92" i="8"/>
  <c r="Y91" i="8"/>
  <c r="Y90" i="8"/>
  <c r="Y89" i="8"/>
  <c r="Y88" i="8"/>
  <c r="Y87" i="8"/>
  <c r="Y86" i="8"/>
  <c r="Y85" i="8"/>
  <c r="Y84" i="8"/>
  <c r="Y83" i="8"/>
  <c r="Y82" i="8"/>
  <c r="Y81" i="8"/>
  <c r="Y80" i="8"/>
  <c r="Y79" i="8"/>
  <c r="Y78" i="8"/>
  <c r="Y77" i="8"/>
  <c r="Y76" i="8"/>
  <c r="Y75" i="8"/>
  <c r="Y74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U2" i="8" l="1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X243" i="8"/>
  <c r="W243" i="8"/>
  <c r="V243" i="8"/>
  <c r="T243" i="8"/>
  <c r="S243" i="8"/>
  <c r="R243" i="8"/>
  <c r="Q243" i="8"/>
  <c r="X242" i="8"/>
  <c r="W242" i="8"/>
  <c r="V242" i="8"/>
  <c r="T242" i="8"/>
  <c r="S242" i="8"/>
  <c r="R242" i="8"/>
  <c r="Q242" i="8"/>
  <c r="X241" i="8"/>
  <c r="W241" i="8"/>
  <c r="V241" i="8"/>
  <c r="T241" i="8"/>
  <c r="S241" i="8"/>
  <c r="R241" i="8"/>
  <c r="Q241" i="8"/>
  <c r="X240" i="8"/>
  <c r="W240" i="8"/>
  <c r="V240" i="8"/>
  <c r="T240" i="8"/>
  <c r="S240" i="8"/>
  <c r="R240" i="8"/>
  <c r="Q240" i="8"/>
  <c r="X239" i="8"/>
  <c r="W239" i="8"/>
  <c r="V239" i="8"/>
  <c r="T239" i="8"/>
  <c r="S239" i="8"/>
  <c r="R239" i="8"/>
  <c r="Q239" i="8"/>
  <c r="X238" i="8"/>
  <c r="W238" i="8"/>
  <c r="V238" i="8"/>
  <c r="T238" i="8"/>
  <c r="S238" i="8"/>
  <c r="R238" i="8"/>
  <c r="Q238" i="8"/>
  <c r="X237" i="8"/>
  <c r="W237" i="8"/>
  <c r="V237" i="8"/>
  <c r="T237" i="8"/>
  <c r="S237" i="8"/>
  <c r="R237" i="8"/>
  <c r="Q237" i="8"/>
  <c r="X236" i="8"/>
  <c r="W236" i="8"/>
  <c r="V236" i="8"/>
  <c r="T236" i="8"/>
  <c r="S236" i="8"/>
  <c r="R236" i="8"/>
  <c r="Q236" i="8"/>
  <c r="X235" i="8"/>
  <c r="W235" i="8"/>
  <c r="V235" i="8"/>
  <c r="T235" i="8"/>
  <c r="S235" i="8"/>
  <c r="R235" i="8"/>
  <c r="Q235" i="8"/>
  <c r="X234" i="8"/>
  <c r="W234" i="8"/>
  <c r="V234" i="8"/>
  <c r="T234" i="8"/>
  <c r="S234" i="8"/>
  <c r="R234" i="8"/>
  <c r="Q234" i="8"/>
  <c r="X233" i="8"/>
  <c r="W233" i="8"/>
  <c r="V233" i="8"/>
  <c r="T233" i="8"/>
  <c r="S233" i="8"/>
  <c r="R233" i="8"/>
  <c r="Q233" i="8"/>
  <c r="X232" i="8"/>
  <c r="W232" i="8"/>
  <c r="V232" i="8"/>
  <c r="T232" i="8"/>
  <c r="S232" i="8"/>
  <c r="R232" i="8"/>
  <c r="Q232" i="8"/>
  <c r="X231" i="8"/>
  <c r="W231" i="8"/>
  <c r="V231" i="8"/>
  <c r="T231" i="8"/>
  <c r="S231" i="8"/>
  <c r="R231" i="8"/>
  <c r="Q231" i="8"/>
  <c r="X230" i="8"/>
  <c r="W230" i="8"/>
  <c r="V230" i="8"/>
  <c r="T230" i="8"/>
  <c r="S230" i="8"/>
  <c r="R230" i="8"/>
  <c r="Q230" i="8"/>
  <c r="X229" i="8"/>
  <c r="W229" i="8"/>
  <c r="V229" i="8"/>
  <c r="T229" i="8"/>
  <c r="S229" i="8"/>
  <c r="R229" i="8"/>
  <c r="Q229" i="8"/>
  <c r="X228" i="8"/>
  <c r="W228" i="8"/>
  <c r="V228" i="8"/>
  <c r="T228" i="8"/>
  <c r="S228" i="8"/>
  <c r="R228" i="8"/>
  <c r="Q228" i="8"/>
  <c r="X227" i="8"/>
  <c r="W227" i="8"/>
  <c r="V227" i="8"/>
  <c r="T227" i="8"/>
  <c r="S227" i="8"/>
  <c r="R227" i="8"/>
  <c r="Q227" i="8"/>
  <c r="X226" i="8"/>
  <c r="W226" i="8"/>
  <c r="V226" i="8"/>
  <c r="T226" i="8"/>
  <c r="S226" i="8"/>
  <c r="R226" i="8"/>
  <c r="Q226" i="8"/>
  <c r="X225" i="8"/>
  <c r="W225" i="8"/>
  <c r="V225" i="8"/>
  <c r="T225" i="8"/>
  <c r="S225" i="8"/>
  <c r="R225" i="8"/>
  <c r="Q225" i="8"/>
  <c r="X224" i="8"/>
  <c r="W224" i="8"/>
  <c r="V224" i="8"/>
  <c r="T224" i="8"/>
  <c r="S224" i="8"/>
  <c r="R224" i="8"/>
  <c r="Q224" i="8"/>
  <c r="X223" i="8"/>
  <c r="W223" i="8"/>
  <c r="V223" i="8"/>
  <c r="T223" i="8"/>
  <c r="S223" i="8"/>
  <c r="R223" i="8"/>
  <c r="Q223" i="8"/>
  <c r="X222" i="8"/>
  <c r="W222" i="8"/>
  <c r="V222" i="8"/>
  <c r="T222" i="8"/>
  <c r="S222" i="8"/>
  <c r="R222" i="8"/>
  <c r="Q222" i="8"/>
  <c r="X221" i="8"/>
  <c r="W221" i="8"/>
  <c r="V221" i="8"/>
  <c r="T221" i="8"/>
  <c r="S221" i="8"/>
  <c r="R221" i="8"/>
  <c r="Q221" i="8"/>
  <c r="X220" i="8"/>
  <c r="W220" i="8"/>
  <c r="V220" i="8"/>
  <c r="T220" i="8"/>
  <c r="S220" i="8"/>
  <c r="R220" i="8"/>
  <c r="Q220" i="8"/>
  <c r="X219" i="8"/>
  <c r="W219" i="8"/>
  <c r="V219" i="8"/>
  <c r="T219" i="8"/>
  <c r="S219" i="8"/>
  <c r="R219" i="8"/>
  <c r="Q219" i="8"/>
  <c r="X218" i="8"/>
  <c r="W218" i="8"/>
  <c r="V218" i="8"/>
  <c r="T218" i="8"/>
  <c r="S218" i="8"/>
  <c r="R218" i="8"/>
  <c r="Q218" i="8"/>
  <c r="X217" i="8"/>
  <c r="W217" i="8"/>
  <c r="V217" i="8"/>
  <c r="T217" i="8"/>
  <c r="S217" i="8"/>
  <c r="R217" i="8"/>
  <c r="Q217" i="8"/>
  <c r="X216" i="8"/>
  <c r="W216" i="8"/>
  <c r="V216" i="8"/>
  <c r="T216" i="8"/>
  <c r="S216" i="8"/>
  <c r="R216" i="8"/>
  <c r="Q216" i="8"/>
  <c r="X215" i="8"/>
  <c r="W215" i="8"/>
  <c r="V215" i="8"/>
  <c r="T215" i="8"/>
  <c r="S215" i="8"/>
  <c r="R215" i="8"/>
  <c r="Q215" i="8"/>
  <c r="X214" i="8"/>
  <c r="W214" i="8"/>
  <c r="V214" i="8"/>
  <c r="T214" i="8"/>
  <c r="S214" i="8"/>
  <c r="R214" i="8"/>
  <c r="Q214" i="8"/>
  <c r="X213" i="8"/>
  <c r="W213" i="8"/>
  <c r="V213" i="8"/>
  <c r="T213" i="8"/>
  <c r="S213" i="8"/>
  <c r="R213" i="8"/>
  <c r="Q213" i="8"/>
  <c r="X212" i="8"/>
  <c r="W212" i="8"/>
  <c r="V212" i="8"/>
  <c r="T212" i="8"/>
  <c r="S212" i="8"/>
  <c r="R212" i="8"/>
  <c r="Q212" i="8"/>
  <c r="X211" i="8"/>
  <c r="W211" i="8"/>
  <c r="V211" i="8"/>
  <c r="T211" i="8"/>
  <c r="S211" i="8"/>
  <c r="R211" i="8"/>
  <c r="Q211" i="8"/>
  <c r="X210" i="8"/>
  <c r="W210" i="8"/>
  <c r="V210" i="8"/>
  <c r="T210" i="8"/>
  <c r="S210" i="8"/>
  <c r="R210" i="8"/>
  <c r="Q210" i="8"/>
  <c r="X209" i="8"/>
  <c r="W209" i="8"/>
  <c r="V209" i="8"/>
  <c r="T209" i="8"/>
  <c r="S209" i="8"/>
  <c r="R209" i="8"/>
  <c r="Q209" i="8"/>
  <c r="X208" i="8"/>
  <c r="W208" i="8"/>
  <c r="V208" i="8"/>
  <c r="T208" i="8"/>
  <c r="S208" i="8"/>
  <c r="R208" i="8"/>
  <c r="Q208" i="8"/>
  <c r="X207" i="8"/>
  <c r="W207" i="8"/>
  <c r="V207" i="8"/>
  <c r="T207" i="8"/>
  <c r="S207" i="8"/>
  <c r="R207" i="8"/>
  <c r="Q207" i="8"/>
  <c r="X206" i="8"/>
  <c r="W206" i="8"/>
  <c r="V206" i="8"/>
  <c r="T206" i="8"/>
  <c r="S206" i="8"/>
  <c r="R206" i="8"/>
  <c r="Q206" i="8"/>
  <c r="X205" i="8"/>
  <c r="W205" i="8"/>
  <c r="V205" i="8"/>
  <c r="T205" i="8"/>
  <c r="S205" i="8"/>
  <c r="R205" i="8"/>
  <c r="Q205" i="8"/>
  <c r="X204" i="8"/>
  <c r="W204" i="8"/>
  <c r="V204" i="8"/>
  <c r="T204" i="8"/>
  <c r="S204" i="8"/>
  <c r="R204" i="8"/>
  <c r="Q204" i="8"/>
  <c r="X203" i="8"/>
  <c r="W203" i="8"/>
  <c r="V203" i="8"/>
  <c r="T203" i="8"/>
  <c r="S203" i="8"/>
  <c r="R203" i="8"/>
  <c r="Q203" i="8"/>
  <c r="X202" i="8"/>
  <c r="W202" i="8"/>
  <c r="V202" i="8"/>
  <c r="T202" i="8"/>
  <c r="S202" i="8"/>
  <c r="R202" i="8"/>
  <c r="Q202" i="8"/>
  <c r="X201" i="8"/>
  <c r="W201" i="8"/>
  <c r="V201" i="8"/>
  <c r="T201" i="8"/>
  <c r="S201" i="8"/>
  <c r="R201" i="8"/>
  <c r="Q201" i="8"/>
  <c r="X200" i="8"/>
  <c r="W200" i="8"/>
  <c r="V200" i="8"/>
  <c r="T200" i="8"/>
  <c r="S200" i="8"/>
  <c r="R200" i="8"/>
  <c r="Q200" i="8"/>
  <c r="X199" i="8"/>
  <c r="W199" i="8"/>
  <c r="V199" i="8"/>
  <c r="T199" i="8"/>
  <c r="S199" i="8"/>
  <c r="R199" i="8"/>
  <c r="Q199" i="8"/>
  <c r="X198" i="8"/>
  <c r="W198" i="8"/>
  <c r="V198" i="8"/>
  <c r="T198" i="8"/>
  <c r="S198" i="8"/>
  <c r="R198" i="8"/>
  <c r="Q198" i="8"/>
  <c r="X197" i="8"/>
  <c r="W197" i="8"/>
  <c r="V197" i="8"/>
  <c r="T197" i="8"/>
  <c r="S197" i="8"/>
  <c r="R197" i="8"/>
  <c r="Q197" i="8"/>
  <c r="X196" i="8"/>
  <c r="W196" i="8"/>
  <c r="V196" i="8"/>
  <c r="T196" i="8"/>
  <c r="S196" i="8"/>
  <c r="R196" i="8"/>
  <c r="Q196" i="8"/>
  <c r="X195" i="8"/>
  <c r="W195" i="8"/>
  <c r="V195" i="8"/>
  <c r="T195" i="8"/>
  <c r="S195" i="8"/>
  <c r="R195" i="8"/>
  <c r="Q195" i="8"/>
  <c r="X194" i="8"/>
  <c r="W194" i="8"/>
  <c r="V194" i="8"/>
  <c r="T194" i="8"/>
  <c r="S194" i="8"/>
  <c r="R194" i="8"/>
  <c r="Q194" i="8"/>
  <c r="X193" i="8"/>
  <c r="W193" i="8"/>
  <c r="V193" i="8"/>
  <c r="T193" i="8"/>
  <c r="S193" i="8"/>
  <c r="R193" i="8"/>
  <c r="Q193" i="8"/>
  <c r="X192" i="8"/>
  <c r="W192" i="8"/>
  <c r="V192" i="8"/>
  <c r="T192" i="8"/>
  <c r="S192" i="8"/>
  <c r="R192" i="8"/>
  <c r="Q192" i="8"/>
  <c r="X191" i="8"/>
  <c r="W191" i="8"/>
  <c r="V191" i="8"/>
  <c r="T191" i="8"/>
  <c r="S191" i="8"/>
  <c r="R191" i="8"/>
  <c r="Q191" i="8"/>
  <c r="X190" i="8"/>
  <c r="W190" i="8"/>
  <c r="V190" i="8"/>
  <c r="T190" i="8"/>
  <c r="S190" i="8"/>
  <c r="R190" i="8"/>
  <c r="Q190" i="8"/>
  <c r="X189" i="8"/>
  <c r="W189" i="8"/>
  <c r="V189" i="8"/>
  <c r="T189" i="8"/>
  <c r="S189" i="8"/>
  <c r="R189" i="8"/>
  <c r="Q189" i="8"/>
  <c r="X188" i="8"/>
  <c r="W188" i="8"/>
  <c r="V188" i="8"/>
  <c r="T188" i="8"/>
  <c r="S188" i="8"/>
  <c r="R188" i="8"/>
  <c r="Q188" i="8"/>
  <c r="X187" i="8"/>
  <c r="W187" i="8"/>
  <c r="V187" i="8"/>
  <c r="T187" i="8"/>
  <c r="S187" i="8"/>
  <c r="R187" i="8"/>
  <c r="Q187" i="8"/>
  <c r="X186" i="8"/>
  <c r="W186" i="8"/>
  <c r="V186" i="8"/>
  <c r="T186" i="8"/>
  <c r="S186" i="8"/>
  <c r="R186" i="8"/>
  <c r="Q186" i="8"/>
  <c r="X185" i="8"/>
  <c r="W185" i="8"/>
  <c r="V185" i="8"/>
  <c r="T185" i="8"/>
  <c r="S185" i="8"/>
  <c r="R185" i="8"/>
  <c r="Q185" i="8"/>
  <c r="X184" i="8"/>
  <c r="W184" i="8"/>
  <c r="V184" i="8"/>
  <c r="T184" i="8"/>
  <c r="S184" i="8"/>
  <c r="R184" i="8"/>
  <c r="Q184" i="8"/>
  <c r="X183" i="8"/>
  <c r="W183" i="8"/>
  <c r="V183" i="8"/>
  <c r="T183" i="8"/>
  <c r="S183" i="8"/>
  <c r="R183" i="8"/>
  <c r="Q183" i="8"/>
  <c r="X182" i="8"/>
  <c r="W182" i="8"/>
  <c r="V182" i="8"/>
  <c r="T182" i="8"/>
  <c r="S182" i="8"/>
  <c r="R182" i="8"/>
  <c r="Q182" i="8"/>
  <c r="X181" i="8"/>
  <c r="W181" i="8"/>
  <c r="V181" i="8"/>
  <c r="T181" i="8"/>
  <c r="S181" i="8"/>
  <c r="R181" i="8"/>
  <c r="Q181" i="8"/>
  <c r="X180" i="8"/>
  <c r="W180" i="8"/>
  <c r="V180" i="8"/>
  <c r="T180" i="8"/>
  <c r="S180" i="8"/>
  <c r="R180" i="8"/>
  <c r="Q180" i="8"/>
  <c r="X179" i="8"/>
  <c r="W179" i="8"/>
  <c r="V179" i="8"/>
  <c r="T179" i="8"/>
  <c r="S179" i="8"/>
  <c r="R179" i="8"/>
  <c r="Q179" i="8"/>
  <c r="X178" i="8"/>
  <c r="W178" i="8"/>
  <c r="V178" i="8"/>
  <c r="T178" i="8"/>
  <c r="S178" i="8"/>
  <c r="R178" i="8"/>
  <c r="Q178" i="8"/>
  <c r="X177" i="8"/>
  <c r="W177" i="8"/>
  <c r="V177" i="8"/>
  <c r="T177" i="8"/>
  <c r="S177" i="8"/>
  <c r="R177" i="8"/>
  <c r="Q177" i="8"/>
  <c r="X176" i="8"/>
  <c r="W176" i="8"/>
  <c r="V176" i="8"/>
  <c r="T176" i="8"/>
  <c r="S176" i="8"/>
  <c r="R176" i="8"/>
  <c r="Q176" i="8"/>
  <c r="X175" i="8"/>
  <c r="W175" i="8"/>
  <c r="V175" i="8"/>
  <c r="T175" i="8"/>
  <c r="S175" i="8"/>
  <c r="R175" i="8"/>
  <c r="Q175" i="8"/>
  <c r="X174" i="8"/>
  <c r="W174" i="8"/>
  <c r="V174" i="8"/>
  <c r="T174" i="8"/>
  <c r="S174" i="8"/>
  <c r="R174" i="8"/>
  <c r="Q174" i="8"/>
  <c r="X173" i="8"/>
  <c r="W173" i="8"/>
  <c r="V173" i="8"/>
  <c r="T173" i="8"/>
  <c r="S173" i="8"/>
  <c r="R173" i="8"/>
  <c r="Q173" i="8"/>
  <c r="X172" i="8"/>
  <c r="W172" i="8"/>
  <c r="V172" i="8"/>
  <c r="T172" i="8"/>
  <c r="S172" i="8"/>
  <c r="R172" i="8"/>
  <c r="Q172" i="8"/>
  <c r="X171" i="8"/>
  <c r="W171" i="8"/>
  <c r="V171" i="8"/>
  <c r="T171" i="8"/>
  <c r="S171" i="8"/>
  <c r="R171" i="8"/>
  <c r="Q171" i="8"/>
  <c r="X170" i="8"/>
  <c r="W170" i="8"/>
  <c r="V170" i="8"/>
  <c r="T170" i="8"/>
  <c r="S170" i="8"/>
  <c r="R170" i="8"/>
  <c r="Q170" i="8"/>
  <c r="X169" i="8"/>
  <c r="W169" i="8"/>
  <c r="V169" i="8"/>
  <c r="T169" i="8"/>
  <c r="S169" i="8"/>
  <c r="R169" i="8"/>
  <c r="Q169" i="8"/>
  <c r="X168" i="8"/>
  <c r="W168" i="8"/>
  <c r="V168" i="8"/>
  <c r="T168" i="8"/>
  <c r="S168" i="8"/>
  <c r="R168" i="8"/>
  <c r="Q168" i="8"/>
  <c r="X167" i="8"/>
  <c r="W167" i="8"/>
  <c r="V167" i="8"/>
  <c r="T167" i="8"/>
  <c r="S167" i="8"/>
  <c r="R167" i="8"/>
  <c r="Q167" i="8"/>
  <c r="X166" i="8"/>
  <c r="W166" i="8"/>
  <c r="V166" i="8"/>
  <c r="T166" i="8"/>
  <c r="S166" i="8"/>
  <c r="R166" i="8"/>
  <c r="Q166" i="8"/>
  <c r="X165" i="8"/>
  <c r="W165" i="8"/>
  <c r="V165" i="8"/>
  <c r="T165" i="8"/>
  <c r="S165" i="8"/>
  <c r="R165" i="8"/>
  <c r="Q165" i="8"/>
  <c r="X164" i="8"/>
  <c r="W164" i="8"/>
  <c r="V164" i="8"/>
  <c r="T164" i="8"/>
  <c r="S164" i="8"/>
  <c r="R164" i="8"/>
  <c r="Q164" i="8"/>
  <c r="X163" i="8"/>
  <c r="W163" i="8"/>
  <c r="V163" i="8"/>
  <c r="T163" i="8"/>
  <c r="S163" i="8"/>
  <c r="R163" i="8"/>
  <c r="Q163" i="8"/>
  <c r="X162" i="8"/>
  <c r="W162" i="8"/>
  <c r="V162" i="8"/>
  <c r="T162" i="8"/>
  <c r="S162" i="8"/>
  <c r="R162" i="8"/>
  <c r="Q162" i="8"/>
  <c r="X161" i="8"/>
  <c r="W161" i="8"/>
  <c r="V161" i="8"/>
  <c r="T161" i="8"/>
  <c r="S161" i="8"/>
  <c r="R161" i="8"/>
  <c r="Q161" i="8"/>
  <c r="X160" i="8"/>
  <c r="W160" i="8"/>
  <c r="V160" i="8"/>
  <c r="T160" i="8"/>
  <c r="S160" i="8"/>
  <c r="R160" i="8"/>
  <c r="Q160" i="8"/>
  <c r="X159" i="8"/>
  <c r="W159" i="8"/>
  <c r="V159" i="8"/>
  <c r="T159" i="8"/>
  <c r="S159" i="8"/>
  <c r="R159" i="8"/>
  <c r="Q159" i="8"/>
  <c r="X158" i="8"/>
  <c r="W158" i="8"/>
  <c r="V158" i="8"/>
  <c r="T158" i="8"/>
  <c r="S158" i="8"/>
  <c r="R158" i="8"/>
  <c r="Q158" i="8"/>
  <c r="X157" i="8"/>
  <c r="W157" i="8"/>
  <c r="V157" i="8"/>
  <c r="T157" i="8"/>
  <c r="S157" i="8"/>
  <c r="R157" i="8"/>
  <c r="Q157" i="8"/>
  <c r="X156" i="8"/>
  <c r="W156" i="8"/>
  <c r="V156" i="8"/>
  <c r="T156" i="8"/>
  <c r="S156" i="8"/>
  <c r="R156" i="8"/>
  <c r="Q156" i="8"/>
  <c r="X155" i="8"/>
  <c r="W155" i="8"/>
  <c r="V155" i="8"/>
  <c r="T155" i="8"/>
  <c r="S155" i="8"/>
  <c r="R155" i="8"/>
  <c r="Q155" i="8"/>
  <c r="X154" i="8"/>
  <c r="W154" i="8"/>
  <c r="V154" i="8"/>
  <c r="T154" i="8"/>
  <c r="S154" i="8"/>
  <c r="R154" i="8"/>
  <c r="Q154" i="8"/>
  <c r="X153" i="8"/>
  <c r="W153" i="8"/>
  <c r="V153" i="8"/>
  <c r="T153" i="8"/>
  <c r="S153" i="8"/>
  <c r="R153" i="8"/>
  <c r="Q153" i="8"/>
  <c r="X152" i="8"/>
  <c r="W152" i="8"/>
  <c r="V152" i="8"/>
  <c r="T152" i="8"/>
  <c r="S152" i="8"/>
  <c r="R152" i="8"/>
  <c r="Q152" i="8"/>
  <c r="X151" i="8"/>
  <c r="W151" i="8"/>
  <c r="V151" i="8"/>
  <c r="T151" i="8"/>
  <c r="S151" i="8"/>
  <c r="R151" i="8"/>
  <c r="Q151" i="8"/>
  <c r="X150" i="8"/>
  <c r="W150" i="8"/>
  <c r="V150" i="8"/>
  <c r="T150" i="8"/>
  <c r="S150" i="8"/>
  <c r="R150" i="8"/>
  <c r="Q150" i="8"/>
  <c r="X149" i="8"/>
  <c r="W149" i="8"/>
  <c r="V149" i="8"/>
  <c r="T149" i="8"/>
  <c r="S149" i="8"/>
  <c r="R149" i="8"/>
  <c r="Q149" i="8"/>
  <c r="X148" i="8"/>
  <c r="W148" i="8"/>
  <c r="V148" i="8"/>
  <c r="T148" i="8"/>
  <c r="S148" i="8"/>
  <c r="R148" i="8"/>
  <c r="Q148" i="8"/>
  <c r="X147" i="8"/>
  <c r="W147" i="8"/>
  <c r="V147" i="8"/>
  <c r="T147" i="8"/>
  <c r="S147" i="8"/>
  <c r="R147" i="8"/>
  <c r="Q147" i="8"/>
  <c r="X146" i="8"/>
  <c r="W146" i="8"/>
  <c r="V146" i="8"/>
  <c r="T146" i="8"/>
  <c r="S146" i="8"/>
  <c r="R146" i="8"/>
  <c r="Q146" i="8"/>
  <c r="X145" i="8"/>
  <c r="W145" i="8"/>
  <c r="V145" i="8"/>
  <c r="T145" i="8"/>
  <c r="S145" i="8"/>
  <c r="R145" i="8"/>
  <c r="Q145" i="8"/>
  <c r="X144" i="8"/>
  <c r="W144" i="8"/>
  <c r="V144" i="8"/>
  <c r="T144" i="8"/>
  <c r="S144" i="8"/>
  <c r="R144" i="8"/>
  <c r="Q144" i="8"/>
  <c r="X143" i="8"/>
  <c r="W143" i="8"/>
  <c r="V143" i="8"/>
  <c r="T143" i="8"/>
  <c r="S143" i="8"/>
  <c r="R143" i="8"/>
  <c r="Q143" i="8"/>
  <c r="X142" i="8"/>
  <c r="W142" i="8"/>
  <c r="V142" i="8"/>
  <c r="T142" i="8"/>
  <c r="S142" i="8"/>
  <c r="R142" i="8"/>
  <c r="Q142" i="8"/>
  <c r="X141" i="8"/>
  <c r="W141" i="8"/>
  <c r="V141" i="8"/>
  <c r="T141" i="8"/>
  <c r="S141" i="8"/>
  <c r="R141" i="8"/>
  <c r="Q141" i="8"/>
  <c r="X140" i="8"/>
  <c r="W140" i="8"/>
  <c r="V140" i="8"/>
  <c r="T140" i="8"/>
  <c r="S140" i="8"/>
  <c r="R140" i="8"/>
  <c r="Q140" i="8"/>
  <c r="X139" i="8"/>
  <c r="W139" i="8"/>
  <c r="V139" i="8"/>
  <c r="T139" i="8"/>
  <c r="S139" i="8"/>
  <c r="R139" i="8"/>
  <c r="Q139" i="8"/>
  <c r="X138" i="8"/>
  <c r="W138" i="8"/>
  <c r="V138" i="8"/>
  <c r="T138" i="8"/>
  <c r="S138" i="8"/>
  <c r="R138" i="8"/>
  <c r="Q138" i="8"/>
  <c r="X137" i="8"/>
  <c r="W137" i="8"/>
  <c r="V137" i="8"/>
  <c r="T137" i="8"/>
  <c r="S137" i="8"/>
  <c r="R137" i="8"/>
  <c r="Q137" i="8"/>
  <c r="X136" i="8"/>
  <c r="W136" i="8"/>
  <c r="V136" i="8"/>
  <c r="T136" i="8"/>
  <c r="S136" i="8"/>
  <c r="R136" i="8"/>
  <c r="Q136" i="8"/>
  <c r="X135" i="8"/>
  <c r="W135" i="8"/>
  <c r="V135" i="8"/>
  <c r="T135" i="8"/>
  <c r="S135" i="8"/>
  <c r="R135" i="8"/>
  <c r="Q135" i="8"/>
  <c r="X134" i="8"/>
  <c r="W134" i="8"/>
  <c r="V134" i="8"/>
  <c r="T134" i="8"/>
  <c r="S134" i="8"/>
  <c r="R134" i="8"/>
  <c r="Q134" i="8"/>
  <c r="X133" i="8"/>
  <c r="W133" i="8"/>
  <c r="V133" i="8"/>
  <c r="T133" i="8"/>
  <c r="S133" i="8"/>
  <c r="R133" i="8"/>
  <c r="Q133" i="8"/>
  <c r="X132" i="8"/>
  <c r="W132" i="8"/>
  <c r="V132" i="8"/>
  <c r="T132" i="8"/>
  <c r="S132" i="8"/>
  <c r="R132" i="8"/>
  <c r="Q132" i="8"/>
  <c r="X131" i="8"/>
  <c r="W131" i="8"/>
  <c r="V131" i="8"/>
  <c r="T131" i="8"/>
  <c r="S131" i="8"/>
  <c r="R131" i="8"/>
  <c r="Q131" i="8"/>
  <c r="X130" i="8"/>
  <c r="W130" i="8"/>
  <c r="V130" i="8"/>
  <c r="T130" i="8"/>
  <c r="S130" i="8"/>
  <c r="R130" i="8"/>
  <c r="Q130" i="8"/>
  <c r="X129" i="8"/>
  <c r="W129" i="8"/>
  <c r="V129" i="8"/>
  <c r="T129" i="8"/>
  <c r="S129" i="8"/>
  <c r="R129" i="8"/>
  <c r="Q129" i="8"/>
  <c r="X128" i="8"/>
  <c r="W128" i="8"/>
  <c r="V128" i="8"/>
  <c r="T128" i="8"/>
  <c r="S128" i="8"/>
  <c r="R128" i="8"/>
  <c r="Q128" i="8"/>
  <c r="X127" i="8"/>
  <c r="W127" i="8"/>
  <c r="V127" i="8"/>
  <c r="T127" i="8"/>
  <c r="S127" i="8"/>
  <c r="R127" i="8"/>
  <c r="Q127" i="8"/>
  <c r="X126" i="8"/>
  <c r="W126" i="8"/>
  <c r="V126" i="8"/>
  <c r="T126" i="8"/>
  <c r="S126" i="8"/>
  <c r="R126" i="8"/>
  <c r="Q126" i="8"/>
  <c r="X125" i="8"/>
  <c r="W125" i="8"/>
  <c r="V125" i="8"/>
  <c r="T125" i="8"/>
  <c r="S125" i="8"/>
  <c r="R125" i="8"/>
  <c r="Q125" i="8"/>
  <c r="X124" i="8"/>
  <c r="W124" i="8"/>
  <c r="V124" i="8"/>
  <c r="T124" i="8"/>
  <c r="S124" i="8"/>
  <c r="R124" i="8"/>
  <c r="Q124" i="8"/>
  <c r="X123" i="8"/>
  <c r="W123" i="8"/>
  <c r="V123" i="8"/>
  <c r="T123" i="8"/>
  <c r="S123" i="8"/>
  <c r="R123" i="8"/>
  <c r="Q123" i="8"/>
  <c r="X122" i="8"/>
  <c r="W122" i="8"/>
  <c r="V122" i="8"/>
  <c r="T122" i="8"/>
  <c r="S122" i="8"/>
  <c r="R122" i="8"/>
  <c r="Q122" i="8"/>
  <c r="X121" i="8"/>
  <c r="W121" i="8"/>
  <c r="V121" i="8"/>
  <c r="T121" i="8"/>
  <c r="S121" i="8"/>
  <c r="R121" i="8"/>
  <c r="Q121" i="8"/>
  <c r="X120" i="8"/>
  <c r="W120" i="8"/>
  <c r="V120" i="8"/>
  <c r="T120" i="8"/>
  <c r="S120" i="8"/>
  <c r="R120" i="8"/>
  <c r="Q120" i="8"/>
  <c r="X119" i="8"/>
  <c r="W119" i="8"/>
  <c r="V119" i="8"/>
  <c r="T119" i="8"/>
  <c r="S119" i="8"/>
  <c r="R119" i="8"/>
  <c r="Q119" i="8"/>
  <c r="X118" i="8"/>
  <c r="W118" i="8"/>
  <c r="V118" i="8"/>
  <c r="T118" i="8"/>
  <c r="S118" i="8"/>
  <c r="R118" i="8"/>
  <c r="Q118" i="8"/>
  <c r="X117" i="8"/>
  <c r="W117" i="8"/>
  <c r="V117" i="8"/>
  <c r="T117" i="8"/>
  <c r="S117" i="8"/>
  <c r="R117" i="8"/>
  <c r="Q117" i="8"/>
  <c r="X116" i="8"/>
  <c r="W116" i="8"/>
  <c r="V116" i="8"/>
  <c r="T116" i="8"/>
  <c r="S116" i="8"/>
  <c r="R116" i="8"/>
  <c r="Q116" i="8"/>
  <c r="X115" i="8"/>
  <c r="W115" i="8"/>
  <c r="V115" i="8"/>
  <c r="T115" i="8"/>
  <c r="S115" i="8"/>
  <c r="R115" i="8"/>
  <c r="Q115" i="8"/>
  <c r="X114" i="8"/>
  <c r="W114" i="8"/>
  <c r="V114" i="8"/>
  <c r="T114" i="8"/>
  <c r="S114" i="8"/>
  <c r="R114" i="8"/>
  <c r="Q114" i="8"/>
  <c r="X113" i="8"/>
  <c r="W113" i="8"/>
  <c r="V113" i="8"/>
  <c r="T113" i="8"/>
  <c r="S113" i="8"/>
  <c r="R113" i="8"/>
  <c r="Q113" i="8"/>
  <c r="X112" i="8"/>
  <c r="W112" i="8"/>
  <c r="V112" i="8"/>
  <c r="T112" i="8"/>
  <c r="S112" i="8"/>
  <c r="R112" i="8"/>
  <c r="Q112" i="8"/>
  <c r="X111" i="8"/>
  <c r="W111" i="8"/>
  <c r="V111" i="8"/>
  <c r="T111" i="8"/>
  <c r="S111" i="8"/>
  <c r="R111" i="8"/>
  <c r="Q111" i="8"/>
  <c r="X110" i="8"/>
  <c r="W110" i="8"/>
  <c r="V110" i="8"/>
  <c r="T110" i="8"/>
  <c r="S110" i="8"/>
  <c r="R110" i="8"/>
  <c r="Q110" i="8"/>
  <c r="X109" i="8"/>
  <c r="W109" i="8"/>
  <c r="V109" i="8"/>
  <c r="T109" i="8"/>
  <c r="S109" i="8"/>
  <c r="R109" i="8"/>
  <c r="Q109" i="8"/>
  <c r="X108" i="8"/>
  <c r="W108" i="8"/>
  <c r="V108" i="8"/>
  <c r="T108" i="8"/>
  <c r="S108" i="8"/>
  <c r="R108" i="8"/>
  <c r="Q108" i="8"/>
  <c r="X107" i="8"/>
  <c r="W107" i="8"/>
  <c r="V107" i="8"/>
  <c r="T107" i="8"/>
  <c r="S107" i="8"/>
  <c r="R107" i="8"/>
  <c r="Q107" i="8"/>
  <c r="X106" i="8"/>
  <c r="W106" i="8"/>
  <c r="V106" i="8"/>
  <c r="T106" i="8"/>
  <c r="S106" i="8"/>
  <c r="R106" i="8"/>
  <c r="Q106" i="8"/>
  <c r="X105" i="8"/>
  <c r="W105" i="8"/>
  <c r="V105" i="8"/>
  <c r="T105" i="8"/>
  <c r="S105" i="8"/>
  <c r="R105" i="8"/>
  <c r="Q105" i="8"/>
  <c r="X104" i="8"/>
  <c r="W104" i="8"/>
  <c r="V104" i="8"/>
  <c r="T104" i="8"/>
  <c r="S104" i="8"/>
  <c r="R104" i="8"/>
  <c r="Q104" i="8"/>
  <c r="X103" i="8"/>
  <c r="W103" i="8"/>
  <c r="V103" i="8"/>
  <c r="T103" i="8"/>
  <c r="S103" i="8"/>
  <c r="R103" i="8"/>
  <c r="Q103" i="8"/>
  <c r="X102" i="8"/>
  <c r="W102" i="8"/>
  <c r="V102" i="8"/>
  <c r="T102" i="8"/>
  <c r="S102" i="8"/>
  <c r="R102" i="8"/>
  <c r="Q102" i="8"/>
  <c r="X101" i="8"/>
  <c r="W101" i="8"/>
  <c r="V101" i="8"/>
  <c r="T101" i="8"/>
  <c r="S101" i="8"/>
  <c r="R101" i="8"/>
  <c r="Q101" i="8"/>
  <c r="X100" i="8"/>
  <c r="W100" i="8"/>
  <c r="V100" i="8"/>
  <c r="T100" i="8"/>
  <c r="S100" i="8"/>
  <c r="R100" i="8"/>
  <c r="Q100" i="8"/>
  <c r="X99" i="8"/>
  <c r="W99" i="8"/>
  <c r="V99" i="8"/>
  <c r="T99" i="8"/>
  <c r="S99" i="8"/>
  <c r="R99" i="8"/>
  <c r="Q99" i="8"/>
  <c r="X98" i="8"/>
  <c r="W98" i="8"/>
  <c r="V98" i="8"/>
  <c r="T98" i="8"/>
  <c r="S98" i="8"/>
  <c r="R98" i="8"/>
  <c r="Q98" i="8"/>
  <c r="X97" i="8"/>
  <c r="W97" i="8"/>
  <c r="V97" i="8"/>
  <c r="T97" i="8"/>
  <c r="S97" i="8"/>
  <c r="R97" i="8"/>
  <c r="Q97" i="8"/>
  <c r="X96" i="8"/>
  <c r="W96" i="8"/>
  <c r="V96" i="8"/>
  <c r="T96" i="8"/>
  <c r="S96" i="8"/>
  <c r="R96" i="8"/>
  <c r="Q96" i="8"/>
  <c r="X95" i="8"/>
  <c r="W95" i="8"/>
  <c r="V95" i="8"/>
  <c r="T95" i="8"/>
  <c r="S95" i="8"/>
  <c r="R95" i="8"/>
  <c r="Q95" i="8"/>
  <c r="X94" i="8"/>
  <c r="W94" i="8"/>
  <c r="V94" i="8"/>
  <c r="T94" i="8"/>
  <c r="S94" i="8"/>
  <c r="R94" i="8"/>
  <c r="Q94" i="8"/>
  <c r="X93" i="8"/>
  <c r="W93" i="8"/>
  <c r="V93" i="8"/>
  <c r="T93" i="8"/>
  <c r="S93" i="8"/>
  <c r="R93" i="8"/>
  <c r="Q93" i="8"/>
  <c r="X92" i="8"/>
  <c r="W92" i="8"/>
  <c r="V92" i="8"/>
  <c r="T92" i="8"/>
  <c r="S92" i="8"/>
  <c r="R92" i="8"/>
  <c r="Q92" i="8"/>
  <c r="X91" i="8"/>
  <c r="W91" i="8"/>
  <c r="V91" i="8"/>
  <c r="T91" i="8"/>
  <c r="S91" i="8"/>
  <c r="R91" i="8"/>
  <c r="Q91" i="8"/>
  <c r="X90" i="8"/>
  <c r="W90" i="8"/>
  <c r="V90" i="8"/>
  <c r="T90" i="8"/>
  <c r="S90" i="8"/>
  <c r="R90" i="8"/>
  <c r="Q90" i="8"/>
  <c r="X89" i="8"/>
  <c r="W89" i="8"/>
  <c r="V89" i="8"/>
  <c r="T89" i="8"/>
  <c r="S89" i="8"/>
  <c r="R89" i="8"/>
  <c r="Q89" i="8"/>
  <c r="X88" i="8"/>
  <c r="W88" i="8"/>
  <c r="V88" i="8"/>
  <c r="T88" i="8"/>
  <c r="S88" i="8"/>
  <c r="R88" i="8"/>
  <c r="Q88" i="8"/>
  <c r="X87" i="8"/>
  <c r="W87" i="8"/>
  <c r="V87" i="8"/>
  <c r="T87" i="8"/>
  <c r="S87" i="8"/>
  <c r="R87" i="8"/>
  <c r="Q87" i="8"/>
  <c r="X86" i="8"/>
  <c r="W86" i="8"/>
  <c r="V86" i="8"/>
  <c r="T86" i="8"/>
  <c r="S86" i="8"/>
  <c r="R86" i="8"/>
  <c r="Q86" i="8"/>
  <c r="X85" i="8"/>
  <c r="W85" i="8"/>
  <c r="V85" i="8"/>
  <c r="T85" i="8"/>
  <c r="S85" i="8"/>
  <c r="R85" i="8"/>
  <c r="Q85" i="8"/>
  <c r="X84" i="8"/>
  <c r="W84" i="8"/>
  <c r="V84" i="8"/>
  <c r="T84" i="8"/>
  <c r="S84" i="8"/>
  <c r="R84" i="8"/>
  <c r="Q84" i="8"/>
  <c r="X83" i="8"/>
  <c r="W83" i="8"/>
  <c r="V83" i="8"/>
  <c r="T83" i="8"/>
  <c r="S83" i="8"/>
  <c r="R83" i="8"/>
  <c r="Q83" i="8"/>
  <c r="X82" i="8"/>
  <c r="W82" i="8"/>
  <c r="V82" i="8"/>
  <c r="T82" i="8"/>
  <c r="S82" i="8"/>
  <c r="R82" i="8"/>
  <c r="Q82" i="8"/>
  <c r="X81" i="8"/>
  <c r="W81" i="8"/>
  <c r="V81" i="8"/>
  <c r="T81" i="8"/>
  <c r="S81" i="8"/>
  <c r="R81" i="8"/>
  <c r="Q81" i="8"/>
  <c r="X80" i="8"/>
  <c r="W80" i="8"/>
  <c r="V80" i="8"/>
  <c r="T80" i="8"/>
  <c r="S80" i="8"/>
  <c r="R80" i="8"/>
  <c r="Q80" i="8"/>
  <c r="X79" i="8"/>
  <c r="W79" i="8"/>
  <c r="V79" i="8"/>
  <c r="T79" i="8"/>
  <c r="S79" i="8"/>
  <c r="R79" i="8"/>
  <c r="Q79" i="8"/>
  <c r="X78" i="8"/>
  <c r="W78" i="8"/>
  <c r="V78" i="8"/>
  <c r="T78" i="8"/>
  <c r="S78" i="8"/>
  <c r="R78" i="8"/>
  <c r="Q78" i="8"/>
  <c r="X77" i="8"/>
  <c r="W77" i="8"/>
  <c r="V77" i="8"/>
  <c r="T77" i="8"/>
  <c r="S77" i="8"/>
  <c r="R77" i="8"/>
  <c r="Q77" i="8"/>
  <c r="X76" i="8"/>
  <c r="W76" i="8"/>
  <c r="V76" i="8"/>
  <c r="T76" i="8"/>
  <c r="S76" i="8"/>
  <c r="R76" i="8"/>
  <c r="Q76" i="8"/>
  <c r="X75" i="8"/>
  <c r="W75" i="8"/>
  <c r="V75" i="8"/>
  <c r="T75" i="8"/>
  <c r="S75" i="8"/>
  <c r="R75" i="8"/>
  <c r="Q75" i="8"/>
  <c r="X74" i="8"/>
  <c r="W74" i="8"/>
  <c r="V74" i="8"/>
  <c r="T74" i="8"/>
  <c r="S74" i="8"/>
  <c r="R74" i="8"/>
  <c r="Q74" i="8"/>
  <c r="X73" i="8"/>
  <c r="W73" i="8"/>
  <c r="V73" i="8"/>
  <c r="T73" i="8"/>
  <c r="S73" i="8"/>
  <c r="R73" i="8"/>
  <c r="Q73" i="8"/>
  <c r="X72" i="8"/>
  <c r="W72" i="8"/>
  <c r="V72" i="8"/>
  <c r="T72" i="8"/>
  <c r="S72" i="8"/>
  <c r="R72" i="8"/>
  <c r="Q72" i="8"/>
  <c r="X71" i="8"/>
  <c r="W71" i="8"/>
  <c r="V71" i="8"/>
  <c r="T71" i="8"/>
  <c r="S71" i="8"/>
  <c r="R71" i="8"/>
  <c r="Q71" i="8"/>
  <c r="X70" i="8"/>
  <c r="W70" i="8"/>
  <c r="V70" i="8"/>
  <c r="T70" i="8"/>
  <c r="S70" i="8"/>
  <c r="R70" i="8"/>
  <c r="Q70" i="8"/>
  <c r="X69" i="8"/>
  <c r="W69" i="8"/>
  <c r="V69" i="8"/>
  <c r="T69" i="8"/>
  <c r="S69" i="8"/>
  <c r="R69" i="8"/>
  <c r="Q69" i="8"/>
  <c r="X68" i="8"/>
  <c r="W68" i="8"/>
  <c r="V68" i="8"/>
  <c r="T68" i="8"/>
  <c r="S68" i="8"/>
  <c r="R68" i="8"/>
  <c r="Q68" i="8"/>
  <c r="X67" i="8"/>
  <c r="W67" i="8"/>
  <c r="V67" i="8"/>
  <c r="T67" i="8"/>
  <c r="S67" i="8"/>
  <c r="R67" i="8"/>
  <c r="Q67" i="8"/>
  <c r="X66" i="8"/>
  <c r="W66" i="8"/>
  <c r="V66" i="8"/>
  <c r="T66" i="8"/>
  <c r="S66" i="8"/>
  <c r="R66" i="8"/>
  <c r="Q66" i="8"/>
  <c r="X65" i="8"/>
  <c r="W65" i="8"/>
  <c r="V65" i="8"/>
  <c r="T65" i="8"/>
  <c r="S65" i="8"/>
  <c r="R65" i="8"/>
  <c r="Q65" i="8"/>
  <c r="X64" i="8"/>
  <c r="W64" i="8"/>
  <c r="V64" i="8"/>
  <c r="T64" i="8"/>
  <c r="S64" i="8"/>
  <c r="R64" i="8"/>
  <c r="Q64" i="8"/>
  <c r="X63" i="8"/>
  <c r="W63" i="8"/>
  <c r="V63" i="8"/>
  <c r="T63" i="8"/>
  <c r="S63" i="8"/>
  <c r="R63" i="8"/>
  <c r="Q63" i="8"/>
  <c r="X62" i="8"/>
  <c r="W62" i="8"/>
  <c r="V62" i="8"/>
  <c r="T62" i="8"/>
  <c r="S62" i="8"/>
  <c r="R62" i="8"/>
  <c r="Q62" i="8"/>
  <c r="X61" i="8"/>
  <c r="W61" i="8"/>
  <c r="V61" i="8"/>
  <c r="T61" i="8"/>
  <c r="S61" i="8"/>
  <c r="R61" i="8"/>
  <c r="Q61" i="8"/>
  <c r="X60" i="8"/>
  <c r="W60" i="8"/>
  <c r="V60" i="8"/>
  <c r="T60" i="8"/>
  <c r="S60" i="8"/>
  <c r="R60" i="8"/>
  <c r="Q60" i="8"/>
  <c r="X59" i="8"/>
  <c r="W59" i="8"/>
  <c r="V59" i="8"/>
  <c r="T59" i="8"/>
  <c r="S59" i="8"/>
  <c r="R59" i="8"/>
  <c r="Q59" i="8"/>
  <c r="X58" i="8"/>
  <c r="W58" i="8"/>
  <c r="V58" i="8"/>
  <c r="T58" i="8"/>
  <c r="S58" i="8"/>
  <c r="R58" i="8"/>
  <c r="Q58" i="8"/>
  <c r="X57" i="8"/>
  <c r="W57" i="8"/>
  <c r="V57" i="8"/>
  <c r="T57" i="8"/>
  <c r="S57" i="8"/>
  <c r="R57" i="8"/>
  <c r="Q57" i="8"/>
  <c r="X56" i="8"/>
  <c r="W56" i="8"/>
  <c r="V56" i="8"/>
  <c r="T56" i="8"/>
  <c r="S56" i="8"/>
  <c r="R56" i="8"/>
  <c r="Q56" i="8"/>
  <c r="X55" i="8"/>
  <c r="W55" i="8"/>
  <c r="V55" i="8"/>
  <c r="T55" i="8"/>
  <c r="S55" i="8"/>
  <c r="R55" i="8"/>
  <c r="Q55" i="8"/>
  <c r="X54" i="8"/>
  <c r="W54" i="8"/>
  <c r="V54" i="8"/>
  <c r="T54" i="8"/>
  <c r="S54" i="8"/>
  <c r="R54" i="8"/>
  <c r="Q54" i="8"/>
  <c r="X53" i="8"/>
  <c r="W53" i="8"/>
  <c r="V53" i="8"/>
  <c r="T53" i="8"/>
  <c r="S53" i="8"/>
  <c r="R53" i="8"/>
  <c r="Q53" i="8"/>
  <c r="X52" i="8"/>
  <c r="W52" i="8"/>
  <c r="V52" i="8"/>
  <c r="T52" i="8"/>
  <c r="S52" i="8"/>
  <c r="R52" i="8"/>
  <c r="Q52" i="8"/>
  <c r="X51" i="8"/>
  <c r="W51" i="8"/>
  <c r="V51" i="8"/>
  <c r="T51" i="8"/>
  <c r="S51" i="8"/>
  <c r="R51" i="8"/>
  <c r="Q51" i="8"/>
  <c r="X50" i="8"/>
  <c r="W50" i="8"/>
  <c r="V50" i="8"/>
  <c r="T50" i="8"/>
  <c r="S50" i="8"/>
  <c r="R50" i="8"/>
  <c r="Q50" i="8"/>
  <c r="X49" i="8"/>
  <c r="W49" i="8"/>
  <c r="V49" i="8"/>
  <c r="T49" i="8"/>
  <c r="S49" i="8"/>
  <c r="R49" i="8"/>
  <c r="Q49" i="8"/>
  <c r="X48" i="8"/>
  <c r="W48" i="8"/>
  <c r="V48" i="8"/>
  <c r="T48" i="8"/>
  <c r="S48" i="8"/>
  <c r="R48" i="8"/>
  <c r="Q48" i="8"/>
  <c r="X47" i="8"/>
  <c r="W47" i="8"/>
  <c r="V47" i="8"/>
  <c r="T47" i="8"/>
  <c r="S47" i="8"/>
  <c r="R47" i="8"/>
  <c r="Q47" i="8"/>
  <c r="X46" i="8"/>
  <c r="W46" i="8"/>
  <c r="V46" i="8"/>
  <c r="T46" i="8"/>
  <c r="S46" i="8"/>
  <c r="R46" i="8"/>
  <c r="Q46" i="8"/>
  <c r="X45" i="8"/>
  <c r="W45" i="8"/>
  <c r="V45" i="8"/>
  <c r="T45" i="8"/>
  <c r="S45" i="8"/>
  <c r="R45" i="8"/>
  <c r="Q45" i="8"/>
  <c r="X44" i="8"/>
  <c r="W44" i="8"/>
  <c r="V44" i="8"/>
  <c r="T44" i="8"/>
  <c r="S44" i="8"/>
  <c r="R44" i="8"/>
  <c r="Q44" i="8"/>
  <c r="X43" i="8"/>
  <c r="W43" i="8"/>
  <c r="V43" i="8"/>
  <c r="T43" i="8"/>
  <c r="S43" i="8"/>
  <c r="R43" i="8"/>
  <c r="Q43" i="8"/>
  <c r="X42" i="8"/>
  <c r="W42" i="8"/>
  <c r="V42" i="8"/>
  <c r="T42" i="8"/>
  <c r="S42" i="8"/>
  <c r="R42" i="8"/>
  <c r="Q42" i="8"/>
  <c r="X41" i="8"/>
  <c r="W41" i="8"/>
  <c r="V41" i="8"/>
  <c r="T41" i="8"/>
  <c r="S41" i="8"/>
  <c r="R41" i="8"/>
  <c r="Q41" i="8"/>
  <c r="X40" i="8"/>
  <c r="W40" i="8"/>
  <c r="V40" i="8"/>
  <c r="T40" i="8"/>
  <c r="S40" i="8"/>
  <c r="R40" i="8"/>
  <c r="Q40" i="8"/>
  <c r="X39" i="8"/>
  <c r="W39" i="8"/>
  <c r="V39" i="8"/>
  <c r="T39" i="8"/>
  <c r="S39" i="8"/>
  <c r="R39" i="8"/>
  <c r="Q39" i="8"/>
  <c r="X38" i="8"/>
  <c r="W38" i="8"/>
  <c r="V38" i="8"/>
  <c r="T38" i="8"/>
  <c r="S38" i="8"/>
  <c r="R38" i="8"/>
  <c r="Q38" i="8"/>
  <c r="X37" i="8"/>
  <c r="W37" i="8"/>
  <c r="V37" i="8"/>
  <c r="T37" i="8"/>
  <c r="S37" i="8"/>
  <c r="R37" i="8"/>
  <c r="Q37" i="8"/>
  <c r="X36" i="8"/>
  <c r="W36" i="8"/>
  <c r="V36" i="8"/>
  <c r="T36" i="8"/>
  <c r="S36" i="8"/>
  <c r="R36" i="8"/>
  <c r="Q36" i="8"/>
  <c r="X35" i="8"/>
  <c r="W35" i="8"/>
  <c r="V35" i="8"/>
  <c r="T35" i="8"/>
  <c r="S35" i="8"/>
  <c r="R35" i="8"/>
  <c r="Q35" i="8"/>
  <c r="X34" i="8"/>
  <c r="W34" i="8"/>
  <c r="V34" i="8"/>
  <c r="T34" i="8"/>
  <c r="S34" i="8"/>
  <c r="R34" i="8"/>
  <c r="Q34" i="8"/>
  <c r="X33" i="8"/>
  <c r="W33" i="8"/>
  <c r="V33" i="8"/>
  <c r="T33" i="8"/>
  <c r="S33" i="8"/>
  <c r="R33" i="8"/>
  <c r="Q33" i="8"/>
  <c r="X32" i="8"/>
  <c r="W32" i="8"/>
  <c r="V32" i="8"/>
  <c r="T32" i="8"/>
  <c r="S32" i="8"/>
  <c r="R32" i="8"/>
  <c r="Q32" i="8"/>
  <c r="X31" i="8"/>
  <c r="W31" i="8"/>
  <c r="V31" i="8"/>
  <c r="T31" i="8"/>
  <c r="S31" i="8"/>
  <c r="R31" i="8"/>
  <c r="Q31" i="8"/>
  <c r="X30" i="8"/>
  <c r="W30" i="8"/>
  <c r="V30" i="8"/>
  <c r="T30" i="8"/>
  <c r="S30" i="8"/>
  <c r="R30" i="8"/>
  <c r="Q30" i="8"/>
  <c r="X29" i="8"/>
  <c r="W29" i="8"/>
  <c r="V29" i="8"/>
  <c r="T29" i="8"/>
  <c r="S29" i="8"/>
  <c r="R29" i="8"/>
  <c r="Q29" i="8"/>
  <c r="X28" i="8"/>
  <c r="W28" i="8"/>
  <c r="V28" i="8"/>
  <c r="T28" i="8"/>
  <c r="S28" i="8"/>
  <c r="R28" i="8"/>
  <c r="Q28" i="8"/>
  <c r="X27" i="8"/>
  <c r="W27" i="8"/>
  <c r="V27" i="8"/>
  <c r="T27" i="8"/>
  <c r="S27" i="8"/>
  <c r="R27" i="8"/>
  <c r="Q27" i="8"/>
  <c r="X26" i="8"/>
  <c r="W26" i="8"/>
  <c r="V26" i="8"/>
  <c r="T26" i="8"/>
  <c r="S26" i="8"/>
  <c r="R26" i="8"/>
  <c r="Q26" i="8"/>
  <c r="X25" i="8"/>
  <c r="W25" i="8"/>
  <c r="V25" i="8"/>
  <c r="T25" i="8"/>
  <c r="S25" i="8"/>
  <c r="R25" i="8"/>
  <c r="Q25" i="8"/>
  <c r="X24" i="8"/>
  <c r="W24" i="8"/>
  <c r="V24" i="8"/>
  <c r="T24" i="8"/>
  <c r="S24" i="8"/>
  <c r="R24" i="8"/>
  <c r="Q24" i="8"/>
  <c r="X23" i="8"/>
  <c r="W23" i="8"/>
  <c r="V23" i="8"/>
  <c r="T23" i="8"/>
  <c r="S23" i="8"/>
  <c r="R23" i="8"/>
  <c r="Q23" i="8"/>
  <c r="X22" i="8"/>
  <c r="W22" i="8"/>
  <c r="V22" i="8"/>
  <c r="T22" i="8"/>
  <c r="S22" i="8"/>
  <c r="R22" i="8"/>
  <c r="Q22" i="8"/>
  <c r="X21" i="8"/>
  <c r="W21" i="8"/>
  <c r="V21" i="8"/>
  <c r="T21" i="8"/>
  <c r="S21" i="8"/>
  <c r="R21" i="8"/>
  <c r="Q21" i="8"/>
  <c r="X20" i="8"/>
  <c r="W20" i="8"/>
  <c r="V20" i="8"/>
  <c r="T20" i="8"/>
  <c r="S20" i="8"/>
  <c r="R20" i="8"/>
  <c r="Q20" i="8"/>
  <c r="X19" i="8"/>
  <c r="W19" i="8"/>
  <c r="V19" i="8"/>
  <c r="T19" i="8"/>
  <c r="S19" i="8"/>
  <c r="R19" i="8"/>
  <c r="Q19" i="8"/>
  <c r="X18" i="8"/>
  <c r="W18" i="8"/>
  <c r="V18" i="8"/>
  <c r="T18" i="8"/>
  <c r="S18" i="8"/>
  <c r="R18" i="8"/>
  <c r="Q18" i="8"/>
  <c r="X17" i="8"/>
  <c r="W17" i="8"/>
  <c r="V17" i="8"/>
  <c r="T17" i="8"/>
  <c r="S17" i="8"/>
  <c r="R17" i="8"/>
  <c r="Q17" i="8"/>
  <c r="X16" i="8"/>
  <c r="W16" i="8"/>
  <c r="V16" i="8"/>
  <c r="T16" i="8"/>
  <c r="S16" i="8"/>
  <c r="R16" i="8"/>
  <c r="Q16" i="8"/>
  <c r="X15" i="8"/>
  <c r="W15" i="8"/>
  <c r="V15" i="8"/>
  <c r="T15" i="8"/>
  <c r="S15" i="8"/>
  <c r="R15" i="8"/>
  <c r="Q15" i="8"/>
  <c r="X14" i="8"/>
  <c r="W14" i="8"/>
  <c r="V14" i="8"/>
  <c r="T14" i="8"/>
  <c r="S14" i="8"/>
  <c r="R14" i="8"/>
  <c r="Q14" i="8"/>
  <c r="X13" i="8"/>
  <c r="W13" i="8"/>
  <c r="V13" i="8"/>
  <c r="T13" i="8"/>
  <c r="S13" i="8"/>
  <c r="R13" i="8"/>
  <c r="Q13" i="8"/>
  <c r="X12" i="8"/>
  <c r="W12" i="8"/>
  <c r="V12" i="8"/>
  <c r="T12" i="8"/>
  <c r="S12" i="8"/>
  <c r="R12" i="8"/>
  <c r="Q12" i="8"/>
  <c r="X11" i="8"/>
  <c r="W11" i="8"/>
  <c r="V11" i="8"/>
  <c r="T11" i="8"/>
  <c r="S11" i="8"/>
  <c r="R11" i="8"/>
  <c r="Q11" i="8"/>
  <c r="X10" i="8"/>
  <c r="W10" i="8"/>
  <c r="V10" i="8"/>
  <c r="T10" i="8"/>
  <c r="S10" i="8"/>
  <c r="R10" i="8"/>
  <c r="Q10" i="8"/>
  <c r="X9" i="8"/>
  <c r="W9" i="8"/>
  <c r="V9" i="8"/>
  <c r="T9" i="8"/>
  <c r="S9" i="8"/>
  <c r="R9" i="8"/>
  <c r="Q9" i="8"/>
  <c r="X8" i="8"/>
  <c r="W8" i="8"/>
  <c r="V8" i="8"/>
  <c r="T8" i="8"/>
  <c r="S8" i="8"/>
  <c r="R8" i="8"/>
  <c r="Q8" i="8"/>
  <c r="X7" i="8"/>
  <c r="W7" i="8"/>
  <c r="V7" i="8"/>
  <c r="T7" i="8"/>
  <c r="S7" i="8"/>
  <c r="R7" i="8"/>
  <c r="Q7" i="8"/>
  <c r="X6" i="8"/>
  <c r="W6" i="8"/>
  <c r="V6" i="8"/>
  <c r="T6" i="8"/>
  <c r="S6" i="8"/>
  <c r="R6" i="8"/>
  <c r="Q6" i="8"/>
  <c r="X5" i="8"/>
  <c r="W5" i="8"/>
  <c r="V5" i="8"/>
  <c r="T5" i="8"/>
  <c r="S5" i="8"/>
  <c r="R5" i="8"/>
  <c r="Q5" i="8"/>
  <c r="X4" i="8"/>
  <c r="W4" i="8"/>
  <c r="V4" i="8"/>
  <c r="T4" i="8"/>
  <c r="S4" i="8"/>
  <c r="R4" i="8"/>
  <c r="Q4" i="8"/>
  <c r="X3" i="8"/>
  <c r="W3" i="8"/>
  <c r="V3" i="8"/>
  <c r="T3" i="8"/>
  <c r="S3" i="8"/>
  <c r="R3" i="8"/>
  <c r="Q3" i="8"/>
  <c r="X2" i="8"/>
  <c r="W2" i="8"/>
  <c r="V2" i="8"/>
  <c r="T2" i="8"/>
  <c r="S2" i="8"/>
  <c r="R2" i="8"/>
  <c r="Q2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P2" i="8"/>
  <c r="O2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L2" i="8"/>
  <c r="K2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244" i="8"/>
  <c r="F244" i="8"/>
  <c r="E244" i="8"/>
  <c r="D244" i="8"/>
  <c r="C244" i="8"/>
  <c r="H243" i="8"/>
  <c r="G243" i="8"/>
  <c r="F243" i="8"/>
  <c r="E243" i="8"/>
  <c r="D243" i="8"/>
  <c r="C243" i="8"/>
  <c r="H242" i="8"/>
  <c r="G242" i="8"/>
  <c r="F242" i="8"/>
  <c r="E242" i="8"/>
  <c r="D242" i="8"/>
  <c r="C242" i="8"/>
  <c r="H241" i="8"/>
  <c r="G241" i="8"/>
  <c r="F241" i="8"/>
  <c r="E241" i="8"/>
  <c r="D241" i="8"/>
  <c r="C241" i="8"/>
  <c r="H240" i="8"/>
  <c r="G240" i="8"/>
  <c r="F240" i="8"/>
  <c r="E240" i="8"/>
  <c r="D240" i="8"/>
  <c r="C240" i="8"/>
  <c r="H239" i="8"/>
  <c r="G239" i="8"/>
  <c r="F239" i="8"/>
  <c r="E239" i="8"/>
  <c r="D239" i="8"/>
  <c r="C239" i="8"/>
  <c r="H238" i="8"/>
  <c r="G238" i="8"/>
  <c r="F238" i="8"/>
  <c r="E238" i="8"/>
  <c r="D238" i="8"/>
  <c r="C238" i="8"/>
  <c r="H237" i="8"/>
  <c r="G237" i="8"/>
  <c r="F237" i="8"/>
  <c r="E237" i="8"/>
  <c r="D237" i="8"/>
  <c r="C237" i="8"/>
  <c r="H236" i="8"/>
  <c r="G236" i="8"/>
  <c r="F236" i="8"/>
  <c r="E236" i="8"/>
  <c r="D236" i="8"/>
  <c r="C236" i="8"/>
  <c r="H235" i="8"/>
  <c r="G235" i="8"/>
  <c r="F235" i="8"/>
  <c r="E235" i="8"/>
  <c r="D235" i="8"/>
  <c r="C235" i="8"/>
  <c r="H234" i="8"/>
  <c r="G234" i="8"/>
  <c r="F234" i="8"/>
  <c r="E234" i="8"/>
  <c r="D234" i="8"/>
  <c r="C234" i="8"/>
  <c r="H233" i="8"/>
  <c r="G233" i="8"/>
  <c r="F233" i="8"/>
  <c r="E233" i="8"/>
  <c r="D233" i="8"/>
  <c r="C233" i="8"/>
  <c r="H232" i="8"/>
  <c r="G232" i="8"/>
  <c r="F232" i="8"/>
  <c r="E232" i="8"/>
  <c r="D232" i="8"/>
  <c r="C232" i="8"/>
  <c r="H231" i="8"/>
  <c r="G231" i="8"/>
  <c r="F231" i="8"/>
  <c r="E231" i="8"/>
  <c r="D231" i="8"/>
  <c r="C231" i="8"/>
  <c r="H230" i="8"/>
  <c r="G230" i="8"/>
  <c r="F230" i="8"/>
  <c r="E230" i="8"/>
  <c r="D230" i="8"/>
  <c r="C230" i="8"/>
  <c r="H229" i="8"/>
  <c r="G229" i="8"/>
  <c r="F229" i="8"/>
  <c r="E229" i="8"/>
  <c r="D229" i="8"/>
  <c r="C229" i="8"/>
  <c r="H228" i="8"/>
  <c r="G228" i="8"/>
  <c r="F228" i="8"/>
  <c r="E228" i="8"/>
  <c r="D228" i="8"/>
  <c r="C228" i="8"/>
  <c r="H227" i="8"/>
  <c r="G227" i="8"/>
  <c r="F227" i="8"/>
  <c r="E227" i="8"/>
  <c r="D227" i="8"/>
  <c r="C227" i="8"/>
  <c r="H226" i="8"/>
  <c r="G226" i="8"/>
  <c r="F226" i="8"/>
  <c r="E226" i="8"/>
  <c r="D226" i="8"/>
  <c r="C226" i="8"/>
  <c r="H225" i="8"/>
  <c r="G225" i="8"/>
  <c r="F225" i="8"/>
  <c r="E225" i="8"/>
  <c r="D225" i="8"/>
  <c r="C225" i="8"/>
  <c r="H224" i="8"/>
  <c r="G224" i="8"/>
  <c r="F224" i="8"/>
  <c r="E224" i="8"/>
  <c r="D224" i="8"/>
  <c r="C224" i="8"/>
  <c r="H223" i="8"/>
  <c r="G223" i="8"/>
  <c r="F223" i="8"/>
  <c r="E223" i="8"/>
  <c r="D223" i="8"/>
  <c r="C223" i="8"/>
  <c r="H222" i="8"/>
  <c r="G222" i="8"/>
  <c r="F222" i="8"/>
  <c r="E222" i="8"/>
  <c r="D222" i="8"/>
  <c r="C222" i="8"/>
  <c r="H221" i="8"/>
  <c r="G221" i="8"/>
  <c r="F221" i="8"/>
  <c r="E221" i="8"/>
  <c r="D221" i="8"/>
  <c r="C221" i="8"/>
  <c r="H220" i="8"/>
  <c r="G220" i="8"/>
  <c r="F220" i="8"/>
  <c r="E220" i="8"/>
  <c r="D220" i="8"/>
  <c r="C220" i="8"/>
  <c r="H219" i="8"/>
  <c r="G219" i="8"/>
  <c r="F219" i="8"/>
  <c r="E219" i="8"/>
  <c r="D219" i="8"/>
  <c r="C219" i="8"/>
  <c r="H218" i="8"/>
  <c r="G218" i="8"/>
  <c r="F218" i="8"/>
  <c r="E218" i="8"/>
  <c r="D218" i="8"/>
  <c r="C218" i="8"/>
  <c r="H217" i="8"/>
  <c r="G217" i="8"/>
  <c r="F217" i="8"/>
  <c r="E217" i="8"/>
  <c r="D217" i="8"/>
  <c r="C217" i="8"/>
  <c r="H216" i="8"/>
  <c r="G216" i="8"/>
  <c r="F216" i="8"/>
  <c r="E216" i="8"/>
  <c r="D216" i="8"/>
  <c r="C216" i="8"/>
  <c r="H215" i="8"/>
  <c r="G215" i="8"/>
  <c r="F215" i="8"/>
  <c r="E215" i="8"/>
  <c r="D215" i="8"/>
  <c r="C215" i="8"/>
  <c r="H214" i="8"/>
  <c r="G214" i="8"/>
  <c r="F214" i="8"/>
  <c r="E214" i="8"/>
  <c r="D214" i="8"/>
  <c r="C214" i="8"/>
  <c r="H213" i="8"/>
  <c r="G213" i="8"/>
  <c r="F213" i="8"/>
  <c r="E213" i="8"/>
  <c r="D213" i="8"/>
  <c r="C213" i="8"/>
  <c r="H212" i="8"/>
  <c r="G212" i="8"/>
  <c r="F212" i="8"/>
  <c r="E212" i="8"/>
  <c r="D212" i="8"/>
  <c r="C212" i="8"/>
  <c r="H211" i="8"/>
  <c r="G211" i="8"/>
  <c r="F211" i="8"/>
  <c r="E211" i="8"/>
  <c r="D211" i="8"/>
  <c r="C211" i="8"/>
  <c r="H210" i="8"/>
  <c r="G210" i="8"/>
  <c r="F210" i="8"/>
  <c r="E210" i="8"/>
  <c r="D210" i="8"/>
  <c r="C210" i="8"/>
  <c r="H209" i="8"/>
  <c r="G209" i="8"/>
  <c r="F209" i="8"/>
  <c r="E209" i="8"/>
  <c r="D209" i="8"/>
  <c r="C209" i="8"/>
  <c r="H208" i="8"/>
  <c r="G208" i="8"/>
  <c r="F208" i="8"/>
  <c r="E208" i="8"/>
  <c r="D208" i="8"/>
  <c r="C208" i="8"/>
  <c r="H207" i="8"/>
  <c r="G207" i="8"/>
  <c r="F207" i="8"/>
  <c r="E207" i="8"/>
  <c r="D207" i="8"/>
  <c r="C207" i="8"/>
  <c r="H206" i="8"/>
  <c r="G206" i="8"/>
  <c r="F206" i="8"/>
  <c r="E206" i="8"/>
  <c r="D206" i="8"/>
  <c r="C206" i="8"/>
  <c r="H205" i="8"/>
  <c r="G205" i="8"/>
  <c r="F205" i="8"/>
  <c r="E205" i="8"/>
  <c r="D205" i="8"/>
  <c r="C205" i="8"/>
  <c r="H204" i="8"/>
  <c r="G204" i="8"/>
  <c r="F204" i="8"/>
  <c r="E204" i="8"/>
  <c r="D204" i="8"/>
  <c r="C204" i="8"/>
  <c r="H203" i="8"/>
  <c r="G203" i="8"/>
  <c r="F203" i="8"/>
  <c r="E203" i="8"/>
  <c r="D203" i="8"/>
  <c r="C203" i="8"/>
  <c r="H202" i="8"/>
  <c r="G202" i="8"/>
  <c r="F202" i="8"/>
  <c r="E202" i="8"/>
  <c r="D202" i="8"/>
  <c r="C202" i="8"/>
  <c r="H201" i="8"/>
  <c r="G201" i="8"/>
  <c r="F201" i="8"/>
  <c r="E201" i="8"/>
  <c r="D201" i="8"/>
  <c r="C201" i="8"/>
  <c r="H200" i="8"/>
  <c r="G200" i="8"/>
  <c r="F200" i="8"/>
  <c r="E200" i="8"/>
  <c r="D200" i="8"/>
  <c r="C200" i="8"/>
  <c r="H199" i="8"/>
  <c r="G199" i="8"/>
  <c r="F199" i="8"/>
  <c r="E199" i="8"/>
  <c r="D199" i="8"/>
  <c r="C199" i="8"/>
  <c r="H198" i="8"/>
  <c r="G198" i="8"/>
  <c r="F198" i="8"/>
  <c r="E198" i="8"/>
  <c r="D198" i="8"/>
  <c r="C198" i="8"/>
  <c r="H197" i="8"/>
  <c r="G197" i="8"/>
  <c r="F197" i="8"/>
  <c r="E197" i="8"/>
  <c r="D197" i="8"/>
  <c r="C197" i="8"/>
  <c r="H196" i="8"/>
  <c r="G196" i="8"/>
  <c r="F196" i="8"/>
  <c r="E196" i="8"/>
  <c r="D196" i="8"/>
  <c r="C196" i="8"/>
  <c r="H195" i="8"/>
  <c r="G195" i="8"/>
  <c r="F195" i="8"/>
  <c r="E195" i="8"/>
  <c r="D195" i="8"/>
  <c r="C195" i="8"/>
  <c r="H194" i="8"/>
  <c r="G194" i="8"/>
  <c r="F194" i="8"/>
  <c r="E194" i="8"/>
  <c r="D194" i="8"/>
  <c r="C194" i="8"/>
  <c r="H193" i="8"/>
  <c r="G193" i="8"/>
  <c r="F193" i="8"/>
  <c r="E193" i="8"/>
  <c r="D193" i="8"/>
  <c r="C193" i="8"/>
  <c r="H192" i="8"/>
  <c r="G192" i="8"/>
  <c r="F192" i="8"/>
  <c r="E192" i="8"/>
  <c r="D192" i="8"/>
  <c r="C192" i="8"/>
  <c r="H191" i="8"/>
  <c r="G191" i="8"/>
  <c r="F191" i="8"/>
  <c r="E191" i="8"/>
  <c r="D191" i="8"/>
  <c r="C191" i="8"/>
  <c r="H190" i="8"/>
  <c r="G190" i="8"/>
  <c r="F190" i="8"/>
  <c r="E190" i="8"/>
  <c r="D190" i="8"/>
  <c r="C190" i="8"/>
  <c r="H189" i="8"/>
  <c r="G189" i="8"/>
  <c r="F189" i="8"/>
  <c r="E189" i="8"/>
  <c r="D189" i="8"/>
  <c r="C189" i="8"/>
  <c r="H188" i="8"/>
  <c r="G188" i="8"/>
  <c r="F188" i="8"/>
  <c r="E188" i="8"/>
  <c r="D188" i="8"/>
  <c r="C188" i="8"/>
  <c r="H187" i="8"/>
  <c r="G187" i="8"/>
  <c r="F187" i="8"/>
  <c r="E187" i="8"/>
  <c r="D187" i="8"/>
  <c r="C187" i="8"/>
  <c r="H186" i="8"/>
  <c r="G186" i="8"/>
  <c r="F186" i="8"/>
  <c r="E186" i="8"/>
  <c r="D186" i="8"/>
  <c r="C186" i="8"/>
  <c r="H185" i="8"/>
  <c r="G185" i="8"/>
  <c r="F185" i="8"/>
  <c r="E185" i="8"/>
  <c r="D185" i="8"/>
  <c r="C185" i="8"/>
  <c r="H184" i="8"/>
  <c r="G184" i="8"/>
  <c r="F184" i="8"/>
  <c r="E184" i="8"/>
  <c r="D184" i="8"/>
  <c r="C184" i="8"/>
  <c r="H183" i="8"/>
  <c r="G183" i="8"/>
  <c r="F183" i="8"/>
  <c r="E183" i="8"/>
  <c r="D183" i="8"/>
  <c r="C183" i="8"/>
  <c r="H182" i="8"/>
  <c r="G182" i="8"/>
  <c r="F182" i="8"/>
  <c r="E182" i="8"/>
  <c r="D182" i="8"/>
  <c r="C182" i="8"/>
  <c r="H181" i="8"/>
  <c r="G181" i="8"/>
  <c r="F181" i="8"/>
  <c r="E181" i="8"/>
  <c r="D181" i="8"/>
  <c r="C181" i="8"/>
  <c r="H180" i="8"/>
  <c r="G180" i="8"/>
  <c r="F180" i="8"/>
  <c r="E180" i="8"/>
  <c r="D180" i="8"/>
  <c r="C180" i="8"/>
  <c r="H179" i="8"/>
  <c r="G179" i="8"/>
  <c r="F179" i="8"/>
  <c r="E179" i="8"/>
  <c r="D179" i="8"/>
  <c r="C179" i="8"/>
  <c r="H178" i="8"/>
  <c r="G178" i="8"/>
  <c r="F178" i="8"/>
  <c r="E178" i="8"/>
  <c r="D178" i="8"/>
  <c r="C178" i="8"/>
  <c r="H177" i="8"/>
  <c r="G177" i="8"/>
  <c r="F177" i="8"/>
  <c r="E177" i="8"/>
  <c r="D177" i="8"/>
  <c r="C177" i="8"/>
  <c r="H176" i="8"/>
  <c r="G176" i="8"/>
  <c r="F176" i="8"/>
  <c r="E176" i="8"/>
  <c r="D176" i="8"/>
  <c r="C176" i="8"/>
  <c r="H175" i="8"/>
  <c r="G175" i="8"/>
  <c r="F175" i="8"/>
  <c r="E175" i="8"/>
  <c r="D175" i="8"/>
  <c r="C175" i="8"/>
  <c r="H174" i="8"/>
  <c r="G174" i="8"/>
  <c r="F174" i="8"/>
  <c r="E174" i="8"/>
  <c r="D174" i="8"/>
  <c r="C174" i="8"/>
  <c r="H173" i="8"/>
  <c r="G173" i="8"/>
  <c r="F173" i="8"/>
  <c r="E173" i="8"/>
  <c r="D173" i="8"/>
  <c r="C173" i="8"/>
  <c r="H172" i="8"/>
  <c r="G172" i="8"/>
  <c r="F172" i="8"/>
  <c r="E172" i="8"/>
  <c r="D172" i="8"/>
  <c r="C172" i="8"/>
  <c r="H171" i="8"/>
  <c r="G171" i="8"/>
  <c r="F171" i="8"/>
  <c r="E171" i="8"/>
  <c r="D171" i="8"/>
  <c r="C171" i="8"/>
  <c r="H170" i="8"/>
  <c r="G170" i="8"/>
  <c r="F170" i="8"/>
  <c r="E170" i="8"/>
  <c r="D170" i="8"/>
  <c r="C170" i="8"/>
  <c r="H169" i="8"/>
  <c r="G169" i="8"/>
  <c r="F169" i="8"/>
  <c r="E169" i="8"/>
  <c r="D169" i="8"/>
  <c r="C169" i="8"/>
  <c r="H168" i="8"/>
  <c r="G168" i="8"/>
  <c r="F168" i="8"/>
  <c r="E168" i="8"/>
  <c r="D168" i="8"/>
  <c r="C168" i="8"/>
  <c r="H167" i="8"/>
  <c r="G167" i="8"/>
  <c r="F167" i="8"/>
  <c r="E167" i="8"/>
  <c r="D167" i="8"/>
  <c r="C167" i="8"/>
  <c r="H166" i="8"/>
  <c r="G166" i="8"/>
  <c r="F166" i="8"/>
  <c r="E166" i="8"/>
  <c r="D166" i="8"/>
  <c r="C166" i="8"/>
  <c r="H165" i="8"/>
  <c r="G165" i="8"/>
  <c r="F165" i="8"/>
  <c r="E165" i="8"/>
  <c r="D165" i="8"/>
  <c r="C165" i="8"/>
  <c r="H164" i="8"/>
  <c r="G164" i="8"/>
  <c r="F164" i="8"/>
  <c r="E164" i="8"/>
  <c r="D164" i="8"/>
  <c r="C164" i="8"/>
  <c r="H163" i="8"/>
  <c r="G163" i="8"/>
  <c r="F163" i="8"/>
  <c r="E163" i="8"/>
  <c r="D163" i="8"/>
  <c r="C163" i="8"/>
  <c r="H162" i="8"/>
  <c r="G162" i="8"/>
  <c r="F162" i="8"/>
  <c r="E162" i="8"/>
  <c r="D162" i="8"/>
  <c r="C162" i="8"/>
  <c r="H161" i="8"/>
  <c r="G161" i="8"/>
  <c r="F161" i="8"/>
  <c r="E161" i="8"/>
  <c r="D161" i="8"/>
  <c r="C161" i="8"/>
  <c r="H160" i="8"/>
  <c r="G160" i="8"/>
  <c r="F160" i="8"/>
  <c r="E160" i="8"/>
  <c r="D160" i="8"/>
  <c r="C160" i="8"/>
  <c r="H159" i="8"/>
  <c r="G159" i="8"/>
  <c r="F159" i="8"/>
  <c r="E159" i="8"/>
  <c r="D159" i="8"/>
  <c r="C159" i="8"/>
  <c r="H158" i="8"/>
  <c r="G158" i="8"/>
  <c r="F158" i="8"/>
  <c r="E158" i="8"/>
  <c r="D158" i="8"/>
  <c r="C158" i="8"/>
  <c r="H157" i="8"/>
  <c r="G157" i="8"/>
  <c r="F157" i="8"/>
  <c r="E157" i="8"/>
  <c r="D157" i="8"/>
  <c r="C157" i="8"/>
  <c r="H156" i="8"/>
  <c r="G156" i="8"/>
  <c r="F156" i="8"/>
  <c r="E156" i="8"/>
  <c r="D156" i="8"/>
  <c r="C156" i="8"/>
  <c r="H155" i="8"/>
  <c r="G155" i="8"/>
  <c r="F155" i="8"/>
  <c r="E155" i="8"/>
  <c r="D155" i="8"/>
  <c r="C155" i="8"/>
  <c r="H154" i="8"/>
  <c r="G154" i="8"/>
  <c r="F154" i="8"/>
  <c r="E154" i="8"/>
  <c r="D154" i="8"/>
  <c r="C154" i="8"/>
  <c r="H153" i="8"/>
  <c r="G153" i="8"/>
  <c r="F153" i="8"/>
  <c r="E153" i="8"/>
  <c r="D153" i="8"/>
  <c r="C153" i="8"/>
  <c r="H152" i="8"/>
  <c r="G152" i="8"/>
  <c r="F152" i="8"/>
  <c r="E152" i="8"/>
  <c r="D152" i="8"/>
  <c r="C152" i="8"/>
  <c r="H151" i="8"/>
  <c r="G151" i="8"/>
  <c r="F151" i="8"/>
  <c r="E151" i="8"/>
  <c r="D151" i="8"/>
  <c r="C151" i="8"/>
  <c r="H150" i="8"/>
  <c r="G150" i="8"/>
  <c r="F150" i="8"/>
  <c r="E150" i="8"/>
  <c r="D150" i="8"/>
  <c r="C150" i="8"/>
  <c r="H149" i="8"/>
  <c r="G149" i="8"/>
  <c r="F149" i="8"/>
  <c r="E149" i="8"/>
  <c r="D149" i="8"/>
  <c r="C149" i="8"/>
  <c r="H148" i="8"/>
  <c r="G148" i="8"/>
  <c r="F148" i="8"/>
  <c r="E148" i="8"/>
  <c r="D148" i="8"/>
  <c r="C148" i="8"/>
  <c r="H147" i="8"/>
  <c r="G147" i="8"/>
  <c r="F147" i="8"/>
  <c r="E147" i="8"/>
  <c r="D147" i="8"/>
  <c r="C147" i="8"/>
  <c r="H146" i="8"/>
  <c r="G146" i="8"/>
  <c r="F146" i="8"/>
  <c r="E146" i="8"/>
  <c r="D146" i="8"/>
  <c r="C146" i="8"/>
  <c r="H145" i="8"/>
  <c r="G145" i="8"/>
  <c r="F145" i="8"/>
  <c r="E145" i="8"/>
  <c r="D145" i="8"/>
  <c r="C145" i="8"/>
  <c r="H144" i="8"/>
  <c r="G144" i="8"/>
  <c r="F144" i="8"/>
  <c r="E144" i="8"/>
  <c r="D144" i="8"/>
  <c r="C144" i="8"/>
  <c r="H143" i="8"/>
  <c r="G143" i="8"/>
  <c r="F143" i="8"/>
  <c r="E143" i="8"/>
  <c r="D143" i="8"/>
  <c r="C143" i="8"/>
  <c r="H142" i="8"/>
  <c r="G142" i="8"/>
  <c r="F142" i="8"/>
  <c r="E142" i="8"/>
  <c r="D142" i="8"/>
  <c r="C142" i="8"/>
  <c r="H141" i="8"/>
  <c r="G141" i="8"/>
  <c r="F141" i="8"/>
  <c r="E141" i="8"/>
  <c r="D141" i="8"/>
  <c r="C141" i="8"/>
  <c r="H140" i="8"/>
  <c r="G140" i="8"/>
  <c r="F140" i="8"/>
  <c r="E140" i="8"/>
  <c r="D140" i="8"/>
  <c r="C140" i="8"/>
  <c r="H139" i="8"/>
  <c r="G139" i="8"/>
  <c r="F139" i="8"/>
  <c r="E139" i="8"/>
  <c r="D139" i="8"/>
  <c r="C139" i="8"/>
  <c r="H138" i="8"/>
  <c r="G138" i="8"/>
  <c r="F138" i="8"/>
  <c r="E138" i="8"/>
  <c r="D138" i="8"/>
  <c r="C138" i="8"/>
  <c r="H137" i="8"/>
  <c r="G137" i="8"/>
  <c r="F137" i="8"/>
  <c r="E137" i="8"/>
  <c r="D137" i="8"/>
  <c r="C137" i="8"/>
  <c r="H136" i="8"/>
  <c r="G136" i="8"/>
  <c r="F136" i="8"/>
  <c r="E136" i="8"/>
  <c r="D136" i="8"/>
  <c r="C136" i="8"/>
  <c r="H135" i="8"/>
  <c r="G135" i="8"/>
  <c r="F135" i="8"/>
  <c r="E135" i="8"/>
  <c r="D135" i="8"/>
  <c r="C135" i="8"/>
  <c r="H134" i="8"/>
  <c r="G134" i="8"/>
  <c r="F134" i="8"/>
  <c r="E134" i="8"/>
  <c r="D134" i="8"/>
  <c r="C134" i="8"/>
  <c r="H133" i="8"/>
  <c r="G133" i="8"/>
  <c r="F133" i="8"/>
  <c r="E133" i="8"/>
  <c r="D133" i="8"/>
  <c r="C133" i="8"/>
  <c r="H132" i="8"/>
  <c r="G132" i="8"/>
  <c r="F132" i="8"/>
  <c r="E132" i="8"/>
  <c r="D132" i="8"/>
  <c r="C132" i="8"/>
  <c r="H131" i="8"/>
  <c r="G131" i="8"/>
  <c r="F131" i="8"/>
  <c r="E131" i="8"/>
  <c r="D131" i="8"/>
  <c r="C131" i="8"/>
  <c r="H130" i="8"/>
  <c r="G130" i="8"/>
  <c r="F130" i="8"/>
  <c r="E130" i="8"/>
  <c r="D130" i="8"/>
  <c r="C130" i="8"/>
  <c r="H129" i="8"/>
  <c r="G129" i="8"/>
  <c r="F129" i="8"/>
  <c r="E129" i="8"/>
  <c r="D129" i="8"/>
  <c r="C129" i="8"/>
  <c r="H128" i="8"/>
  <c r="G128" i="8"/>
  <c r="F128" i="8"/>
  <c r="E128" i="8"/>
  <c r="D128" i="8"/>
  <c r="C128" i="8"/>
  <c r="H127" i="8"/>
  <c r="G127" i="8"/>
  <c r="F127" i="8"/>
  <c r="E127" i="8"/>
  <c r="D127" i="8"/>
  <c r="C127" i="8"/>
  <c r="H126" i="8"/>
  <c r="G126" i="8"/>
  <c r="F126" i="8"/>
  <c r="E126" i="8"/>
  <c r="D126" i="8"/>
  <c r="C126" i="8"/>
  <c r="H125" i="8"/>
  <c r="G125" i="8"/>
  <c r="F125" i="8"/>
  <c r="E125" i="8"/>
  <c r="D125" i="8"/>
  <c r="C125" i="8"/>
  <c r="H124" i="8"/>
  <c r="G124" i="8"/>
  <c r="F124" i="8"/>
  <c r="E124" i="8"/>
  <c r="D124" i="8"/>
  <c r="C124" i="8"/>
  <c r="H123" i="8"/>
  <c r="G123" i="8"/>
  <c r="F123" i="8"/>
  <c r="E123" i="8"/>
  <c r="D123" i="8"/>
  <c r="C123" i="8"/>
  <c r="H122" i="8"/>
  <c r="G122" i="8"/>
  <c r="F122" i="8"/>
  <c r="E122" i="8"/>
  <c r="D122" i="8"/>
  <c r="C122" i="8"/>
  <c r="H121" i="8"/>
  <c r="G121" i="8"/>
  <c r="F121" i="8"/>
  <c r="E121" i="8"/>
  <c r="D121" i="8"/>
  <c r="C121" i="8"/>
  <c r="H120" i="8"/>
  <c r="G120" i="8"/>
  <c r="F120" i="8"/>
  <c r="E120" i="8"/>
  <c r="D120" i="8"/>
  <c r="C120" i="8"/>
  <c r="H119" i="8"/>
  <c r="G119" i="8"/>
  <c r="F119" i="8"/>
  <c r="E119" i="8"/>
  <c r="D119" i="8"/>
  <c r="C119" i="8"/>
  <c r="H118" i="8"/>
  <c r="G118" i="8"/>
  <c r="F118" i="8"/>
  <c r="E118" i="8"/>
  <c r="D118" i="8"/>
  <c r="C118" i="8"/>
  <c r="H117" i="8"/>
  <c r="G117" i="8"/>
  <c r="F117" i="8"/>
  <c r="E117" i="8"/>
  <c r="D117" i="8"/>
  <c r="C117" i="8"/>
  <c r="H116" i="8"/>
  <c r="G116" i="8"/>
  <c r="F116" i="8"/>
  <c r="E116" i="8"/>
  <c r="D116" i="8"/>
  <c r="C116" i="8"/>
  <c r="H115" i="8"/>
  <c r="G115" i="8"/>
  <c r="F115" i="8"/>
  <c r="E115" i="8"/>
  <c r="D115" i="8"/>
  <c r="C115" i="8"/>
  <c r="H114" i="8"/>
  <c r="G114" i="8"/>
  <c r="F114" i="8"/>
  <c r="E114" i="8"/>
  <c r="D114" i="8"/>
  <c r="C114" i="8"/>
  <c r="H113" i="8"/>
  <c r="G113" i="8"/>
  <c r="F113" i="8"/>
  <c r="E113" i="8"/>
  <c r="D113" i="8"/>
  <c r="C113" i="8"/>
  <c r="H112" i="8"/>
  <c r="G112" i="8"/>
  <c r="F112" i="8"/>
  <c r="E112" i="8"/>
  <c r="D112" i="8"/>
  <c r="C112" i="8"/>
  <c r="H111" i="8"/>
  <c r="G111" i="8"/>
  <c r="F111" i="8"/>
  <c r="E111" i="8"/>
  <c r="D111" i="8"/>
  <c r="C111" i="8"/>
  <c r="H110" i="8"/>
  <c r="G110" i="8"/>
  <c r="F110" i="8"/>
  <c r="E110" i="8"/>
  <c r="D110" i="8"/>
  <c r="C110" i="8"/>
  <c r="H109" i="8"/>
  <c r="G109" i="8"/>
  <c r="F109" i="8"/>
  <c r="E109" i="8"/>
  <c r="D109" i="8"/>
  <c r="C109" i="8"/>
  <c r="H108" i="8"/>
  <c r="G108" i="8"/>
  <c r="F108" i="8"/>
  <c r="E108" i="8"/>
  <c r="D108" i="8"/>
  <c r="C108" i="8"/>
  <c r="H107" i="8"/>
  <c r="G107" i="8"/>
  <c r="F107" i="8"/>
  <c r="E107" i="8"/>
  <c r="D107" i="8"/>
  <c r="C107" i="8"/>
  <c r="H106" i="8"/>
  <c r="G106" i="8"/>
  <c r="F106" i="8"/>
  <c r="E106" i="8"/>
  <c r="D106" i="8"/>
  <c r="C106" i="8"/>
  <c r="H105" i="8"/>
  <c r="G105" i="8"/>
  <c r="F105" i="8"/>
  <c r="E105" i="8"/>
  <c r="D105" i="8"/>
  <c r="C105" i="8"/>
  <c r="H104" i="8"/>
  <c r="G104" i="8"/>
  <c r="F104" i="8"/>
  <c r="E104" i="8"/>
  <c r="D104" i="8"/>
  <c r="C104" i="8"/>
  <c r="H103" i="8"/>
  <c r="G103" i="8"/>
  <c r="F103" i="8"/>
  <c r="E103" i="8"/>
  <c r="D103" i="8"/>
  <c r="C103" i="8"/>
  <c r="H102" i="8"/>
  <c r="G102" i="8"/>
  <c r="F102" i="8"/>
  <c r="E102" i="8"/>
  <c r="D102" i="8"/>
  <c r="C102" i="8"/>
  <c r="H101" i="8"/>
  <c r="G101" i="8"/>
  <c r="F101" i="8"/>
  <c r="E101" i="8"/>
  <c r="D101" i="8"/>
  <c r="C101" i="8"/>
  <c r="H100" i="8"/>
  <c r="G100" i="8"/>
  <c r="F100" i="8"/>
  <c r="E100" i="8"/>
  <c r="D100" i="8"/>
  <c r="C100" i="8"/>
  <c r="H99" i="8"/>
  <c r="G99" i="8"/>
  <c r="F99" i="8"/>
  <c r="E99" i="8"/>
  <c r="D99" i="8"/>
  <c r="C99" i="8"/>
  <c r="H98" i="8"/>
  <c r="G98" i="8"/>
  <c r="F98" i="8"/>
  <c r="E98" i="8"/>
  <c r="D98" i="8"/>
  <c r="C98" i="8"/>
  <c r="H97" i="8"/>
  <c r="G97" i="8"/>
  <c r="F97" i="8"/>
  <c r="E97" i="8"/>
  <c r="D97" i="8"/>
  <c r="C97" i="8"/>
  <c r="H96" i="8"/>
  <c r="G96" i="8"/>
  <c r="F96" i="8"/>
  <c r="E96" i="8"/>
  <c r="D96" i="8"/>
  <c r="C96" i="8"/>
  <c r="H95" i="8"/>
  <c r="G95" i="8"/>
  <c r="F95" i="8"/>
  <c r="E95" i="8"/>
  <c r="D95" i="8"/>
  <c r="C95" i="8"/>
  <c r="H94" i="8"/>
  <c r="G94" i="8"/>
  <c r="F94" i="8"/>
  <c r="E94" i="8"/>
  <c r="D94" i="8"/>
  <c r="C94" i="8"/>
  <c r="H93" i="8"/>
  <c r="G93" i="8"/>
  <c r="F93" i="8"/>
  <c r="E93" i="8"/>
  <c r="D93" i="8"/>
  <c r="C93" i="8"/>
  <c r="H92" i="8"/>
  <c r="G92" i="8"/>
  <c r="F92" i="8"/>
  <c r="E92" i="8"/>
  <c r="D92" i="8"/>
  <c r="C92" i="8"/>
  <c r="H91" i="8"/>
  <c r="G91" i="8"/>
  <c r="F91" i="8"/>
  <c r="E91" i="8"/>
  <c r="D91" i="8"/>
  <c r="C91" i="8"/>
  <c r="H90" i="8"/>
  <c r="G90" i="8"/>
  <c r="F90" i="8"/>
  <c r="E90" i="8"/>
  <c r="D90" i="8"/>
  <c r="C90" i="8"/>
  <c r="H89" i="8"/>
  <c r="G89" i="8"/>
  <c r="F89" i="8"/>
  <c r="E89" i="8"/>
  <c r="D89" i="8"/>
  <c r="C89" i="8"/>
  <c r="H88" i="8"/>
  <c r="G88" i="8"/>
  <c r="F88" i="8"/>
  <c r="E88" i="8"/>
  <c r="D88" i="8"/>
  <c r="C88" i="8"/>
  <c r="H87" i="8"/>
  <c r="G87" i="8"/>
  <c r="F87" i="8"/>
  <c r="E87" i="8"/>
  <c r="D87" i="8"/>
  <c r="C87" i="8"/>
  <c r="H86" i="8"/>
  <c r="G86" i="8"/>
  <c r="F86" i="8"/>
  <c r="E86" i="8"/>
  <c r="D86" i="8"/>
  <c r="C86" i="8"/>
  <c r="H85" i="8"/>
  <c r="G85" i="8"/>
  <c r="F85" i="8"/>
  <c r="E85" i="8"/>
  <c r="D85" i="8"/>
  <c r="C85" i="8"/>
  <c r="H84" i="8"/>
  <c r="G84" i="8"/>
  <c r="F84" i="8"/>
  <c r="E84" i="8"/>
  <c r="D84" i="8"/>
  <c r="C84" i="8"/>
  <c r="H83" i="8"/>
  <c r="G83" i="8"/>
  <c r="F83" i="8"/>
  <c r="E83" i="8"/>
  <c r="D83" i="8"/>
  <c r="C83" i="8"/>
  <c r="H82" i="8"/>
  <c r="G82" i="8"/>
  <c r="F82" i="8"/>
  <c r="E82" i="8"/>
  <c r="D82" i="8"/>
  <c r="C82" i="8"/>
  <c r="H81" i="8"/>
  <c r="G81" i="8"/>
  <c r="F81" i="8"/>
  <c r="E81" i="8"/>
  <c r="D81" i="8"/>
  <c r="C81" i="8"/>
  <c r="H80" i="8"/>
  <c r="G80" i="8"/>
  <c r="F80" i="8"/>
  <c r="E80" i="8"/>
  <c r="D80" i="8"/>
  <c r="C80" i="8"/>
  <c r="H79" i="8"/>
  <c r="G79" i="8"/>
  <c r="F79" i="8"/>
  <c r="E79" i="8"/>
  <c r="D79" i="8"/>
  <c r="C79" i="8"/>
  <c r="H78" i="8"/>
  <c r="G78" i="8"/>
  <c r="F78" i="8"/>
  <c r="E78" i="8"/>
  <c r="D78" i="8"/>
  <c r="C78" i="8"/>
  <c r="H77" i="8"/>
  <c r="G77" i="8"/>
  <c r="F77" i="8"/>
  <c r="E77" i="8"/>
  <c r="D77" i="8"/>
  <c r="C77" i="8"/>
  <c r="H76" i="8"/>
  <c r="G76" i="8"/>
  <c r="F76" i="8"/>
  <c r="E76" i="8"/>
  <c r="D76" i="8"/>
  <c r="C76" i="8"/>
  <c r="H75" i="8"/>
  <c r="G75" i="8"/>
  <c r="F75" i="8"/>
  <c r="E75" i="8"/>
  <c r="D75" i="8"/>
  <c r="C75" i="8"/>
  <c r="H74" i="8"/>
  <c r="G74" i="8"/>
  <c r="F74" i="8"/>
  <c r="E74" i="8"/>
  <c r="D74" i="8"/>
  <c r="C74" i="8"/>
  <c r="H73" i="8"/>
  <c r="G73" i="8"/>
  <c r="F73" i="8"/>
  <c r="E73" i="8"/>
  <c r="D73" i="8"/>
  <c r="C73" i="8"/>
  <c r="H72" i="8"/>
  <c r="G72" i="8"/>
  <c r="F72" i="8"/>
  <c r="E72" i="8"/>
  <c r="D72" i="8"/>
  <c r="C72" i="8"/>
  <c r="H71" i="8"/>
  <c r="G71" i="8"/>
  <c r="F71" i="8"/>
  <c r="E71" i="8"/>
  <c r="D71" i="8"/>
  <c r="C71" i="8"/>
  <c r="H70" i="8"/>
  <c r="G70" i="8"/>
  <c r="F70" i="8"/>
  <c r="E70" i="8"/>
  <c r="D70" i="8"/>
  <c r="C70" i="8"/>
  <c r="H69" i="8"/>
  <c r="G69" i="8"/>
  <c r="F69" i="8"/>
  <c r="E69" i="8"/>
  <c r="D69" i="8"/>
  <c r="C69" i="8"/>
  <c r="H68" i="8"/>
  <c r="G68" i="8"/>
  <c r="F68" i="8"/>
  <c r="E68" i="8"/>
  <c r="D68" i="8"/>
  <c r="C68" i="8"/>
  <c r="H67" i="8"/>
  <c r="G67" i="8"/>
  <c r="F67" i="8"/>
  <c r="E67" i="8"/>
  <c r="D67" i="8"/>
  <c r="C67" i="8"/>
  <c r="H66" i="8"/>
  <c r="G66" i="8"/>
  <c r="F66" i="8"/>
  <c r="E66" i="8"/>
  <c r="D66" i="8"/>
  <c r="C66" i="8"/>
  <c r="H65" i="8"/>
  <c r="G65" i="8"/>
  <c r="F65" i="8"/>
  <c r="E65" i="8"/>
  <c r="D65" i="8"/>
  <c r="C65" i="8"/>
  <c r="H64" i="8"/>
  <c r="G64" i="8"/>
  <c r="F64" i="8"/>
  <c r="E64" i="8"/>
  <c r="D64" i="8"/>
  <c r="C64" i="8"/>
  <c r="H63" i="8"/>
  <c r="G63" i="8"/>
  <c r="F63" i="8"/>
  <c r="E63" i="8"/>
  <c r="D63" i="8"/>
  <c r="C63" i="8"/>
  <c r="H62" i="8"/>
  <c r="G62" i="8"/>
  <c r="F62" i="8"/>
  <c r="E62" i="8"/>
  <c r="D62" i="8"/>
  <c r="C62" i="8"/>
  <c r="H61" i="8"/>
  <c r="G61" i="8"/>
  <c r="F61" i="8"/>
  <c r="E61" i="8"/>
  <c r="D61" i="8"/>
  <c r="C61" i="8"/>
  <c r="H60" i="8"/>
  <c r="G60" i="8"/>
  <c r="F60" i="8"/>
  <c r="E60" i="8"/>
  <c r="D60" i="8"/>
  <c r="C60" i="8"/>
  <c r="H59" i="8"/>
  <c r="G59" i="8"/>
  <c r="F59" i="8"/>
  <c r="E59" i="8"/>
  <c r="D59" i="8"/>
  <c r="C59" i="8"/>
  <c r="H58" i="8"/>
  <c r="G58" i="8"/>
  <c r="F58" i="8"/>
  <c r="E58" i="8"/>
  <c r="D58" i="8"/>
  <c r="C58" i="8"/>
  <c r="H57" i="8"/>
  <c r="G57" i="8"/>
  <c r="F57" i="8"/>
  <c r="E57" i="8"/>
  <c r="D57" i="8"/>
  <c r="C57" i="8"/>
  <c r="H56" i="8"/>
  <c r="G56" i="8"/>
  <c r="F56" i="8"/>
  <c r="E56" i="8"/>
  <c r="D56" i="8"/>
  <c r="C56" i="8"/>
  <c r="H55" i="8"/>
  <c r="G55" i="8"/>
  <c r="F55" i="8"/>
  <c r="E55" i="8"/>
  <c r="D55" i="8"/>
  <c r="C55" i="8"/>
  <c r="H54" i="8"/>
  <c r="G54" i="8"/>
  <c r="F54" i="8"/>
  <c r="E54" i="8"/>
  <c r="D54" i="8"/>
  <c r="C54" i="8"/>
  <c r="H53" i="8"/>
  <c r="G53" i="8"/>
  <c r="F53" i="8"/>
  <c r="E53" i="8"/>
  <c r="D53" i="8"/>
  <c r="C53" i="8"/>
  <c r="H52" i="8"/>
  <c r="G52" i="8"/>
  <c r="F52" i="8"/>
  <c r="E52" i="8"/>
  <c r="D52" i="8"/>
  <c r="C52" i="8"/>
  <c r="H51" i="8"/>
  <c r="G51" i="8"/>
  <c r="F51" i="8"/>
  <c r="E51" i="8"/>
  <c r="D51" i="8"/>
  <c r="C51" i="8"/>
  <c r="H50" i="8"/>
  <c r="G50" i="8"/>
  <c r="F50" i="8"/>
  <c r="E50" i="8"/>
  <c r="D50" i="8"/>
  <c r="C50" i="8"/>
  <c r="H49" i="8"/>
  <c r="G49" i="8"/>
  <c r="F49" i="8"/>
  <c r="E49" i="8"/>
  <c r="D49" i="8"/>
  <c r="C49" i="8"/>
  <c r="H48" i="8"/>
  <c r="G48" i="8"/>
  <c r="F48" i="8"/>
  <c r="E48" i="8"/>
  <c r="D48" i="8"/>
  <c r="C48" i="8"/>
  <c r="H47" i="8"/>
  <c r="G47" i="8"/>
  <c r="F47" i="8"/>
  <c r="E47" i="8"/>
  <c r="D47" i="8"/>
  <c r="C47" i="8"/>
  <c r="H46" i="8"/>
  <c r="G46" i="8"/>
  <c r="F46" i="8"/>
  <c r="E46" i="8"/>
  <c r="D46" i="8"/>
  <c r="C46" i="8"/>
  <c r="H45" i="8"/>
  <c r="G45" i="8"/>
  <c r="F45" i="8"/>
  <c r="E45" i="8"/>
  <c r="D45" i="8"/>
  <c r="C45" i="8"/>
  <c r="H44" i="8"/>
  <c r="G44" i="8"/>
  <c r="F44" i="8"/>
  <c r="E44" i="8"/>
  <c r="D44" i="8"/>
  <c r="C44" i="8"/>
  <c r="H43" i="8"/>
  <c r="G43" i="8"/>
  <c r="F43" i="8"/>
  <c r="E43" i="8"/>
  <c r="D43" i="8"/>
  <c r="C43" i="8"/>
  <c r="H42" i="8"/>
  <c r="G42" i="8"/>
  <c r="F42" i="8"/>
  <c r="E42" i="8"/>
  <c r="D42" i="8"/>
  <c r="C42" i="8"/>
  <c r="H41" i="8"/>
  <c r="G41" i="8"/>
  <c r="F41" i="8"/>
  <c r="E41" i="8"/>
  <c r="D41" i="8"/>
  <c r="C41" i="8"/>
  <c r="H40" i="8"/>
  <c r="G40" i="8"/>
  <c r="F40" i="8"/>
  <c r="E40" i="8"/>
  <c r="D40" i="8"/>
  <c r="C40" i="8"/>
  <c r="H39" i="8"/>
  <c r="G39" i="8"/>
  <c r="F39" i="8"/>
  <c r="E39" i="8"/>
  <c r="D39" i="8"/>
  <c r="C39" i="8"/>
  <c r="H38" i="8"/>
  <c r="G38" i="8"/>
  <c r="F38" i="8"/>
  <c r="E38" i="8"/>
  <c r="D38" i="8"/>
  <c r="C38" i="8"/>
  <c r="H37" i="8"/>
  <c r="G37" i="8"/>
  <c r="F37" i="8"/>
  <c r="E37" i="8"/>
  <c r="D37" i="8"/>
  <c r="C37" i="8"/>
  <c r="H36" i="8"/>
  <c r="G36" i="8"/>
  <c r="F36" i="8"/>
  <c r="E36" i="8"/>
  <c r="D36" i="8"/>
  <c r="C36" i="8"/>
  <c r="H35" i="8"/>
  <c r="G35" i="8"/>
  <c r="F35" i="8"/>
  <c r="E35" i="8"/>
  <c r="D35" i="8"/>
  <c r="C35" i="8"/>
  <c r="H34" i="8"/>
  <c r="G34" i="8"/>
  <c r="F34" i="8"/>
  <c r="E34" i="8"/>
  <c r="D34" i="8"/>
  <c r="C34" i="8"/>
  <c r="H33" i="8"/>
  <c r="G33" i="8"/>
  <c r="F33" i="8"/>
  <c r="E33" i="8"/>
  <c r="D33" i="8"/>
  <c r="C33" i="8"/>
  <c r="H32" i="8"/>
  <c r="G32" i="8"/>
  <c r="F32" i="8"/>
  <c r="E32" i="8"/>
  <c r="D32" i="8"/>
  <c r="C32" i="8"/>
  <c r="H31" i="8"/>
  <c r="G31" i="8"/>
  <c r="F31" i="8"/>
  <c r="E31" i="8"/>
  <c r="D31" i="8"/>
  <c r="C31" i="8"/>
  <c r="H30" i="8"/>
  <c r="G30" i="8"/>
  <c r="F30" i="8"/>
  <c r="E30" i="8"/>
  <c r="D30" i="8"/>
  <c r="C30" i="8"/>
  <c r="H29" i="8"/>
  <c r="G29" i="8"/>
  <c r="F29" i="8"/>
  <c r="E29" i="8"/>
  <c r="D29" i="8"/>
  <c r="C29" i="8"/>
  <c r="H28" i="8"/>
  <c r="G28" i="8"/>
  <c r="F28" i="8"/>
  <c r="E28" i="8"/>
  <c r="D28" i="8"/>
  <c r="C28" i="8"/>
  <c r="H27" i="8"/>
  <c r="G27" i="8"/>
  <c r="F27" i="8"/>
  <c r="E27" i="8"/>
  <c r="D27" i="8"/>
  <c r="C27" i="8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D7" i="8"/>
  <c r="C7" i="8"/>
  <c r="H6" i="8"/>
  <c r="G6" i="8"/>
  <c r="F6" i="8"/>
  <c r="E6" i="8"/>
  <c r="D6" i="8"/>
  <c r="C6" i="8"/>
  <c r="H5" i="8"/>
  <c r="G5" i="8"/>
  <c r="F5" i="8"/>
  <c r="E5" i="8"/>
  <c r="D5" i="8"/>
  <c r="C5" i="8"/>
  <c r="H4" i="8"/>
  <c r="G4" i="8"/>
  <c r="F4" i="8"/>
  <c r="E4" i="8"/>
  <c r="D4" i="8"/>
  <c r="C4" i="8"/>
  <c r="H3" i="8"/>
  <c r="G3" i="8"/>
  <c r="F3" i="8"/>
  <c r="E3" i="8"/>
  <c r="D3" i="8"/>
  <c r="C3" i="8"/>
  <c r="H2" i="8"/>
  <c r="G2" i="8"/>
  <c r="F2" i="8"/>
  <c r="E2" i="8"/>
  <c r="D2" i="8"/>
  <c r="C2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B2" i="8"/>
  <c r="A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4DED9546-127B-4A86-A8E6-9DDE164B8E93}">
      <text>
        <r>
          <rPr>
            <b/>
            <sz val="9"/>
            <color indexed="81"/>
            <rFont val="Tahoma"/>
            <charset val="1"/>
          </rPr>
          <t>Updated by IMFNT\DRIVERAGREENWOOD on 3/24/2020 8:52:42 AM
Latest revision date 3/24/2020 4:02:56 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C37A4D0F-F7E7-4ECA-8DC7-89DCEBCA6C36}">
      <text>
        <r>
          <rPr>
            <b/>
            <sz val="9"/>
            <color indexed="81"/>
            <rFont val="Tahoma"/>
            <charset val="1"/>
          </rPr>
          <t>Updated by IMFNT\DRIVERAGREENWOOD on 3/24/2020 8:53:38 AM
Latest revision date 3/24/2020 4:02:56 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180A5EDC-0506-4AA8-BAB6-B7D19F0BC823}">
      <text>
        <r>
          <rPr>
            <b/>
            <sz val="9"/>
            <color indexed="81"/>
            <rFont val="Tahoma"/>
            <charset val="1"/>
          </rPr>
          <t>Updated by IMFNT\DRIVERAGREENWOOD on 3/24/2020 8:53:52 AM
Latest revision date 3/4/2020 1:41:18 PM</t>
        </r>
      </text>
    </comment>
  </commentList>
</comments>
</file>

<file path=xl/sharedStrings.xml><?xml version="1.0" encoding="utf-8"?>
<sst xmlns="http://schemas.openxmlformats.org/spreadsheetml/2006/main" count="2376" uniqueCount="1202">
  <si>
    <t>EcDatabase</t>
  </si>
  <si>
    <t>ID:GDS_LIVE</t>
  </si>
  <si>
    <t>Series_code</t>
  </si>
  <si>
    <t>001ACC_PPPWGT.M</t>
  </si>
  <si>
    <t>001ACC.M</t>
  </si>
  <si>
    <t>001AIP.M</t>
  </si>
  <si>
    <t>001AIP_GDPWGT.M</t>
  </si>
  <si>
    <t>001FIGB.M</t>
  </si>
  <si>
    <t>001FIPR.M</t>
  </si>
  <si>
    <t>001FISI.M</t>
  </si>
  <si>
    <t>001FMB.M</t>
  </si>
  <si>
    <t>001FMN.M</t>
  </si>
  <si>
    <t>001FMSCID.M</t>
  </si>
  <si>
    <t>001FMSCIL.M</t>
  </si>
  <si>
    <t>001LE.M</t>
  </si>
  <si>
    <t>001LUR.M</t>
  </si>
  <si>
    <t>001NRS.M</t>
  </si>
  <si>
    <t>001PALLFNFW.M</t>
  </si>
  <si>
    <t>001PBEVEW.M</t>
  </si>
  <si>
    <t>001PCOALW.M</t>
  </si>
  <si>
    <t>001PCPI.M</t>
  </si>
  <si>
    <t>001PCPI_GDPWGT.M</t>
  </si>
  <si>
    <t>001PCPIX.M</t>
  </si>
  <si>
    <t>001.M</t>
  </si>
  <si>
    <t>001PFOODW.M</t>
  </si>
  <si>
    <t>001PMETAW.M</t>
  </si>
  <si>
    <t>001PMI.M</t>
  </si>
  <si>
    <t>001PMI_PPPWGT.M</t>
  </si>
  <si>
    <t>001PNFUELW.M</t>
  </si>
  <si>
    <t>001PNGASW.M</t>
  </si>
  <si>
    <t>001PNRGW.M</t>
  </si>
  <si>
    <t>001POILAPSP.M</t>
  </si>
  <si>
    <t>001POILAPSPW.M</t>
  </si>
  <si>
    <t>001PRAWMW.M</t>
  </si>
  <si>
    <t>001TG.M</t>
  </si>
  <si>
    <t>001TMG.M</t>
  </si>
  <si>
    <t>001TXG.M</t>
  </si>
  <si>
    <t>Country</t>
  </si>
  <si>
    <t>World</t>
  </si>
  <si>
    <t>Country.Name</t>
  </si>
  <si>
    <t>Indicator</t>
  </si>
  <si>
    <t>ACC_PPPWGT</t>
  </si>
  <si>
    <t>ACC</t>
  </si>
  <si>
    <t>AIP</t>
  </si>
  <si>
    <t>AIP_GDPWGT</t>
  </si>
  <si>
    <t>FIGB</t>
  </si>
  <si>
    <t>FIPR</t>
  </si>
  <si>
    <t>FISI</t>
  </si>
  <si>
    <t>FMB</t>
  </si>
  <si>
    <t>FMN</t>
  </si>
  <si>
    <t>FMSCID</t>
  </si>
  <si>
    <t>FMSCIL</t>
  </si>
  <si>
    <t>LE</t>
  </si>
  <si>
    <t>LUR</t>
  </si>
  <si>
    <t>NRS</t>
  </si>
  <si>
    <t>PALLFNFW</t>
  </si>
  <si>
    <t>PBEVEW</t>
  </si>
  <si>
    <t>PCOALW</t>
  </si>
  <si>
    <t>PCPI</t>
  </si>
  <si>
    <t>PCPI_GDPWGT</t>
  </si>
  <si>
    <t>PCPIX</t>
  </si>
  <si>
    <t>PCPIX_GDPWGT</t>
  </si>
  <si>
    <t>PFOODW</t>
  </si>
  <si>
    <t>PMETAW</t>
  </si>
  <si>
    <t>PMI</t>
  </si>
  <si>
    <t>PMI_PPPWGT</t>
  </si>
  <si>
    <t>PNFUELW</t>
  </si>
  <si>
    <t>PNGASW</t>
  </si>
  <si>
    <t>PNRGW</t>
  </si>
  <si>
    <t>POILAPSP</t>
  </si>
  <si>
    <t>POILAPSPW</t>
  </si>
  <si>
    <t>PRAWMW</t>
  </si>
  <si>
    <t>TG</t>
  </si>
  <si>
    <t>TMG</t>
  </si>
  <si>
    <t>TXG</t>
  </si>
  <si>
    <t>Indicator.Code</t>
  </si>
  <si>
    <t>Indicator.Descriptor</t>
  </si>
  <si>
    <t>Consumer confidence, PPP weighted</t>
  </si>
  <si>
    <t>Consumer confidence</t>
  </si>
  <si>
    <t>Industrial production</t>
  </si>
  <si>
    <t>Industrial production, MER weighted</t>
  </si>
  <si>
    <t>Long-term interest rate</t>
  </si>
  <si>
    <t>Policy-related interest rate</t>
  </si>
  <si>
    <t>Benchmark stock market index</t>
  </si>
  <si>
    <t>Broad money</t>
  </si>
  <si>
    <t>Narrow money</t>
  </si>
  <si>
    <t>Morgan Stanley MSCI stock price index in US dollars</t>
  </si>
  <si>
    <t>Morgan Stanley MSCI stock price index in national currency</t>
  </si>
  <si>
    <t>Employment</t>
  </si>
  <si>
    <t>Unemployment rate</t>
  </si>
  <si>
    <t>Retail sales</t>
  </si>
  <si>
    <t>Commodity price: all primary commodities</t>
  </si>
  <si>
    <t>Commodity price: beverage</t>
  </si>
  <si>
    <t>Commodity price: coal</t>
  </si>
  <si>
    <t>Consumer price index</t>
  </si>
  <si>
    <t>Consumer price index, MER weighted</t>
  </si>
  <si>
    <t>Core consumer price index</t>
  </si>
  <si>
    <t>Core consumer price index, GDP weighted</t>
  </si>
  <si>
    <t>Commodity price: food</t>
  </si>
  <si>
    <t>Commodity price: metals</t>
  </si>
  <si>
    <t>Manufacturing PMI</t>
  </si>
  <si>
    <t>Manufacturing PMI, PPP weighted</t>
  </si>
  <si>
    <t>Commodity price: non-fuel primary commodities</t>
  </si>
  <si>
    <t>Commodity price: natural gas</t>
  </si>
  <si>
    <t>Commodity price: energy</t>
  </si>
  <si>
    <t>Commodity price: petroleum, US dollar per barrel</t>
  </si>
  <si>
    <t>Commodity price: petroleum</t>
  </si>
  <si>
    <t>Commodity price: raw materials</t>
  </si>
  <si>
    <t>Merchandise trade balance</t>
  </si>
  <si>
    <t>Merchandise imports</t>
  </si>
  <si>
    <t>Merchandise exports</t>
  </si>
  <si>
    <t>Frequency</t>
  </si>
  <si>
    <t>Monthly</t>
  </si>
  <si>
    <t>Scale</t>
  </si>
  <si>
    <t>Units</t>
  </si>
  <si>
    <t>Billions</t>
  </si>
  <si>
    <t>Display_scale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</si>
  <si>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</si>
  <si>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</si>
  <si>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</si>
  <si>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</si>
  <si>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</si>
  <si>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</si>
  <si>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</si>
  <si>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</si>
  <si>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</si>
  <si>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</si>
  <si>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</si>
  <si>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</si>
  <si>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</si>
  <si>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</si>
  <si>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</si>
  <si>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</si>
  <si>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</si>
  <si>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</si>
  <si>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</si>
  <si>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</si>
  <si>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</si>
  <si>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</si>
  <si>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</si>
  <si>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</si>
  <si>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</si>
  <si>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</si>
  <si>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</si>
  <si>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</si>
  <si>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</si>
  <si>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</si>
  <si>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</si>
  <si>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</si>
  <si>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</si>
  <si>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</si>
  <si>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</si>
  <si>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</si>
  <si>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</si>
  <si>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</si>
  <si>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</si>
  <si>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</si>
  <si>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</si>
  <si>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</si>
  <si>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</si>
  <si>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</si>
  <si>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</si>
  <si>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</si>
  <si>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</si>
  <si>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</si>
  <si>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</si>
  <si>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</si>
  <si>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</si>
  <si>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</si>
  <si>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</si>
  <si>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</si>
  <si>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</si>
  <si>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</si>
  <si>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</si>
  <si>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</si>
  <si>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</si>
  <si>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</si>
  <si>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</si>
  <si>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</si>
  <si>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</si>
  <si>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</si>
  <si>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</si>
  <si>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</si>
  <si>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</si>
  <si>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</si>
  <si>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</si>
  <si>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</si>
  <si>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</si>
  <si>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</si>
  <si>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</si>
  <si>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</si>
  <si>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</si>
  <si>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</si>
  <si>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</si>
  <si>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</si>
  <si>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</si>
  <si>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</si>
  <si>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</si>
  <si>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</si>
  <si>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</si>
  <si>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</si>
  <si>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</si>
  <si>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</si>
  <si>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</si>
  <si>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</si>
  <si>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</si>
  <si>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</si>
  <si>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</si>
  <si>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</si>
  <si>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</si>
  <si>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</si>
  <si>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</si>
  <si>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</si>
  <si>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</si>
  <si>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</si>
  <si>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</si>
  <si>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</si>
  <si>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</si>
  <si>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</si>
  <si>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</si>
  <si>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</si>
  <si>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</si>
  <si>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</si>
  <si>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</si>
  <si>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</si>
  <si>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</si>
  <si>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</si>
  <si>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</si>
  <si>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</si>
  <si>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</si>
  <si>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</si>
  <si>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</si>
  <si>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</si>
  <si>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</si>
  <si>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</si>
  <si>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</si>
  <si>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</si>
  <si>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</si>
  <si>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</si>
  <si>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</si>
  <si>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</si>
  <si>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</si>
  <si>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</si>
  <si>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</si>
  <si>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</si>
  <si>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</si>
  <si>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</si>
  <si>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</si>
  <si>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</si>
  <si>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</si>
  <si>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</si>
  <si>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</si>
  <si>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</si>
  <si>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</si>
  <si>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</si>
  <si>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</si>
  <si>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</si>
  <si>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</si>
  <si>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</si>
  <si>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</si>
  <si>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</si>
  <si>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</si>
  <si>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</si>
  <si>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</si>
  <si>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</si>
  <si>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</si>
  <si>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</si>
  <si>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</si>
  <si>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</si>
  <si>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</si>
  <si>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</si>
  <si>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</si>
  <si>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</si>
  <si>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</si>
  <si>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</si>
  <si>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</si>
  <si>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</si>
  <si>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</si>
  <si>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</si>
  <si>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</si>
  <si>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</si>
  <si>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</si>
  <si>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</si>
  <si>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</si>
  <si>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</si>
  <si>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</si>
  <si>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</si>
  <si>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</si>
  <si>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</si>
  <si>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</si>
  <si>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</si>
  <si>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</si>
  <si>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</si>
  <si>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</si>
  <si>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</si>
  <si>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</si>
  <si>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</si>
  <si>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</si>
  <si>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</si>
  <si>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</si>
  <si>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</si>
  <si>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</si>
  <si>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</si>
  <si>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</si>
  <si>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</si>
  <si>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</si>
  <si>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</si>
  <si>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</si>
  <si>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</si>
  <si>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</si>
  <si>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</si>
  <si>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</si>
  <si>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</si>
  <si>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</si>
  <si>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</si>
  <si>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</si>
  <si>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</si>
  <si>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</si>
  <si>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</si>
  <si>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</si>
  <si>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</si>
  <si>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</si>
  <si>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</si>
  <si>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</si>
  <si>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</si>
  <si>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</si>
  <si>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</si>
  <si>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</si>
  <si>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</si>
  <si>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</si>
  <si>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</si>
  <si>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</si>
  <si>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</si>
  <si>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</si>
  <si>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</si>
  <si>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</si>
  <si>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</si>
  <si>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</si>
  <si>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</si>
  <si>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</si>
  <si>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</si>
  <si>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</si>
  <si>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</si>
  <si>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</si>
  <si>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</si>
  <si>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</si>
  <si>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</si>
  <si>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</si>
  <si>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</si>
  <si>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</si>
  <si>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</si>
  <si>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</si>
  <si>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</si>
  <si>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</si>
  <si>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</si>
  <si>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</si>
  <si>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</si>
  <si>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</si>
  <si>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</si>
  <si>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</si>
  <si>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</si>
  <si>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</si>
  <si>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</si>
  <si>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</si>
  <si>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</si>
  <si>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</si>
  <si>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</si>
  <si>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</si>
  <si>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</si>
  <si>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</si>
  <si>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</si>
  <si>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</si>
  <si>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</si>
  <si>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</si>
  <si>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</si>
  <si>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</si>
  <si>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</si>
  <si>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</si>
  <si>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</si>
  <si>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</si>
  <si>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</si>
  <si>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</si>
  <si>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</si>
  <si>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</si>
  <si>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</si>
  <si>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</si>
  <si>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</si>
  <si>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</si>
  <si>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</si>
  <si>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</si>
  <si>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</si>
  <si>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</si>
  <si>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</si>
  <si>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</si>
  <si>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</si>
  <si>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</si>
  <si>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</si>
  <si>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</si>
  <si>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</si>
  <si>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</si>
  <si>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</si>
  <si>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</si>
  <si>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</si>
  <si>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</si>
  <si>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</si>
  <si>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</si>
  <si>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</si>
  <si>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</si>
  <si>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</si>
  <si>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</si>
  <si>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</si>
  <si>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</si>
  <si>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</si>
  <si>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</si>
  <si>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</si>
  <si>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</si>
  <si>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</si>
  <si>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</si>
  <si>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</si>
  <si>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</si>
  <si>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</si>
  <si>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</si>
  <si>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</si>
  <si>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</si>
  <si>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</si>
  <si>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</si>
  <si>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</si>
  <si>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</si>
  <si>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</si>
  <si>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</si>
  <si>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</si>
  <si>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</si>
  <si>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</si>
  <si>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</si>
  <si>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</si>
  <si>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</si>
  <si>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</si>
  <si>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</si>
  <si>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</si>
  <si>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</si>
  <si>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</si>
  <si>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</si>
  <si>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</si>
  <si>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</si>
  <si>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</si>
  <si>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</si>
  <si>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</si>
  <si>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</si>
  <si>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</si>
  <si>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</si>
  <si>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</si>
  <si>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</si>
  <si>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</si>
  <si>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</si>
  <si>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</si>
  <si>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</si>
  <si>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</si>
  <si>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</si>
  <si>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</si>
  <si>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</si>
  <si>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</si>
  <si>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</si>
  <si>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</si>
  <si>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</si>
  <si>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</si>
  <si>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</si>
  <si>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</si>
  <si>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</si>
  <si>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001ACC_PPPWGT.Q</t>
  </si>
  <si>
    <t>001ACC.Q</t>
  </si>
  <si>
    <t>001AIP.Q</t>
  </si>
  <si>
    <t>001AIP_GDPWGT.Q</t>
  </si>
  <si>
    <t>001BCA.Q</t>
  </si>
  <si>
    <t>001BCA_GDP.Q</t>
  </si>
  <si>
    <t>001FIGB.Q</t>
  </si>
  <si>
    <t>001FIPR.Q</t>
  </si>
  <si>
    <t>001FISI.Q</t>
  </si>
  <si>
    <t>001FMB.Q</t>
  </si>
  <si>
    <t>001FMN.Q</t>
  </si>
  <si>
    <t>001FMSCID.Q</t>
  </si>
  <si>
    <t>001FMSCIL.Q</t>
  </si>
  <si>
    <t>001LE.Q</t>
  </si>
  <si>
    <t>001LUR.Q</t>
  </si>
  <si>
    <t>001NCP_R.Q</t>
  </si>
  <si>
    <t>001NCP_R_GDPWGT.Q</t>
  </si>
  <si>
    <t>001NFI_R.Q</t>
  </si>
  <si>
    <t>001NFI_R_GDPWGT.Q</t>
  </si>
  <si>
    <t>001NGDP_R.Q</t>
  </si>
  <si>
    <t>001NGDP_R_GDPWGT.Q</t>
  </si>
  <si>
    <t>001NGDP_RF.Q</t>
  </si>
  <si>
    <t>001NGDP_RF_GDPWGT.Q</t>
  </si>
  <si>
    <t>001NGDPD.Q</t>
  </si>
  <si>
    <t>001NM_R.Q</t>
  </si>
  <si>
    <t>001NM_R_GDPWGT.Q</t>
  </si>
  <si>
    <t>001NM_R_TMWGT.Q</t>
  </si>
  <si>
    <t>001NRS.Q</t>
  </si>
  <si>
    <t>001NTDD_R.Q</t>
  </si>
  <si>
    <t>001NTDD_R_GDPWGT.Q</t>
  </si>
  <si>
    <t>001NX_R.Q</t>
  </si>
  <si>
    <t>001NX_R_GDPWGT.Q</t>
  </si>
  <si>
    <t>001NX_R_TXWGT.Q</t>
  </si>
  <si>
    <t>001PALLFNFW.Q</t>
  </si>
  <si>
    <t>001PBEVEW.Q</t>
  </si>
  <si>
    <t>001PCOALW.Q</t>
  </si>
  <si>
    <t>001PCPI.Q</t>
  </si>
  <si>
    <t>001PCPI_GDPWGT.Q</t>
  </si>
  <si>
    <t>001PCPIF.Q</t>
  </si>
  <si>
    <t>001PCPIX.Q</t>
  </si>
  <si>
    <t>001.Q</t>
  </si>
  <si>
    <t>001PFOODW.Q</t>
  </si>
  <si>
    <t>001PMETAW.Q</t>
  </si>
  <si>
    <t>001PMI.Q</t>
  </si>
  <si>
    <t>001PMI_PPPWGT.Q</t>
  </si>
  <si>
    <t>001PNFUELW.Q</t>
  </si>
  <si>
    <t>001PNGASW.Q</t>
  </si>
  <si>
    <t>001PNRGW.Q</t>
  </si>
  <si>
    <t>001POILAPSP.Q</t>
  </si>
  <si>
    <t>001POILAPSPW.Q</t>
  </si>
  <si>
    <t>001PRAWMW.Q</t>
  </si>
  <si>
    <t>001TG.Q</t>
  </si>
  <si>
    <t>001TMG.Q</t>
  </si>
  <si>
    <t>001TXG.Q</t>
  </si>
  <si>
    <t>BCA</t>
  </si>
  <si>
    <t>BCA_GDP</t>
  </si>
  <si>
    <t>NCP_R</t>
  </si>
  <si>
    <t>NCP_R_GDPWGT</t>
  </si>
  <si>
    <t>NFI_R</t>
  </si>
  <si>
    <t>NFI_R_GDPWGT</t>
  </si>
  <si>
    <t>NGDP_R</t>
  </si>
  <si>
    <t>NGDP_R_GDPWGT</t>
  </si>
  <si>
    <t>NGDP_RF</t>
  </si>
  <si>
    <t>NGDP_RF_GDPWGT</t>
  </si>
  <si>
    <t>NGDPD</t>
  </si>
  <si>
    <t>NM_R</t>
  </si>
  <si>
    <t>NM_R_GDPWGT</t>
  </si>
  <si>
    <t>NM_R_TMWGT</t>
  </si>
  <si>
    <t>NTDD_R</t>
  </si>
  <si>
    <t>NTDD_R_GDPWGT</t>
  </si>
  <si>
    <t>NX_R</t>
  </si>
  <si>
    <t>NX_R_GDPWGT</t>
  </si>
  <si>
    <t>NX_R_TXWGT</t>
  </si>
  <si>
    <t>PCPIF</t>
  </si>
  <si>
    <t>Current account balance</t>
  </si>
  <si>
    <t>Current account balance, percent of GDP</t>
  </si>
  <si>
    <t>Real private consumption</t>
  </si>
  <si>
    <t>Real private consumption, MER weighted</t>
  </si>
  <si>
    <t>Real gross fixed capital formation</t>
  </si>
  <si>
    <t>Real gross fixed capital formation, MER weighted</t>
  </si>
  <si>
    <t>Real gross domestic product</t>
  </si>
  <si>
    <t>Real gross domestic product, MER weighted</t>
  </si>
  <si>
    <t>Real gross domestic product, with projections from WEO</t>
  </si>
  <si>
    <t>Real gross domestic product, with projections from WEO, MER weighted</t>
  </si>
  <si>
    <t>Nominal gross domestic product, US dollars</t>
  </si>
  <si>
    <t>Real imports</t>
  </si>
  <si>
    <t>Real imports, MER weighted</t>
  </si>
  <si>
    <t>Real imports, imports weighted</t>
  </si>
  <si>
    <t>Real total domestic demand</t>
  </si>
  <si>
    <t>Real total domestic demand, MER weighted</t>
  </si>
  <si>
    <t>Real exports</t>
  </si>
  <si>
    <t>Real exports, MER weighted</t>
  </si>
  <si>
    <t>Real exports, exports weighted</t>
  </si>
  <si>
    <t>Consumer price index, with projections from WEO</t>
  </si>
  <si>
    <t>Quarterly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</si>
  <si>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</si>
  <si>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</si>
  <si>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</si>
  <si>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</si>
  <si>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</si>
  <si>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</si>
  <si>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</si>
  <si>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</si>
  <si>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</si>
  <si>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</si>
  <si>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</si>
  <si>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</si>
  <si>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</si>
  <si>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</si>
  <si>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</si>
  <si>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</si>
  <si>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</si>
  <si>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</si>
  <si>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</si>
  <si>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</si>
  <si>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</si>
  <si>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</si>
  <si>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</si>
  <si>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</si>
  <si>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</si>
  <si>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</si>
  <si>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</si>
  <si>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</si>
  <si>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</si>
  <si>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</si>
  <si>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</si>
  <si>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</si>
  <si>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</si>
  <si>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</si>
  <si>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</si>
  <si>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</si>
  <si>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</si>
  <si>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</si>
  <si>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</si>
  <si>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</si>
  <si>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</si>
  <si>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</si>
  <si>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</si>
  <si>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</si>
  <si>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</si>
  <si>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</si>
  <si>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</si>
  <si>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</si>
  <si>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</si>
  <si>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</si>
  <si>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</si>
  <si>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</si>
  <si>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</si>
  <si>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</si>
  <si>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</si>
  <si>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</si>
  <si>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</si>
  <si>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</si>
  <si>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</si>
  <si>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</si>
  <si>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</si>
  <si>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</si>
  <si>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</si>
  <si>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</si>
  <si>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</si>
  <si>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</si>
  <si>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</si>
  <si>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</si>
  <si>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</si>
  <si>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</si>
  <si>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</si>
  <si>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</si>
  <si>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</si>
  <si>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</si>
  <si>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</si>
  <si>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</si>
  <si>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</si>
  <si>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</si>
  <si>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</si>
  <si>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</si>
  <si>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</si>
  <si>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</si>
  <si>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</si>
  <si>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</si>
  <si>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</si>
  <si>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</si>
  <si>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</si>
  <si>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</si>
  <si>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</si>
  <si>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</si>
  <si>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</si>
  <si>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</si>
  <si>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</si>
  <si>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</si>
  <si>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</si>
  <si>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</si>
  <si>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</si>
  <si>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</si>
  <si>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</si>
  <si>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</si>
  <si>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</si>
  <si>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</si>
  <si>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</si>
  <si>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</si>
  <si>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</si>
  <si>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</si>
  <si>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</si>
  <si>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</si>
  <si>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</si>
  <si>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</si>
  <si>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</si>
  <si>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</si>
  <si>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</si>
  <si>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</si>
  <si>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</si>
  <si>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</si>
  <si>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</si>
  <si>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</si>
  <si>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</si>
  <si>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</si>
  <si>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</si>
  <si>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</si>
  <si>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</si>
  <si>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</si>
  <si>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ID:PRIMARY_COMMODITY_PRICE_SYSTEM_LIVE</t>
  </si>
  <si>
    <t>PALUM_USD.M</t>
  </si>
  <si>
    <t>PCOALAU_USD.M</t>
  </si>
  <si>
    <t>PCOALSA_USD.M</t>
  </si>
  <si>
    <t>PCOPP_USD.M</t>
  </si>
  <si>
    <t>PGOLD_USD.M</t>
  </si>
  <si>
    <t>PIORECR_USD.M</t>
  </si>
  <si>
    <t>PNGASEU_USD.M</t>
  </si>
  <si>
    <t>PNGASJP_USD.M</t>
  </si>
  <si>
    <t>PNGASUS_USD.M</t>
  </si>
  <si>
    <t>PNICK_USD.M</t>
  </si>
  <si>
    <t>POILBRE_USD.M</t>
  </si>
  <si>
    <t>POILDUB_USD.M</t>
  </si>
  <si>
    <t>POILWTI_USD.M</t>
  </si>
  <si>
    <t>PPALLA_USD.M</t>
  </si>
  <si>
    <t>PPLAT_USD.M</t>
  </si>
  <si>
    <t>PSILVER_USD.M</t>
  </si>
  <si>
    <t>POILAPSP_USD.M</t>
  </si>
  <si>
    <t>Commodity</t>
  </si>
  <si>
    <t>PALUM</t>
  </si>
  <si>
    <t>PCOALAU</t>
  </si>
  <si>
    <t>PCOALSA</t>
  </si>
  <si>
    <t>PCOPP</t>
  </si>
  <si>
    <t>PGOLD</t>
  </si>
  <si>
    <t>PIORECR</t>
  </si>
  <si>
    <t>PNGASEU</t>
  </si>
  <si>
    <t>PNGASJP</t>
  </si>
  <si>
    <t>PNGASUS</t>
  </si>
  <si>
    <t>PNICK</t>
  </si>
  <si>
    <t>POILBRE</t>
  </si>
  <si>
    <t>POILDUB</t>
  </si>
  <si>
    <t>POILWTI</t>
  </si>
  <si>
    <t>PPALLA</t>
  </si>
  <si>
    <t>PPLAT</t>
  </si>
  <si>
    <t>PSILVER</t>
  </si>
  <si>
    <t>Data Type</t>
  </si>
  <si>
    <t>USD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</si>
  <si>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</si>
  <si>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</si>
  <si>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</si>
  <si>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</si>
  <si>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</si>
  <si>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</si>
  <si>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</si>
  <si>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</si>
  <si>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</si>
  <si>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</si>
  <si>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</si>
  <si>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</si>
  <si>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</si>
  <si>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</si>
  <si>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</si>
  <si>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</si>
  <si>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</si>
  <si>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</si>
  <si>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</si>
  <si>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</si>
  <si>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</si>
  <si>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PALLFNF_Index.M</t>
  </si>
  <si>
    <t>PFOOD_Index.M</t>
  </si>
  <si>
    <t>PALLFNF</t>
  </si>
  <si>
    <t>PFOOD</t>
  </si>
  <si>
    <t>Index</t>
  </si>
  <si>
    <t>SGBLTO@MKTPMI</t>
  </si>
  <si>
    <t>SGBLTP@MKTPMI</t>
  </si>
  <si>
    <t>SGBLTX@MKTPMI</t>
  </si>
  <si>
    <t>SGBLTPO@MKTPMI</t>
  </si>
  <si>
    <t>SGBLTE@MKTPMI</t>
  </si>
  <si>
    <t>SGBLM@MKTPMI</t>
  </si>
  <si>
    <t>SGBLMSF@MKTPMI</t>
  </si>
  <si>
    <t>SGBLS@MKTPMI</t>
  </si>
  <si>
    <t>.excel_last</t>
  </si>
  <si>
    <t>.TN</t>
  </si>
  <si>
    <t>.T1</t>
  </si>
  <si>
    <t>.DESC</t>
  </si>
  <si>
    <t>Mar-2019</t>
  </si>
  <si>
    <t>Jan-1998</t>
  </si>
  <si>
    <t>May-2007</t>
  </si>
  <si>
    <t>Global PMI: Manufacturing Stock of Finished Goods (SA, 50+=Expansion)</t>
  </si>
  <si>
    <t>Oct-2009</t>
  </si>
  <si>
    <t>Nov-2002</t>
  </si>
  <si>
    <t>Jul-2012</t>
  </si>
  <si>
    <t>Feb-2019</t>
  </si>
  <si>
    <t>Jul-1998</t>
  </si>
  <si>
    <t>Global PMI: Services Business Activity (SA, 50+=Expansion)</t>
  </si>
  <si>
    <t>Sep-2014</t>
  </si>
  <si>
    <t>Global PMI: Composite New Orders (SA, 50+=Expansion)</t>
  </si>
  <si>
    <t>Global PMI: Composite Input Prices (SA, 50+=Expansion)</t>
  </si>
  <si>
    <t>Global PMI: Composite New Export Orders (SA, 50+=Expansion)</t>
  </si>
  <si>
    <t>Global PMI: Composite Output Prices (SA, 50+=Expansion)</t>
  </si>
  <si>
    <t>Global PMI: Composite Employment (SA, 50+=Expansion)</t>
  </si>
  <si>
    <t>Global Manufacturing PMI Using Markit Mfg for U.S. (SA, 50+=Expansion)</t>
  </si>
  <si>
    <t>Jan-1999 !M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</si>
  <si>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</si>
  <si>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</si>
  <si>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</si>
  <si>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</si>
  <si>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</si>
  <si>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</si>
  <si>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</si>
  <si>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</si>
  <si>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</si>
  <si>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</si>
  <si>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</si>
  <si>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</si>
  <si>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</si>
  <si>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</si>
  <si>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</si>
  <si>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</si>
  <si>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</si>
  <si>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</si>
  <si>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</si>
  <si>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</si>
  <si>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</si>
  <si>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</si>
  <si>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</si>
  <si>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</si>
  <si>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</si>
  <si>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</si>
  <si>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</si>
  <si>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</si>
  <si>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</si>
  <si>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</si>
  <si>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</si>
  <si>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</si>
  <si>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</si>
  <si>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</si>
  <si>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</si>
  <si>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</si>
  <si>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</si>
  <si>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</si>
  <si>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</si>
  <si>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</si>
  <si>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</si>
  <si>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</si>
  <si>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</si>
  <si>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</si>
  <si>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</si>
  <si>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</si>
  <si>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</si>
  <si>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</si>
  <si>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</si>
  <si>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</si>
  <si>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</si>
  <si>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</si>
  <si>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</si>
  <si>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</si>
  <si>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</si>
  <si>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</si>
  <si>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</si>
  <si>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</si>
  <si>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</si>
  <si>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</si>
  <si>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</si>
  <si>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</si>
  <si>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</si>
  <si>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</si>
  <si>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</si>
  <si>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</si>
  <si>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</si>
  <si>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</si>
  <si>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</si>
  <si>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</si>
  <si>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</si>
  <si>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</si>
  <si>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</si>
  <si>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</si>
  <si>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</si>
  <si>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</si>
  <si>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</si>
  <si>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</si>
  <si>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</si>
  <si>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</si>
  <si>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</si>
  <si>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</si>
  <si>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</si>
  <si>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</si>
  <si>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</si>
  <si>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</si>
  <si>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</si>
  <si>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</si>
  <si>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</si>
  <si>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</si>
  <si>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</si>
  <si>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</si>
  <si>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</si>
  <si>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</si>
  <si>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</si>
  <si>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</si>
  <si>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</si>
  <si>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</si>
  <si>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</si>
  <si>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</si>
  <si>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</si>
  <si>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</si>
  <si>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</si>
  <si>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</si>
  <si>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</si>
  <si>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</si>
  <si>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</si>
  <si>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</si>
  <si>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</si>
  <si>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</si>
  <si>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</si>
  <si>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</si>
  <si>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</si>
  <si>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</si>
  <si>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</si>
  <si>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</si>
  <si>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</si>
  <si>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</si>
  <si>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</si>
  <si>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</si>
  <si>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</si>
  <si>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</si>
  <si>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</si>
  <si>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</si>
  <si>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</si>
  <si>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</si>
  <si>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</si>
  <si>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</si>
  <si>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</si>
  <si>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</si>
  <si>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</si>
  <si>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</si>
  <si>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</si>
  <si>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</si>
  <si>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</si>
  <si>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</si>
  <si>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</si>
  <si>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</si>
  <si>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</si>
  <si>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</si>
  <si>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</si>
  <si>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</si>
  <si>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</si>
  <si>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</si>
  <si>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</si>
  <si>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</si>
  <si>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</si>
  <si>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</si>
  <si>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</si>
  <si>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</si>
  <si>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</si>
  <si>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</si>
  <si>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</si>
  <si>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</si>
  <si>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</si>
  <si>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</si>
  <si>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</si>
  <si>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</si>
  <si>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</si>
  <si>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</si>
  <si>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</si>
  <si>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</si>
  <si>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</si>
  <si>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</si>
  <si>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</si>
  <si>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</si>
  <si>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</si>
  <si>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</si>
  <si>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</si>
  <si>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</si>
  <si>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</si>
  <si>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</si>
  <si>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</si>
  <si>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</si>
  <si>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</si>
  <si>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</si>
  <si>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</si>
  <si>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</si>
  <si>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</si>
  <si>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</si>
  <si>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</si>
  <si>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</si>
  <si>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</si>
  <si>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</si>
  <si>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</si>
  <si>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</si>
  <si>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</si>
  <si>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</si>
  <si>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</si>
  <si>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</si>
  <si>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</si>
  <si>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</si>
  <si>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</si>
  <si>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</si>
  <si>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</si>
  <si>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</si>
  <si>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</si>
  <si>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</si>
  <si>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</si>
  <si>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</si>
  <si>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</si>
  <si>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</si>
  <si>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</si>
  <si>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</si>
  <si>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</si>
  <si>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</si>
  <si>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</si>
  <si>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</si>
  <si>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</si>
  <si>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</si>
  <si>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</si>
  <si>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</si>
  <si>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</si>
  <si>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</si>
  <si>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</si>
  <si>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</si>
  <si>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</si>
  <si>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</si>
  <si>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</si>
  <si>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</si>
  <si>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</si>
  <si>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</si>
  <si>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</si>
  <si>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</si>
  <si>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</si>
  <si>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</si>
  <si>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</si>
  <si>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</si>
  <si>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</si>
  <si>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</si>
  <si>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</si>
  <si>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</si>
  <si>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</si>
  <si>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</si>
  <si>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</si>
  <si>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</si>
  <si>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</si>
  <si>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</si>
  <si>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</si>
  <si>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</si>
  <si>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</si>
  <si>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</si>
  <si>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</si>
  <si>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</si>
  <si>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</si>
  <si>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</si>
  <si>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</si>
  <si>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</si>
  <si>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</si>
  <si>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</si>
  <si>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</si>
  <si>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</si>
  <si>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</si>
  <si>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</si>
  <si>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</si>
  <si>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</si>
  <si>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1999/Q1 *Q</t>
  </si>
  <si>
    <t>.excel_first</t>
  </si>
  <si>
    <t>1999/Q1</t>
  </si>
  <si>
    <t>1999/Q2</t>
  </si>
  <si>
    <t>1999/Q3</t>
  </si>
  <si>
    <t>1999/Q4</t>
  </si>
  <si>
    <t>2000/Q1</t>
  </si>
  <si>
    <t>2000/Q2</t>
  </si>
  <si>
    <t>2000/Q3</t>
  </si>
  <si>
    <t>2000/Q4</t>
  </si>
  <si>
    <t>2001/Q1</t>
  </si>
  <si>
    <t>2001/Q2</t>
  </si>
  <si>
    <t>2001/Q3</t>
  </si>
  <si>
    <t>2001/Q4</t>
  </si>
  <si>
    <t>2002/Q1</t>
  </si>
  <si>
    <t>2002/Q2</t>
  </si>
  <si>
    <t>2002/Q3</t>
  </si>
  <si>
    <t>2002/Q4</t>
  </si>
  <si>
    <t>2003/Q1</t>
  </si>
  <si>
    <t>2003/Q2</t>
  </si>
  <si>
    <t>2003/Q3</t>
  </si>
  <si>
    <t>2003/Q4</t>
  </si>
  <si>
    <t>2004/Q1</t>
  </si>
  <si>
    <t>2004/Q2</t>
  </si>
  <si>
    <t>2004/Q3</t>
  </si>
  <si>
    <t>2004/Q4</t>
  </si>
  <si>
    <t>2005/Q1</t>
  </si>
  <si>
    <t>2005/Q2</t>
  </si>
  <si>
    <t>2005/Q3</t>
  </si>
  <si>
    <t>2005/Q4</t>
  </si>
  <si>
    <t>2006/Q1</t>
  </si>
  <si>
    <t>2006/Q2</t>
  </si>
  <si>
    <t>2006/Q3</t>
  </si>
  <si>
    <t>2006/Q4</t>
  </si>
  <si>
    <t>2007/Q1</t>
  </si>
  <si>
    <t>2007/Q2</t>
  </si>
  <si>
    <t>2007/Q3</t>
  </si>
  <si>
    <t>2007/Q4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</si>
  <si>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</si>
  <si>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</si>
  <si>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</si>
  <si>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</si>
  <si>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</si>
  <si>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</si>
  <si>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</si>
  <si>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</si>
  <si>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</si>
  <si>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</si>
  <si>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</si>
  <si>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</si>
  <si>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</si>
  <si>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</si>
  <si>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</si>
  <si>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</si>
  <si>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</si>
  <si>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</si>
  <si>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</si>
  <si>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</si>
  <si>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</si>
  <si>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</si>
  <si>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</si>
  <si>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</si>
  <si>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</si>
  <si>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</si>
  <si>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</si>
  <si>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</si>
  <si>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</si>
  <si>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</si>
  <si>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</si>
  <si>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</si>
  <si>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</si>
  <si>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</si>
  <si>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</si>
  <si>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</si>
  <si>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</si>
  <si>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</si>
  <si>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</si>
  <si>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</si>
  <si>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</si>
  <si>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</si>
  <si>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</si>
  <si>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</si>
  <si>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</si>
  <si>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Q1-1975</t>
  </si>
  <si>
    <t>House</t>
  </si>
  <si>
    <t>S001XDIR@G10</t>
  </si>
  <si>
    <t>Real Household Personal Disposable Income: World (SA, 2005=100)</t>
  </si>
  <si>
    <t>S001XHPR@G10</t>
  </si>
  <si>
    <t>Real House Price Index: World (SA, 2005=100)</t>
  </si>
  <si>
    <t>RINC</t>
  </si>
  <si>
    <t>FXDUSBC@USECON</t>
  </si>
  <si>
    <t>Jan-1990</t>
  </si>
  <si>
    <t>JPMorgan Real Broad Effective Exchange Rate Index, PPI Based: US (2010=100)</t>
  </si>
  <si>
    <t>REERUS</t>
  </si>
  <si>
    <t>NGDPR</t>
  </si>
  <si>
    <t>PMIM</t>
  </si>
  <si>
    <t>EMPPMI</t>
  </si>
  <si>
    <t>UNRATE</t>
  </si>
  <si>
    <t>ECC</t>
  </si>
  <si>
    <t>Apr-2019</t>
  </si>
  <si>
    <t>2019m4</t>
  </si>
  <si>
    <t>2019m5</t>
  </si>
  <si>
    <t>BDIY</t>
  </si>
  <si>
    <t>BDIM@BALTIC</t>
  </si>
  <si>
    <t>Jan-1985</t>
  </si>
  <si>
    <t>Baltic Exchange Dry Index (Jan-04-85=1000)</t>
  </si>
  <si>
    <t>May-2019</t>
  </si>
  <si>
    <t>2019m6</t>
  </si>
  <si>
    <t>CHEM</t>
  </si>
  <si>
    <t>2019m7</t>
  </si>
  <si>
    <t>2019m8</t>
  </si>
  <si>
    <t>2019m9</t>
  </si>
  <si>
    <t>2019m10</t>
  </si>
  <si>
    <t>2019m11</t>
  </si>
  <si>
    <t>2019m12</t>
  </si>
  <si>
    <t>Jun-2019</t>
  </si>
  <si>
    <t>2019/Q2</t>
  </si>
  <si>
    <t>date</t>
  </si>
  <si>
    <t>GDPGPM</t>
  </si>
  <si>
    <t>Jul-2019</t>
  </si>
  <si>
    <t>CHEM: Comes from https://www.americanchemistry.com/CAB-vs-Industrial-Production/</t>
  </si>
  <si>
    <t xml:space="preserve">Download worksheet, look for CAB variable (first variable column). </t>
  </si>
  <si>
    <t>OECDCLI: https://data.oecd.org/leadind/composite-leading-indicator-cli.htm</t>
  </si>
  <si>
    <t>2019/Q3</t>
  </si>
  <si>
    <t>GPMGDP</t>
  </si>
  <si>
    <t>Aug-2019</t>
  </si>
  <si>
    <t>Sep-2019</t>
  </si>
  <si>
    <t>https://www.americanchemistry.com/CAB-vs-Industrial-Production/</t>
  </si>
  <si>
    <t>Sources:</t>
  </si>
  <si>
    <t>Oct-2019</t>
  </si>
  <si>
    <t>2019/Q4</t>
  </si>
  <si>
    <t>Nov-2019</t>
  </si>
  <si>
    <t>Dec-2019</t>
  </si>
  <si>
    <t>Jan-2020</t>
  </si>
  <si>
    <t>month info</t>
  </si>
  <si>
    <t>year info</t>
  </si>
  <si>
    <t>Security</t>
  </si>
  <si>
    <t>Fields</t>
  </si>
  <si>
    <t>px_last</t>
  </si>
  <si>
    <t>Start Date</t>
  </si>
  <si>
    <t>End Date</t>
  </si>
  <si>
    <t>D,W,M,Q,S,Y</t>
  </si>
  <si>
    <t>Per=</t>
  </si>
  <si>
    <t>D</t>
  </si>
  <si>
    <t>N,C,T,W,A</t>
  </si>
  <si>
    <t>Days=</t>
  </si>
  <si>
    <t>N</t>
  </si>
  <si>
    <t xml:space="preserve">C,P,E,B </t>
  </si>
  <si>
    <t>Fill=</t>
  </si>
  <si>
    <t>C</t>
  </si>
  <si>
    <t>TRUE,FALSE</t>
  </si>
  <si>
    <t>Dts=</t>
  </si>
  <si>
    <t>P,Y</t>
  </si>
  <si>
    <t>QtTyp=</t>
  </si>
  <si>
    <t>C,A,R,D</t>
  </si>
  <si>
    <t>Sort=</t>
  </si>
  <si>
    <t>Curr=</t>
  </si>
  <si>
    <t>G=Avg C=Last</t>
  </si>
  <si>
    <t>Quote=</t>
  </si>
  <si>
    <t>G</t>
  </si>
  <si>
    <t>Bloomberg Description</t>
  </si>
  <si>
    <t>Baltic</t>
  </si>
  <si>
    <t>BDIY Index</t>
  </si>
  <si>
    <t>Feb Average</t>
  </si>
  <si>
    <t>January Average</t>
  </si>
  <si>
    <t>Feb-2020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</si>
</sst>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mm"/>
    <numFmt numFmtId="165" formatCode="0.0000"/>
    <numFmt numFmtId="166" formatCode="yyyy&quot;/&quot;mmm"/>
    <numFmt numFmtId="167" formatCode="0.00000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Helvetica Neue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">
    <xf numFmtId="0" fontId="0" fillId="0" borderId="0"/>
    <xf numFmtId="0" fontId="2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0" borderId="0" applyNumberFormat="0" applyFill="0" applyBorder="0" applyProtection="0">
      <alignment vertical="top"/>
    </xf>
    <xf numFmtId="0" fontId="22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4" fillId="0" borderId="0"/>
    <xf numFmtId="0" fontId="22" fillId="0" borderId="0"/>
    <xf numFmtId="0" fontId="4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3" fillId="0" borderId="0"/>
    <xf numFmtId="0" fontId="4" fillId="9" borderId="8" applyNumberFormat="0" applyFon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2" fillId="0" borderId="0" xfId="1"/>
    <xf numFmtId="0" fontId="0" fillId="0" borderId="0" xfId="0" applyFill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2" fontId="3" fillId="2" borderId="0" xfId="0" applyNumberFormat="1" applyFont="1" applyFill="1"/>
    <xf numFmtId="14" fontId="0" fillId="0" borderId="0" xfId="0" applyNumberFormat="1"/>
    <xf numFmtId="0" fontId="0" fillId="0" borderId="0" xfId="0"/>
    <xf numFmtId="0" fontId="2" fillId="0" borderId="0" xfId="1" applyAlignment="1">
      <alignment vertical="center"/>
    </xf>
    <xf numFmtId="0" fontId="0" fillId="0" borderId="0" xfId="0"/>
    <xf numFmtId="2" fontId="24" fillId="2" borderId="0" xfId="0" applyNumberFormat="1" applyFont="1" applyFill="1" applyBorder="1" applyAlignment="1">
      <alignment horizontal="right"/>
    </xf>
    <xf numFmtId="2" fontId="25" fillId="2" borderId="0" xfId="0" applyNumberFormat="1" applyFont="1" applyFill="1" applyBorder="1" applyAlignment="1">
      <alignment horizontal="right"/>
    </xf>
    <xf numFmtId="0" fontId="0" fillId="0" borderId="0" xfId="0"/>
    <xf numFmtId="0" fontId="0" fillId="0" borderId="0" xfId="0"/>
    <xf numFmtId="14" fontId="0" fillId="0" borderId="10" xfId="0" applyNumberFormat="1" applyBorder="1"/>
    <xf numFmtId="0" fontId="26" fillId="0" borderId="0" xfId="0" applyFont="1" applyAlignment="1">
      <alignment horizontal="left"/>
    </xf>
    <xf numFmtId="0" fontId="17" fillId="34" borderId="10" xfId="0" applyFont="1" applyFill="1" applyBorder="1" applyAlignment="1">
      <alignment horizontal="center"/>
    </xf>
    <xf numFmtId="2" fontId="22" fillId="35" borderId="10" xfId="0" applyNumberFormat="1" applyFont="1" applyFill="1" applyBorder="1" applyAlignment="1">
      <alignment horizontal="left"/>
    </xf>
    <xf numFmtId="0" fontId="17" fillId="34" borderId="10" xfId="0" applyFont="1" applyFill="1" applyBorder="1" applyAlignment="1">
      <alignment horizontal="left"/>
    </xf>
    <xf numFmtId="14" fontId="27" fillId="34" borderId="10" xfId="0" applyNumberFormat="1" applyFont="1" applyFill="1" applyBorder="1" applyAlignment="1">
      <alignment horizontal="left"/>
    </xf>
    <xf numFmtId="0" fontId="0" fillId="36" borderId="10" xfId="0" applyFill="1" applyBorder="1"/>
    <xf numFmtId="0" fontId="17" fillId="36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vertical="top" wrapText="1"/>
    </xf>
    <xf numFmtId="2" fontId="0" fillId="37" borderId="10" xfId="0" applyNumberFormat="1" applyFill="1" applyBorder="1" applyAlignment="1">
      <alignment vertical="top" wrapText="1"/>
    </xf>
    <xf numFmtId="2" fontId="0" fillId="0" borderId="10" xfId="0" applyNumberFormat="1" applyBorder="1"/>
    <xf numFmtId="14" fontId="17" fillId="34" borderId="10" xfId="0" applyNumberFormat="1" applyFont="1" applyFill="1" applyBorder="1" applyAlignment="1">
      <alignment horizontal="left"/>
    </xf>
    <xf numFmtId="0" fontId="0" fillId="0" borderId="0" xfId="0"/>
    <xf numFmtId="2" fontId="3" fillId="2" borderId="0" xfId="0" applyNumberFormat="1" applyFont="1" applyFill="1"/>
    <xf numFmtId="2" fontId="3" fillId="2" borderId="0" xfId="0" applyNumberFormat="1" applyFont="1" applyFill="1" applyAlignment="1"/>
    <xf numFmtId="2" fontId="3" fillId="2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center"/>
    </xf>
    <xf numFmtId="165" fontId="0" fillId="38" borderId="0" xfId="0" applyNumberFormat="1" applyFill="1" applyAlignment="1">
      <alignment horizontal="center"/>
    </xf>
    <xf numFmtId="17" fontId="0" fillId="0" borderId="0" xfId="0" applyNumberFormat="1"/>
  </cellXfs>
  <cellStyles count="140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31000000}"/>
    <cellStyle name="60% - Accent2 2" xfId="37" xr:uid="{00000000-0005-0000-0000-000032000000}"/>
    <cellStyle name="60% - Accent3 2" xfId="38" xr:uid="{00000000-0005-0000-0000-000033000000}"/>
    <cellStyle name="60% - Accent4 2" xfId="39" xr:uid="{00000000-0005-0000-0000-000034000000}"/>
    <cellStyle name="60% - Accent5 2" xfId="40" xr:uid="{00000000-0005-0000-0000-000035000000}"/>
    <cellStyle name="60% - Accent6 2" xfId="41" xr:uid="{00000000-0005-0000-0000-000036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[0] 2" xfId="46" xr:uid="{00000000-0005-0000-0000-00001C000000}"/>
    <cellStyle name="Comma [0] 3" xfId="45" xr:uid="{00000000-0005-0000-0000-00001D000000}"/>
    <cellStyle name="Comma 2" xfId="47" xr:uid="{00000000-0005-0000-0000-00001E000000}"/>
    <cellStyle name="Comma 3" xfId="44" xr:uid="{00000000-0005-0000-0000-00001F000000}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Input" xfId="8" builtinId="20" customBuiltin="1"/>
    <cellStyle name="Linked Cell" xfId="11" builtinId="24" customBuiltin="1"/>
    <cellStyle name="Neutral 2" xfId="35" xr:uid="{00000000-0005-0000-0000-00003B000000}"/>
    <cellStyle name="Normal" xfId="0" builtinId="0"/>
    <cellStyle name="Normal 10" xfId="43" xr:uid="{00000000-0005-0000-0000-00002B000000}"/>
    <cellStyle name="Normal 2" xfId="42" xr:uid="{00000000-0005-0000-0000-00002C000000}"/>
    <cellStyle name="Normal 2 10" xfId="48" xr:uid="{00000000-0005-0000-0000-00002D000000}"/>
    <cellStyle name="Normal 2 10 2" xfId="49" xr:uid="{00000000-0005-0000-0000-00002E000000}"/>
    <cellStyle name="Normal 2 2" xfId="50" xr:uid="{00000000-0005-0000-0000-00002F000000}"/>
    <cellStyle name="Normal 2 2 2" xfId="51" xr:uid="{00000000-0005-0000-0000-000030000000}"/>
    <cellStyle name="Normal 2 2 2 2" xfId="52" xr:uid="{00000000-0005-0000-0000-000031000000}"/>
    <cellStyle name="Normal 2 2 2 2 2" xfId="53" xr:uid="{00000000-0005-0000-0000-000032000000}"/>
    <cellStyle name="Normal 2 2 2 2 2 2" xfId="54" xr:uid="{00000000-0005-0000-0000-000033000000}"/>
    <cellStyle name="Normal 2 2 2 2 2 2 2" xfId="55" xr:uid="{00000000-0005-0000-0000-000034000000}"/>
    <cellStyle name="Normal 2 2 2 2 2 2 3" xfId="56" xr:uid="{00000000-0005-0000-0000-000035000000}"/>
    <cellStyle name="Normal 2 2 2 2 2 2 4" xfId="57" xr:uid="{00000000-0005-0000-0000-000036000000}"/>
    <cellStyle name="Normal 2 2 2 2 2 3" xfId="58" xr:uid="{00000000-0005-0000-0000-000037000000}"/>
    <cellStyle name="Normal 2 2 2 2 2 4" xfId="59" xr:uid="{00000000-0005-0000-0000-000038000000}"/>
    <cellStyle name="Normal 2 2 2 2 2 5" xfId="60" xr:uid="{00000000-0005-0000-0000-000039000000}"/>
    <cellStyle name="Normal 2 2 2 2 3" xfId="61" xr:uid="{00000000-0005-0000-0000-00003A000000}"/>
    <cellStyle name="Normal 2 2 2 2 4" xfId="62" xr:uid="{00000000-0005-0000-0000-00003B000000}"/>
    <cellStyle name="Normal 2 2 2 2 5" xfId="63" xr:uid="{00000000-0005-0000-0000-00003C000000}"/>
    <cellStyle name="Normal 2 2 2 2 6" xfId="64" xr:uid="{00000000-0005-0000-0000-00003D000000}"/>
    <cellStyle name="Normal 2 2 2 3" xfId="65" xr:uid="{00000000-0005-0000-0000-00003E000000}"/>
    <cellStyle name="Normal 2 2 2 4" xfId="66" xr:uid="{00000000-0005-0000-0000-00003F000000}"/>
    <cellStyle name="Normal 2 2 2 4 2" xfId="67" xr:uid="{00000000-0005-0000-0000-000040000000}"/>
    <cellStyle name="Normal 2 2 2 4 3" xfId="68" xr:uid="{00000000-0005-0000-0000-000041000000}"/>
    <cellStyle name="Normal 2 2 2 5" xfId="69" xr:uid="{00000000-0005-0000-0000-000042000000}"/>
    <cellStyle name="Normal 2 2 2 6" xfId="70" xr:uid="{00000000-0005-0000-0000-000043000000}"/>
    <cellStyle name="Normal 2 2 2 7" xfId="71" xr:uid="{00000000-0005-0000-0000-000044000000}"/>
    <cellStyle name="Normal 2 2 3" xfId="72" xr:uid="{00000000-0005-0000-0000-000045000000}"/>
    <cellStyle name="Normal 2 2 4" xfId="73" xr:uid="{00000000-0005-0000-0000-000046000000}"/>
    <cellStyle name="Normal 2 2 4 2" xfId="74" xr:uid="{00000000-0005-0000-0000-000047000000}"/>
    <cellStyle name="Normal 2 2 4 3" xfId="75" xr:uid="{00000000-0005-0000-0000-000048000000}"/>
    <cellStyle name="Normal 2 2 5" xfId="76" xr:uid="{00000000-0005-0000-0000-000049000000}"/>
    <cellStyle name="Normal 2 2 5 2" xfId="77" xr:uid="{00000000-0005-0000-0000-00004A000000}"/>
    <cellStyle name="Normal 2 2 5 3" xfId="78" xr:uid="{00000000-0005-0000-0000-00004B000000}"/>
    <cellStyle name="Normal 2 2 6" xfId="79" xr:uid="{00000000-0005-0000-0000-00004C000000}"/>
    <cellStyle name="Normal 2 2 7" xfId="80" xr:uid="{00000000-0005-0000-0000-00004D000000}"/>
    <cellStyle name="Normal 2 2 8" xfId="81" xr:uid="{00000000-0005-0000-0000-00004E000000}"/>
    <cellStyle name="Normal 2 3" xfId="82" xr:uid="{00000000-0005-0000-0000-00004F000000}"/>
    <cellStyle name="Normal 2 3 2" xfId="83" xr:uid="{00000000-0005-0000-0000-000050000000}"/>
    <cellStyle name="Normal 2 3 3" xfId="84" xr:uid="{00000000-0005-0000-0000-000051000000}"/>
    <cellStyle name="Normal 2 3 4" xfId="85" xr:uid="{00000000-0005-0000-0000-000052000000}"/>
    <cellStyle name="Normal 2 3 5" xfId="86" xr:uid="{00000000-0005-0000-0000-000053000000}"/>
    <cellStyle name="Normal 2 4" xfId="87" xr:uid="{00000000-0005-0000-0000-000054000000}"/>
    <cellStyle name="Normal 2 4 2" xfId="88" xr:uid="{00000000-0005-0000-0000-000055000000}"/>
    <cellStyle name="Normal 2 4 2 2" xfId="89" xr:uid="{00000000-0005-0000-0000-000056000000}"/>
    <cellStyle name="Normal 2 4 2 3" xfId="90" xr:uid="{00000000-0005-0000-0000-000057000000}"/>
    <cellStyle name="Normal 2 4 3" xfId="91" xr:uid="{00000000-0005-0000-0000-000058000000}"/>
    <cellStyle name="Normal 2 4 3 2" xfId="92" xr:uid="{00000000-0005-0000-0000-000059000000}"/>
    <cellStyle name="Normal 2 4 3 3" xfId="93" xr:uid="{00000000-0005-0000-0000-00005A000000}"/>
    <cellStyle name="Normal 2 4 4" xfId="94" xr:uid="{00000000-0005-0000-0000-00005B000000}"/>
    <cellStyle name="Normal 2 5" xfId="95" xr:uid="{00000000-0005-0000-0000-00005C000000}"/>
    <cellStyle name="Normal 2 5 2" xfId="96" xr:uid="{00000000-0005-0000-0000-00005D000000}"/>
    <cellStyle name="Normal 2 6" xfId="97" xr:uid="{00000000-0005-0000-0000-00005E000000}"/>
    <cellStyle name="Normal 2 6 2" xfId="98" xr:uid="{00000000-0005-0000-0000-00005F000000}"/>
    <cellStyle name="Normal 2 6 3" xfId="99" xr:uid="{00000000-0005-0000-0000-000060000000}"/>
    <cellStyle name="Normal 2 6 4" xfId="100" xr:uid="{00000000-0005-0000-0000-000061000000}"/>
    <cellStyle name="Normal 2 7" xfId="101" xr:uid="{00000000-0005-0000-0000-000062000000}"/>
    <cellStyle name="Normal 2 7 2" xfId="102" xr:uid="{00000000-0005-0000-0000-000063000000}"/>
    <cellStyle name="Normal 2 8" xfId="103" xr:uid="{00000000-0005-0000-0000-000064000000}"/>
    <cellStyle name="Normal 2 9" xfId="104" xr:uid="{00000000-0005-0000-0000-000065000000}"/>
    <cellStyle name="Normal 3" xfId="105" xr:uid="{00000000-0005-0000-0000-000066000000}"/>
    <cellStyle name="Normal 3 2" xfId="106" xr:uid="{00000000-0005-0000-0000-000067000000}"/>
    <cellStyle name="Normal 3 3" xfId="107" xr:uid="{00000000-0005-0000-0000-000068000000}"/>
    <cellStyle name="Normal 3 4" xfId="108" xr:uid="{00000000-0005-0000-0000-000069000000}"/>
    <cellStyle name="Normal 3 5" xfId="109" xr:uid="{00000000-0005-0000-0000-00006A000000}"/>
    <cellStyle name="Normal 4" xfId="110" xr:uid="{00000000-0005-0000-0000-00006B000000}"/>
    <cellStyle name="Normal 4 2" xfId="111" xr:uid="{00000000-0005-0000-0000-00006C000000}"/>
    <cellStyle name="Normal 4 2 2" xfId="112" xr:uid="{00000000-0005-0000-0000-00006D000000}"/>
    <cellStyle name="Normal 4 2 3" xfId="113" xr:uid="{00000000-0005-0000-0000-00006E000000}"/>
    <cellStyle name="Normal 4 3" xfId="114" xr:uid="{00000000-0005-0000-0000-00006F000000}"/>
    <cellStyle name="Normal 4 3 2" xfId="115" xr:uid="{00000000-0005-0000-0000-000070000000}"/>
    <cellStyle name="Normal 4 3 3" xfId="116" xr:uid="{00000000-0005-0000-0000-000071000000}"/>
    <cellStyle name="Normal 4 4" xfId="117" xr:uid="{00000000-0005-0000-0000-000072000000}"/>
    <cellStyle name="Normal 4 5" xfId="118" xr:uid="{00000000-0005-0000-0000-000073000000}"/>
    <cellStyle name="Normal 5" xfId="119" xr:uid="{00000000-0005-0000-0000-000074000000}"/>
    <cellStyle name="Normal 5 2" xfId="120" xr:uid="{00000000-0005-0000-0000-000075000000}"/>
    <cellStyle name="Normal 5 2 2" xfId="121" xr:uid="{00000000-0005-0000-0000-000076000000}"/>
    <cellStyle name="Normal 5 3" xfId="122" xr:uid="{00000000-0005-0000-0000-000077000000}"/>
    <cellStyle name="Normal 5 3 2" xfId="123" xr:uid="{00000000-0005-0000-0000-000078000000}"/>
    <cellStyle name="Normal 5 4" xfId="124" xr:uid="{00000000-0005-0000-0000-000079000000}"/>
    <cellStyle name="Normal 5 5" xfId="125" xr:uid="{00000000-0005-0000-0000-00007A000000}"/>
    <cellStyle name="Normal 6" xfId="126" xr:uid="{00000000-0005-0000-0000-00007B000000}"/>
    <cellStyle name="Normal 6 2" xfId="127" xr:uid="{00000000-0005-0000-0000-00007C000000}"/>
    <cellStyle name="Normal 6 3" xfId="128" xr:uid="{00000000-0005-0000-0000-00007D000000}"/>
    <cellStyle name="Normal 7" xfId="129" xr:uid="{00000000-0005-0000-0000-00007E000000}"/>
    <cellStyle name="Normal 7 2" xfId="130" xr:uid="{00000000-0005-0000-0000-00007F000000}"/>
    <cellStyle name="Normal 7 2 2" xfId="131" xr:uid="{00000000-0005-0000-0000-000080000000}"/>
    <cellStyle name="Normal 7 3" xfId="132" xr:uid="{00000000-0005-0000-0000-000081000000}"/>
    <cellStyle name="Normal 7 3 2" xfId="133" xr:uid="{00000000-0005-0000-0000-000082000000}"/>
    <cellStyle name="Normal 8" xfId="134" xr:uid="{00000000-0005-0000-0000-000083000000}"/>
    <cellStyle name="Normal 9" xfId="135" xr:uid="{00000000-0005-0000-0000-000084000000}"/>
    <cellStyle name="Note 2" xfId="136" xr:uid="{00000000-0005-0000-0000-000085000000}"/>
    <cellStyle name="Output" xfId="9" builtinId="21" customBuiltin="1"/>
    <cellStyle name="Percent 2" xfId="137" xr:uid="{00000000-0005-0000-0000-000088000000}"/>
    <cellStyle name="Percent 2 2" xfId="138" xr:uid="{00000000-0005-0000-0000-000089000000}"/>
    <cellStyle name="Percent 3" xfId="139" xr:uid="{00000000-0005-0000-0000-00008A000000}"/>
    <cellStyle name="Title 2" xfId="34" xr:uid="{00000000-0005-0000-0000-00009A000000}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OECD!$B$2:$B$254</c:f>
              <c:numCache>
                <c:formatCode>General</c:formatCode>
                <c:ptCount val="253"/>
                <c:pt idx="0">
                  <c:v>99.501040000000003</c:v>
                </c:pt>
                <c:pt idx="1">
                  <c:v>99.688869999999994</c:v>
                </c:pt>
                <c:pt idx="2">
                  <c:v>99.874690000000001</c:v>
                </c:pt>
                <c:pt idx="3">
                  <c:v>100.0538</c:v>
                </c:pt>
                <c:pt idx="4">
                  <c:v>100.2218</c:v>
                </c:pt>
                <c:pt idx="5">
                  <c:v>100.3789</c:v>
                </c:pt>
                <c:pt idx="6">
                  <c:v>100.52460000000001</c:v>
                </c:pt>
                <c:pt idx="7">
                  <c:v>100.66160000000001</c:v>
                </c:pt>
                <c:pt idx="8">
                  <c:v>100.7954</c:v>
                </c:pt>
                <c:pt idx="9">
                  <c:v>100.9314</c:v>
                </c:pt>
                <c:pt idx="10">
                  <c:v>101.0658</c:v>
                </c:pt>
                <c:pt idx="11">
                  <c:v>101.1871</c:v>
                </c:pt>
                <c:pt idx="12">
                  <c:v>101.2855</c:v>
                </c:pt>
                <c:pt idx="13">
                  <c:v>101.343</c:v>
                </c:pt>
                <c:pt idx="14">
                  <c:v>101.36060000000001</c:v>
                </c:pt>
                <c:pt idx="15">
                  <c:v>101.3398</c:v>
                </c:pt>
                <c:pt idx="16">
                  <c:v>101.2792</c:v>
                </c:pt>
                <c:pt idx="17">
                  <c:v>101.1854</c:v>
                </c:pt>
                <c:pt idx="18">
                  <c:v>101.06100000000001</c:v>
                </c:pt>
                <c:pt idx="19">
                  <c:v>100.90819999999999</c:v>
                </c:pt>
                <c:pt idx="20">
                  <c:v>100.7208</c:v>
                </c:pt>
                <c:pt idx="21">
                  <c:v>100.49079999999999</c:v>
                </c:pt>
                <c:pt idx="22">
                  <c:v>100.2229</c:v>
                </c:pt>
                <c:pt idx="23">
                  <c:v>99.930340000000001</c:v>
                </c:pt>
                <c:pt idx="24">
                  <c:v>99.646379999999994</c:v>
                </c:pt>
                <c:pt idx="25">
                  <c:v>99.400149999999996</c:v>
                </c:pt>
                <c:pt idx="26">
                  <c:v>99.20429</c:v>
                </c:pt>
                <c:pt idx="27">
                  <c:v>99.056690000000003</c:v>
                </c:pt>
                <c:pt idx="28">
                  <c:v>98.947450000000003</c:v>
                </c:pt>
                <c:pt idx="29">
                  <c:v>98.852500000000006</c:v>
                </c:pt>
                <c:pt idx="30">
                  <c:v>98.765150000000006</c:v>
                </c:pt>
                <c:pt idx="31">
                  <c:v>98.685460000000006</c:v>
                </c:pt>
                <c:pt idx="32">
                  <c:v>98.629890000000003</c:v>
                </c:pt>
                <c:pt idx="33">
                  <c:v>98.642160000000004</c:v>
                </c:pt>
                <c:pt idx="34">
                  <c:v>98.743030000000005</c:v>
                </c:pt>
                <c:pt idx="35">
                  <c:v>98.920910000000006</c:v>
                </c:pt>
                <c:pt idx="36">
                  <c:v>99.138570000000001</c:v>
                </c:pt>
                <c:pt idx="37">
                  <c:v>99.355540000000005</c:v>
                </c:pt>
                <c:pt idx="38">
                  <c:v>99.524640000000005</c:v>
                </c:pt>
                <c:pt idx="39">
                  <c:v>99.605239999999995</c:v>
                </c:pt>
                <c:pt idx="40">
                  <c:v>99.588710000000006</c:v>
                </c:pt>
                <c:pt idx="41">
                  <c:v>99.490499999999997</c:v>
                </c:pt>
                <c:pt idx="42">
                  <c:v>99.343699999999998</c:v>
                </c:pt>
                <c:pt idx="43">
                  <c:v>99.182810000000003</c:v>
                </c:pt>
                <c:pt idx="44">
                  <c:v>99.029420000000002</c:v>
                </c:pt>
                <c:pt idx="45">
                  <c:v>98.897120000000001</c:v>
                </c:pt>
                <c:pt idx="46">
                  <c:v>98.789940000000001</c:v>
                </c:pt>
                <c:pt idx="47">
                  <c:v>98.69359</c:v>
                </c:pt>
                <c:pt idx="48">
                  <c:v>98.602159999999998</c:v>
                </c:pt>
                <c:pt idx="49">
                  <c:v>98.530929999999998</c:v>
                </c:pt>
                <c:pt idx="50">
                  <c:v>98.511899999999997</c:v>
                </c:pt>
                <c:pt idx="51">
                  <c:v>98.570509999999999</c:v>
                </c:pt>
                <c:pt idx="52">
                  <c:v>98.697940000000003</c:v>
                </c:pt>
                <c:pt idx="53">
                  <c:v>98.883380000000002</c:v>
                </c:pt>
                <c:pt idx="54">
                  <c:v>99.111429999999999</c:v>
                </c:pt>
                <c:pt idx="55">
                  <c:v>99.364850000000004</c:v>
                </c:pt>
                <c:pt idx="56">
                  <c:v>99.631919999999994</c:v>
                </c:pt>
                <c:pt idx="57">
                  <c:v>99.892169999999993</c:v>
                </c:pt>
                <c:pt idx="58">
                  <c:v>100.1242</c:v>
                </c:pt>
                <c:pt idx="59">
                  <c:v>100.31359999999999</c:v>
                </c:pt>
                <c:pt idx="60">
                  <c:v>100.45359999999999</c:v>
                </c:pt>
                <c:pt idx="61">
                  <c:v>100.54</c:v>
                </c:pt>
                <c:pt idx="62">
                  <c:v>100.5782</c:v>
                </c:pt>
                <c:pt idx="63">
                  <c:v>100.58</c:v>
                </c:pt>
                <c:pt idx="64">
                  <c:v>100.55759999999999</c:v>
                </c:pt>
                <c:pt idx="65">
                  <c:v>100.52079999999999</c:v>
                </c:pt>
                <c:pt idx="66">
                  <c:v>100.47410000000001</c:v>
                </c:pt>
                <c:pt idx="67">
                  <c:v>100.4233</c:v>
                </c:pt>
                <c:pt idx="68">
                  <c:v>100.3836</c:v>
                </c:pt>
                <c:pt idx="69">
                  <c:v>100.355</c:v>
                </c:pt>
                <c:pt idx="70">
                  <c:v>100.3344</c:v>
                </c:pt>
                <c:pt idx="71">
                  <c:v>100.3081</c:v>
                </c:pt>
                <c:pt idx="72">
                  <c:v>100.26309999999999</c:v>
                </c:pt>
                <c:pt idx="73">
                  <c:v>100.19410000000001</c:v>
                </c:pt>
                <c:pt idx="74">
                  <c:v>100.1153</c:v>
                </c:pt>
                <c:pt idx="75">
                  <c:v>100.04859999999999</c:v>
                </c:pt>
                <c:pt idx="76">
                  <c:v>100.0159</c:v>
                </c:pt>
                <c:pt idx="77">
                  <c:v>100.0334</c:v>
                </c:pt>
                <c:pt idx="78">
                  <c:v>100.09269999999999</c:v>
                </c:pt>
                <c:pt idx="79">
                  <c:v>100.18389999999999</c:v>
                </c:pt>
                <c:pt idx="80">
                  <c:v>100.30070000000001</c:v>
                </c:pt>
                <c:pt idx="81">
                  <c:v>100.43940000000001</c:v>
                </c:pt>
                <c:pt idx="82">
                  <c:v>100.5869</c:v>
                </c:pt>
                <c:pt idx="83">
                  <c:v>100.72490000000001</c:v>
                </c:pt>
                <c:pt idx="84">
                  <c:v>100.8428</c:v>
                </c:pt>
                <c:pt idx="85">
                  <c:v>100.93559999999999</c:v>
                </c:pt>
                <c:pt idx="86">
                  <c:v>101</c:v>
                </c:pt>
                <c:pt idx="87">
                  <c:v>101.0325</c:v>
                </c:pt>
                <c:pt idx="88">
                  <c:v>101.03660000000001</c:v>
                </c:pt>
                <c:pt idx="89">
                  <c:v>101.03360000000001</c:v>
                </c:pt>
                <c:pt idx="90">
                  <c:v>101.0407</c:v>
                </c:pt>
                <c:pt idx="91">
                  <c:v>101.0753</c:v>
                </c:pt>
                <c:pt idx="92">
                  <c:v>101.1386</c:v>
                </c:pt>
                <c:pt idx="93">
                  <c:v>101.221</c:v>
                </c:pt>
                <c:pt idx="94">
                  <c:v>101.3107</c:v>
                </c:pt>
                <c:pt idx="95">
                  <c:v>101.3967</c:v>
                </c:pt>
                <c:pt idx="96">
                  <c:v>101.4687</c:v>
                </c:pt>
                <c:pt idx="97">
                  <c:v>101.5292</c:v>
                </c:pt>
                <c:pt idx="98">
                  <c:v>101.57940000000001</c:v>
                </c:pt>
                <c:pt idx="99">
                  <c:v>101.6194</c:v>
                </c:pt>
                <c:pt idx="100">
                  <c:v>101.6468</c:v>
                </c:pt>
                <c:pt idx="101">
                  <c:v>101.6514</c:v>
                </c:pt>
                <c:pt idx="102">
                  <c:v>101.6263</c:v>
                </c:pt>
                <c:pt idx="103">
                  <c:v>101.5697</c:v>
                </c:pt>
                <c:pt idx="104">
                  <c:v>101.49250000000001</c:v>
                </c:pt>
                <c:pt idx="105">
                  <c:v>101.4054</c:v>
                </c:pt>
                <c:pt idx="106">
                  <c:v>101.30840000000001</c:v>
                </c:pt>
                <c:pt idx="107">
                  <c:v>101.2028</c:v>
                </c:pt>
                <c:pt idx="108">
                  <c:v>101.0804</c:v>
                </c:pt>
                <c:pt idx="109">
                  <c:v>100.9211</c:v>
                </c:pt>
                <c:pt idx="110">
                  <c:v>100.71810000000001</c:v>
                </c:pt>
                <c:pt idx="111">
                  <c:v>100.4662</c:v>
                </c:pt>
                <c:pt idx="112">
                  <c:v>100.154</c:v>
                </c:pt>
                <c:pt idx="113">
                  <c:v>99.768230000000003</c:v>
                </c:pt>
                <c:pt idx="114">
                  <c:v>99.290980000000005</c:v>
                </c:pt>
                <c:pt idx="115">
                  <c:v>98.711330000000004</c:v>
                </c:pt>
                <c:pt idx="116">
                  <c:v>98.036019999999994</c:v>
                </c:pt>
                <c:pt idx="117">
                  <c:v>97.310040000000001</c:v>
                </c:pt>
                <c:pt idx="118">
                  <c:v>96.628969999999995</c:v>
                </c:pt>
                <c:pt idx="119">
                  <c:v>96.083500000000001</c:v>
                </c:pt>
                <c:pt idx="120">
                  <c:v>95.729100000000003</c:v>
                </c:pt>
                <c:pt idx="121">
                  <c:v>95.59872</c:v>
                </c:pt>
                <c:pt idx="122">
                  <c:v>95.705460000000002</c:v>
                </c:pt>
                <c:pt idx="123">
                  <c:v>96.029359999999997</c:v>
                </c:pt>
                <c:pt idx="124">
                  <c:v>96.500960000000006</c:v>
                </c:pt>
                <c:pt idx="125">
                  <c:v>97.05444</c:v>
                </c:pt>
                <c:pt idx="126">
                  <c:v>97.633219999999994</c:v>
                </c:pt>
                <c:pt idx="127">
                  <c:v>98.191410000000005</c:v>
                </c:pt>
                <c:pt idx="128">
                  <c:v>98.699209999999994</c:v>
                </c:pt>
                <c:pt idx="129">
                  <c:v>99.134770000000003</c:v>
                </c:pt>
                <c:pt idx="130">
                  <c:v>99.496830000000003</c:v>
                </c:pt>
                <c:pt idx="131">
                  <c:v>99.796040000000005</c:v>
                </c:pt>
                <c:pt idx="132">
                  <c:v>100.0352</c:v>
                </c:pt>
                <c:pt idx="133">
                  <c:v>100.2148</c:v>
                </c:pt>
                <c:pt idx="134">
                  <c:v>100.3434</c:v>
                </c:pt>
                <c:pt idx="135">
                  <c:v>100.4171</c:v>
                </c:pt>
                <c:pt idx="136">
                  <c:v>100.4408</c:v>
                </c:pt>
                <c:pt idx="137">
                  <c:v>100.4396</c:v>
                </c:pt>
                <c:pt idx="138">
                  <c:v>100.4439</c:v>
                </c:pt>
                <c:pt idx="139">
                  <c:v>100.4761</c:v>
                </c:pt>
                <c:pt idx="140">
                  <c:v>100.5381</c:v>
                </c:pt>
                <c:pt idx="141">
                  <c:v>100.62050000000001</c:v>
                </c:pt>
                <c:pt idx="142">
                  <c:v>100.7135</c:v>
                </c:pt>
                <c:pt idx="143">
                  <c:v>100.797</c:v>
                </c:pt>
                <c:pt idx="144">
                  <c:v>100.8498</c:v>
                </c:pt>
                <c:pt idx="145">
                  <c:v>100.84650000000001</c:v>
                </c:pt>
                <c:pt idx="146">
                  <c:v>100.7765</c:v>
                </c:pt>
                <c:pt idx="147">
                  <c:v>100.6439</c:v>
                </c:pt>
                <c:pt idx="148">
                  <c:v>100.45820000000001</c:v>
                </c:pt>
                <c:pt idx="149">
                  <c:v>100.2396</c:v>
                </c:pt>
                <c:pt idx="150">
                  <c:v>100.0121</c:v>
                </c:pt>
                <c:pt idx="151">
                  <c:v>99.802679999999995</c:v>
                </c:pt>
                <c:pt idx="152">
                  <c:v>99.648619999999994</c:v>
                </c:pt>
                <c:pt idx="153">
                  <c:v>99.572940000000003</c:v>
                </c:pt>
                <c:pt idx="154">
                  <c:v>99.569730000000007</c:v>
                </c:pt>
                <c:pt idx="155">
                  <c:v>99.613950000000003</c:v>
                </c:pt>
                <c:pt idx="156">
                  <c:v>99.671589999999995</c:v>
                </c:pt>
                <c:pt idx="157">
                  <c:v>99.708929999999995</c:v>
                </c:pt>
                <c:pt idx="158">
                  <c:v>99.706469999999996</c:v>
                </c:pt>
                <c:pt idx="159">
                  <c:v>99.660769999999999</c:v>
                </c:pt>
                <c:pt idx="160">
                  <c:v>99.581909999999993</c:v>
                </c:pt>
                <c:pt idx="161">
                  <c:v>99.486099999999993</c:v>
                </c:pt>
                <c:pt idx="162">
                  <c:v>99.395259999999993</c:v>
                </c:pt>
                <c:pt idx="163">
                  <c:v>99.328639999999993</c:v>
                </c:pt>
                <c:pt idx="164">
                  <c:v>99.298680000000004</c:v>
                </c:pt>
                <c:pt idx="165">
                  <c:v>99.306259999999995</c:v>
                </c:pt>
                <c:pt idx="166">
                  <c:v>99.351979999999998</c:v>
                </c:pt>
                <c:pt idx="167">
                  <c:v>99.429469999999995</c:v>
                </c:pt>
                <c:pt idx="168">
                  <c:v>99.526359999999997</c:v>
                </c:pt>
                <c:pt idx="169">
                  <c:v>99.632450000000006</c:v>
                </c:pt>
                <c:pt idx="170">
                  <c:v>99.733279999999993</c:v>
                </c:pt>
                <c:pt idx="171">
                  <c:v>99.823570000000004</c:v>
                </c:pt>
                <c:pt idx="172">
                  <c:v>99.9148</c:v>
                </c:pt>
                <c:pt idx="173">
                  <c:v>100.0056</c:v>
                </c:pt>
                <c:pt idx="174">
                  <c:v>100.0926</c:v>
                </c:pt>
                <c:pt idx="175">
                  <c:v>100.1755</c:v>
                </c:pt>
                <c:pt idx="176">
                  <c:v>100.249</c:v>
                </c:pt>
                <c:pt idx="177">
                  <c:v>100.31</c:v>
                </c:pt>
                <c:pt idx="178">
                  <c:v>100.3558</c:v>
                </c:pt>
                <c:pt idx="179">
                  <c:v>100.38200000000001</c:v>
                </c:pt>
                <c:pt idx="180">
                  <c:v>100.3931</c:v>
                </c:pt>
                <c:pt idx="181">
                  <c:v>100.402</c:v>
                </c:pt>
                <c:pt idx="182">
                  <c:v>100.4111</c:v>
                </c:pt>
                <c:pt idx="183">
                  <c:v>100.41030000000001</c:v>
                </c:pt>
                <c:pt idx="184">
                  <c:v>100.4003</c:v>
                </c:pt>
                <c:pt idx="185">
                  <c:v>100.3886</c:v>
                </c:pt>
                <c:pt idx="186">
                  <c:v>100.37949999999999</c:v>
                </c:pt>
                <c:pt idx="187">
                  <c:v>100.37390000000001</c:v>
                </c:pt>
                <c:pt idx="188">
                  <c:v>100.3781</c:v>
                </c:pt>
                <c:pt idx="189">
                  <c:v>100.3852</c:v>
                </c:pt>
                <c:pt idx="190">
                  <c:v>100.3899</c:v>
                </c:pt>
                <c:pt idx="191">
                  <c:v>100.39279999999999</c:v>
                </c:pt>
                <c:pt idx="192">
                  <c:v>100.3934</c:v>
                </c:pt>
                <c:pt idx="193">
                  <c:v>100.38290000000001</c:v>
                </c:pt>
                <c:pt idx="194">
                  <c:v>100.3591</c:v>
                </c:pt>
                <c:pt idx="195">
                  <c:v>100.3212</c:v>
                </c:pt>
                <c:pt idx="196">
                  <c:v>100.2666</c:v>
                </c:pt>
                <c:pt idx="197">
                  <c:v>100.20140000000001</c:v>
                </c:pt>
                <c:pt idx="198">
                  <c:v>100.1234</c:v>
                </c:pt>
                <c:pt idx="199">
                  <c:v>100.0406</c:v>
                </c:pt>
                <c:pt idx="200">
                  <c:v>99.967089999999999</c:v>
                </c:pt>
                <c:pt idx="201">
                  <c:v>99.904750000000007</c:v>
                </c:pt>
                <c:pt idx="202">
                  <c:v>99.843260000000001</c:v>
                </c:pt>
                <c:pt idx="203">
                  <c:v>99.780460000000005</c:v>
                </c:pt>
                <c:pt idx="204">
                  <c:v>99.720039999999997</c:v>
                </c:pt>
                <c:pt idx="205">
                  <c:v>99.667599999999993</c:v>
                </c:pt>
                <c:pt idx="206">
                  <c:v>99.638549999999995</c:v>
                </c:pt>
                <c:pt idx="207">
                  <c:v>99.634119999999996</c:v>
                </c:pt>
                <c:pt idx="208">
                  <c:v>99.648160000000004</c:v>
                </c:pt>
                <c:pt idx="209">
                  <c:v>99.678210000000007</c:v>
                </c:pt>
                <c:pt idx="210">
                  <c:v>99.720140000000001</c:v>
                </c:pt>
                <c:pt idx="211">
                  <c:v>99.774760000000001</c:v>
                </c:pt>
                <c:pt idx="212">
                  <c:v>99.847160000000002</c:v>
                </c:pt>
                <c:pt idx="213">
                  <c:v>99.931920000000005</c:v>
                </c:pt>
                <c:pt idx="214">
                  <c:v>100.0235</c:v>
                </c:pt>
                <c:pt idx="215">
                  <c:v>100.1105</c:v>
                </c:pt>
                <c:pt idx="216">
                  <c:v>100.1836</c:v>
                </c:pt>
                <c:pt idx="217">
                  <c:v>100.24509999999999</c:v>
                </c:pt>
                <c:pt idx="218">
                  <c:v>100.2998</c:v>
                </c:pt>
                <c:pt idx="219">
                  <c:v>100.354</c:v>
                </c:pt>
                <c:pt idx="220">
                  <c:v>100.4141</c:v>
                </c:pt>
                <c:pt idx="221">
                  <c:v>100.4808</c:v>
                </c:pt>
                <c:pt idx="222">
                  <c:v>100.5501</c:v>
                </c:pt>
                <c:pt idx="223">
                  <c:v>100.62139999999999</c:v>
                </c:pt>
                <c:pt idx="224">
                  <c:v>100.68429999999999</c:v>
                </c:pt>
                <c:pt idx="225">
                  <c:v>100.73390000000001</c:v>
                </c:pt>
                <c:pt idx="226">
                  <c:v>100.76479999999999</c:v>
                </c:pt>
                <c:pt idx="227">
                  <c:v>100.7754</c:v>
                </c:pt>
                <c:pt idx="228">
                  <c:v>100.76860000000001</c:v>
                </c:pt>
                <c:pt idx="229">
                  <c:v>100.744</c:v>
                </c:pt>
                <c:pt idx="230">
                  <c:v>100.69199999999999</c:v>
                </c:pt>
                <c:pt idx="231">
                  <c:v>100.61539999999999</c:v>
                </c:pt>
                <c:pt idx="232">
                  <c:v>100.52889999999999</c:v>
                </c:pt>
                <c:pt idx="233">
                  <c:v>100.4348</c:v>
                </c:pt>
                <c:pt idx="234">
                  <c:v>100.3302</c:v>
                </c:pt>
                <c:pt idx="235">
                  <c:v>100.2107</c:v>
                </c:pt>
                <c:pt idx="236">
                  <c:v>100.0753</c:v>
                </c:pt>
                <c:pt idx="237">
                  <c:v>99.931820000000002</c:v>
                </c:pt>
                <c:pt idx="238">
                  <c:v>99.792209999999997</c:v>
                </c:pt>
                <c:pt idx="239">
                  <c:v>99.660809999999998</c:v>
                </c:pt>
                <c:pt idx="240">
                  <c:v>99.546970000000002</c:v>
                </c:pt>
                <c:pt idx="241">
                  <c:v>99.454589999999996</c:v>
                </c:pt>
                <c:pt idx="242">
                  <c:v>99.383960000000002</c:v>
                </c:pt>
                <c:pt idx="243">
                  <c:v>99.325580000000002</c:v>
                </c:pt>
                <c:pt idx="244">
                  <c:v>99.269570000000002</c:v>
                </c:pt>
                <c:pt idx="245">
                  <c:v>99.219470000000001</c:v>
                </c:pt>
                <c:pt idx="246">
                  <c:v>99.182829999999996</c:v>
                </c:pt>
                <c:pt idx="247">
                  <c:v>99.16628</c:v>
                </c:pt>
                <c:pt idx="248">
                  <c:v>99.179040000000001</c:v>
                </c:pt>
                <c:pt idx="249">
                  <c:v>99.230289999999997</c:v>
                </c:pt>
                <c:pt idx="250">
                  <c:v>99.316360000000003</c:v>
                </c:pt>
                <c:pt idx="251" formatCode="0.00">
                  <c:v>99.432379999999995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E-4C28-A7B4-8ED1D5B0828C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OECD!$D$2:$D$251</c:f>
              <c:numCache>
                <c:formatCode>General</c:formatCode>
                <c:ptCount val="2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E-4C28-A7B4-8ED1D5B0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789967"/>
        <c:axId val="390815135"/>
      </c:lineChart>
      <c:catAx>
        <c:axId val="565789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5135"/>
        <c:crosses val="autoZero"/>
        <c:auto val="1"/>
        <c:lblAlgn val="ctr"/>
        <c:lblOffset val="100"/>
        <c:noMultiLvlLbl val="0"/>
      </c:catAx>
      <c:valAx>
        <c:axId val="39081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232</xdr:row>
      <xdr:rowOff>180981</xdr:rowOff>
    </xdr:from>
    <xdr:to>
      <xdr:col>16</xdr:col>
      <xdr:colOff>533400</xdr:colOff>
      <xdr:row>247</xdr:row>
      <xdr:rowOff>66681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BB5531-6AB4-4963-8849-49A3F44F9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mericanchemistry.com/CAB-vs-Industrial-Productio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BDIM@BALTI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001XDIR@G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FB1-7709-4FBA-BDD5-2C8D1306BD41}">
  <dimension ref="A1:AI384"/>
  <sheetViews>
    <sheetView zoomScale="54" zoomScaleNormal="250" workbookViewId="0">
      <pane xSplit="1" ySplit="10" topLeftCell="D341" activePane="bottomRight" state="frozen"/>
      <selection pane="topRight" activeCell="B1" sqref="B1"/>
      <selection pane="bottomLeft" activeCell="A11" sqref="A11"/>
      <selection pane="bottomRight" activeCell="D371" sqref="D371"/>
    </sheetView>
  </sheetViews>
  <sheetFormatPr defaultRowHeight="15"/>
  <cols>
    <col min="2" max="35" width="11.5703125" customWidth="1"/>
  </cols>
  <sheetData>
    <row r="1" spans="1: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</row>
    <row r="2" spans="1: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</row>
    <row r="3" spans="1:35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</row>
    <row r="4" spans="1:35">
      <c r="A4" t="s">
        <v>39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</row>
    <row r="5" spans="1: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 t="s">
        <v>64</v>
      </c>
      <c r="Z5" t="s">
        <v>65</v>
      </c>
      <c r="AA5" t="s">
        <v>66</v>
      </c>
      <c r="AB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</row>
    <row r="6" spans="1:35">
      <c r="A6" t="s">
        <v>75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  <c r="Y6" t="s">
        <v>64</v>
      </c>
      <c r="Z6" t="s">
        <v>65</v>
      </c>
      <c r="AA6" t="s">
        <v>66</v>
      </c>
      <c r="AB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</row>
    <row r="7" spans="1:35" s="1" customFormat="1" ht="68.25" customHeight="1">
      <c r="A7" s="1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88</v>
      </c>
      <c r="N7" s="1" t="s">
        <v>89</v>
      </c>
      <c r="O7" s="1" t="s">
        <v>90</v>
      </c>
      <c r="P7" s="1" t="s">
        <v>91</v>
      </c>
      <c r="Q7" s="1" t="s">
        <v>92</v>
      </c>
      <c r="R7" s="1" t="s">
        <v>93</v>
      </c>
      <c r="S7" s="1" t="s">
        <v>94</v>
      </c>
      <c r="T7" s="1" t="s">
        <v>95</v>
      </c>
      <c r="U7" s="1" t="s">
        <v>96</v>
      </c>
      <c r="V7" s="1" t="s">
        <v>97</v>
      </c>
      <c r="W7" s="1" t="s">
        <v>98</v>
      </c>
      <c r="X7" s="1" t="s">
        <v>99</v>
      </c>
      <c r="Y7" s="1" t="s">
        <v>100</v>
      </c>
      <c r="Z7" s="1" t="s">
        <v>101</v>
      </c>
      <c r="AA7" s="1" t="s">
        <v>102</v>
      </c>
      <c r="AB7" s="1" t="s">
        <v>103</v>
      </c>
      <c r="AC7" s="1" t="s">
        <v>104</v>
      </c>
      <c r="AD7" s="1" t="s">
        <v>105</v>
      </c>
      <c r="AE7" s="1" t="s">
        <v>106</v>
      </c>
      <c r="AF7" s="1" t="s">
        <v>107</v>
      </c>
      <c r="AG7" s="1" t="s">
        <v>108</v>
      </c>
      <c r="AH7" s="1" t="s">
        <v>109</v>
      </c>
      <c r="AI7" s="1" t="s">
        <v>110</v>
      </c>
    </row>
    <row r="8" spans="1:35">
      <c r="A8" t="s">
        <v>111</v>
      </c>
      <c r="B8" t="s">
        <v>112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</row>
    <row r="9" spans="1:35">
      <c r="A9" t="s">
        <v>113</v>
      </c>
      <c r="B9" t="s">
        <v>114</v>
      </c>
      <c r="C9" t="s">
        <v>114</v>
      </c>
      <c r="D9" t="s">
        <v>114</v>
      </c>
      <c r="E9" t="s">
        <v>114</v>
      </c>
      <c r="F9" t="s">
        <v>114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115</v>
      </c>
      <c r="AH9" t="s">
        <v>115</v>
      </c>
      <c r="AI9" t="s">
        <v>115</v>
      </c>
    </row>
    <row r="10" spans="1:35">
      <c r="A10" t="s">
        <v>116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115</v>
      </c>
      <c r="AH10" t="s">
        <v>115</v>
      </c>
      <c r="AI10" t="s">
        <v>115</v>
      </c>
    </row>
    <row r="11" spans="1:35">
      <c r="A11" t="s">
        <v>117</v>
      </c>
      <c r="B11">
        <v>114.2646308127968</v>
      </c>
      <c r="C11">
        <v>123.4302218060661</v>
      </c>
      <c r="D11">
        <v>49.373068029237047</v>
      </c>
      <c r="E11">
        <v>63.263084340961626</v>
      </c>
      <c r="F11">
        <v>8.3236639991419974</v>
      </c>
      <c r="G11">
        <v>12.046458155365537</v>
      </c>
      <c r="H11">
        <v>23.792102737014954</v>
      </c>
      <c r="I11">
        <v>9.7663488240487766</v>
      </c>
      <c r="J11">
        <v>10.911992460602931</v>
      </c>
      <c r="K11">
        <v>27.28236881229898</v>
      </c>
      <c r="L11">
        <v>17.279113160935243</v>
      </c>
      <c r="M11">
        <v>81.080055789966991</v>
      </c>
      <c r="N11">
        <v>3.3688555717790321</v>
      </c>
      <c r="Q11">
        <v>49.203879995217648</v>
      </c>
      <c r="R11">
        <v>51.172528469484845</v>
      </c>
      <c r="S11">
        <v>11.636355534594307</v>
      </c>
      <c r="T11">
        <v>30.225857747109352</v>
      </c>
      <c r="U11">
        <v>47.247042459854697</v>
      </c>
      <c r="V11">
        <v>57.862272059751675</v>
      </c>
      <c r="AD11">
        <v>20.59</v>
      </c>
      <c r="AF11">
        <v>72.855084613206046</v>
      </c>
      <c r="AG11">
        <v>-5.0335786664210191</v>
      </c>
      <c r="AH11">
        <v>196.3848055043801</v>
      </c>
      <c r="AI11">
        <v>191.35122683795905</v>
      </c>
    </row>
    <row r="12" spans="1:35">
      <c r="A12" t="s">
        <v>118</v>
      </c>
      <c r="B12">
        <v>114.3373390749837</v>
      </c>
      <c r="C12">
        <v>123.48367034861158</v>
      </c>
      <c r="D12">
        <v>49.582407865509715</v>
      </c>
      <c r="E12">
        <v>63.587980766475972</v>
      </c>
      <c r="F12">
        <v>8.5701345367511692</v>
      </c>
      <c r="G12">
        <v>12.811761162951607</v>
      </c>
      <c r="H12">
        <v>23.474586189398579</v>
      </c>
      <c r="I12">
        <v>9.913587944072324</v>
      </c>
      <c r="J12">
        <v>10.992792907957414</v>
      </c>
      <c r="K12">
        <v>26.76404090335776</v>
      </c>
      <c r="L12">
        <v>17.859719428717121</v>
      </c>
      <c r="M12">
        <v>81.703794044701084</v>
      </c>
      <c r="N12">
        <v>3.3654726461055571</v>
      </c>
      <c r="Q12">
        <v>49.947777336116481</v>
      </c>
      <c r="R12">
        <v>51.172528469484845</v>
      </c>
      <c r="S12">
        <v>11.771227495275559</v>
      </c>
      <c r="T12">
        <v>30.521308237677651</v>
      </c>
      <c r="U12">
        <v>47.441221942746274</v>
      </c>
      <c r="V12">
        <v>58.101555904806766</v>
      </c>
      <c r="AD12">
        <v>19.68</v>
      </c>
      <c r="AF12">
        <v>73.449657945402521</v>
      </c>
      <c r="AG12">
        <v>-2.9189286577381002</v>
      </c>
      <c r="AH12">
        <v>193.68674003852712</v>
      </c>
      <c r="AI12">
        <v>190.767811380789</v>
      </c>
    </row>
    <row r="13" spans="1:35">
      <c r="A13" t="s">
        <v>119</v>
      </c>
      <c r="B13">
        <v>115.1295185601778</v>
      </c>
      <c r="C13">
        <v>124.95585917894041</v>
      </c>
      <c r="D13">
        <v>49.877269503134912</v>
      </c>
      <c r="E13">
        <v>64.179295990466343</v>
      </c>
      <c r="F13">
        <v>8.8640728964403976</v>
      </c>
      <c r="G13">
        <v>13.737381811259677</v>
      </c>
      <c r="H13">
        <v>23.048824792540973</v>
      </c>
      <c r="I13">
        <v>10.002342771560322</v>
      </c>
      <c r="J13">
        <v>11.147584881324857</v>
      </c>
      <c r="K13">
        <v>25.138838898690029</v>
      </c>
      <c r="L13">
        <v>17.108852485862524</v>
      </c>
      <c r="M13">
        <v>81.957139857316207</v>
      </c>
      <c r="N13">
        <v>3.3468002311299792</v>
      </c>
      <c r="Q13">
        <v>54.43471191955463</v>
      </c>
      <c r="R13">
        <v>51.172528469484845</v>
      </c>
      <c r="S13">
        <v>12.444696046387707</v>
      </c>
      <c r="T13">
        <v>31.733288316162778</v>
      </c>
      <c r="U13">
        <v>47.662526182236888</v>
      </c>
      <c r="V13">
        <v>58.377687028573725</v>
      </c>
      <c r="AD13">
        <v>18.12</v>
      </c>
      <c r="AF13">
        <v>74.172076764935127</v>
      </c>
      <c r="AG13">
        <v>-4.3576503760438703</v>
      </c>
      <c r="AH13">
        <v>195.41389068987013</v>
      </c>
      <c r="AI13">
        <v>191.05624031382624</v>
      </c>
    </row>
    <row r="14" spans="1:35">
      <c r="A14" t="s">
        <v>120</v>
      </c>
      <c r="B14">
        <v>114.2214798131123</v>
      </c>
      <c r="C14">
        <v>123.21768439332413</v>
      </c>
      <c r="D14">
        <v>49.26278335919087</v>
      </c>
      <c r="E14">
        <v>63.606555441193869</v>
      </c>
      <c r="F14">
        <v>9.0542255299932748</v>
      </c>
      <c r="G14">
        <v>10.216767792377913</v>
      </c>
      <c r="H14">
        <v>22.49832857309579</v>
      </c>
      <c r="I14">
        <v>10.139628425652148</v>
      </c>
      <c r="J14">
        <v>11.298592519161462</v>
      </c>
      <c r="K14">
        <v>25.177874776124291</v>
      </c>
      <c r="L14">
        <v>17.192592753123957</v>
      </c>
      <c r="M14">
        <v>82.357684693335813</v>
      </c>
      <c r="N14">
        <v>3.3997466174331659</v>
      </c>
      <c r="Q14">
        <v>56.292064145414052</v>
      </c>
      <c r="R14">
        <v>51.172528469484845</v>
      </c>
      <c r="S14">
        <v>12.545076329374929</v>
      </c>
      <c r="T14">
        <v>31.929521097009889</v>
      </c>
      <c r="U14">
        <v>47.867419580258776</v>
      </c>
      <c r="V14">
        <v>58.603465891457333</v>
      </c>
      <c r="AD14">
        <v>16.32</v>
      </c>
      <c r="AF14">
        <v>76.022077256153878</v>
      </c>
      <c r="AG14">
        <v>-4.8716051722868503</v>
      </c>
      <c r="AH14">
        <v>192.97469527609817</v>
      </c>
      <c r="AI14">
        <v>188.1030901038113</v>
      </c>
    </row>
    <row r="15" spans="1:35">
      <c r="A15" t="s">
        <v>121</v>
      </c>
      <c r="B15">
        <v>114.08955818616134</v>
      </c>
      <c r="C15">
        <v>123.03384804634463</v>
      </c>
      <c r="D15">
        <v>49.879239098365318</v>
      </c>
      <c r="E15">
        <v>64.189095620238518</v>
      </c>
      <c r="F15">
        <v>8.886122063987802</v>
      </c>
      <c r="G15">
        <v>9.8641318810386398</v>
      </c>
      <c r="H15">
        <v>24.678424570037166</v>
      </c>
      <c r="I15">
        <v>10.198687135627152</v>
      </c>
      <c r="J15">
        <v>11.362862964822352</v>
      </c>
      <c r="K15">
        <v>27.69118964971878</v>
      </c>
      <c r="L15">
        <v>18.723617309359479</v>
      </c>
      <c r="M15">
        <v>82.47708242150847</v>
      </c>
      <c r="N15">
        <v>3.4192907557550587</v>
      </c>
      <c r="Q15">
        <v>55.920823440929986</v>
      </c>
      <c r="R15">
        <v>54.120417413380018</v>
      </c>
      <c r="S15">
        <v>12.657055940082703</v>
      </c>
      <c r="T15">
        <v>32.167760882030436</v>
      </c>
      <c r="U15">
        <v>48.054379427739612</v>
      </c>
      <c r="V15">
        <v>58.801064549872862</v>
      </c>
      <c r="AD15">
        <v>16.21</v>
      </c>
      <c r="AF15">
        <v>75.418959273738764</v>
      </c>
      <c r="AG15">
        <v>-5.4577122791917505</v>
      </c>
      <c r="AH15">
        <v>200.14548015143052</v>
      </c>
      <c r="AI15">
        <v>194.68776787223877</v>
      </c>
    </row>
    <row r="16" spans="1:35">
      <c r="A16" t="s">
        <v>122</v>
      </c>
      <c r="B16">
        <v>112.86520938264078</v>
      </c>
      <c r="C16">
        <v>120.87103111699172</v>
      </c>
      <c r="D16">
        <v>49.936949890976933</v>
      </c>
      <c r="E16">
        <v>64.411191335558499</v>
      </c>
      <c r="F16">
        <v>8.6788407201757352</v>
      </c>
      <c r="G16">
        <v>10.142622091596301</v>
      </c>
      <c r="H16">
        <v>24.468706625370036</v>
      </c>
      <c r="I16">
        <v>10.290694311662453</v>
      </c>
      <c r="J16">
        <v>11.46350240444767</v>
      </c>
      <c r="K16">
        <v>27.335213173464911</v>
      </c>
      <c r="L16">
        <v>18.434518522538877</v>
      </c>
      <c r="M16">
        <v>82.556306145325436</v>
      </c>
      <c r="N16">
        <v>3.4074475172548495</v>
      </c>
      <c r="Q16">
        <v>53.06101522819376</v>
      </c>
      <c r="R16">
        <v>55.284676533308982</v>
      </c>
      <c r="S16">
        <v>12.772720721234766</v>
      </c>
      <c r="T16">
        <v>32.423466803852044</v>
      </c>
      <c r="U16">
        <v>48.291540664538026</v>
      </c>
      <c r="V16">
        <v>59.067568415912554</v>
      </c>
      <c r="AD16">
        <v>14.93</v>
      </c>
      <c r="AF16">
        <v>75.563455101075959</v>
      </c>
      <c r="AG16">
        <v>-1.0163898831612299</v>
      </c>
      <c r="AH16">
        <v>193.96257915947967</v>
      </c>
      <c r="AI16">
        <v>192.94618927631845</v>
      </c>
    </row>
    <row r="17" spans="1:35">
      <c r="A17" t="s">
        <v>123</v>
      </c>
      <c r="B17">
        <v>112.78358033298338</v>
      </c>
      <c r="C17">
        <v>120.7438402997812</v>
      </c>
      <c r="D17">
        <v>50.030673645626756</v>
      </c>
      <c r="E17">
        <v>64.415655745457428</v>
      </c>
      <c r="F17">
        <v>8.7403435689164546</v>
      </c>
      <c r="G17">
        <v>9.9579221984805635</v>
      </c>
      <c r="H17">
        <v>24.696283439843029</v>
      </c>
      <c r="I17">
        <v>10.373356724589819</v>
      </c>
      <c r="J17">
        <v>11.502069124697076</v>
      </c>
      <c r="K17">
        <v>27.746394465176156</v>
      </c>
      <c r="L17">
        <v>18.523373779665807</v>
      </c>
      <c r="M17">
        <v>82.713742830604474</v>
      </c>
      <c r="N17">
        <v>3.4275144812127802</v>
      </c>
      <c r="Q17">
        <v>52.830833815141155</v>
      </c>
      <c r="R17">
        <v>55.284676533308982</v>
      </c>
      <c r="S17">
        <v>13.15599381727856</v>
      </c>
      <c r="T17">
        <v>33.119465864297858</v>
      </c>
      <c r="U17">
        <v>48.503310920102841</v>
      </c>
      <c r="V17">
        <v>59.337705789892681</v>
      </c>
      <c r="AD17">
        <v>16.809999999999999</v>
      </c>
      <c r="AF17">
        <v>76.236284100605957</v>
      </c>
      <c r="AG17">
        <v>-4.5683079754489899</v>
      </c>
      <c r="AH17">
        <v>199.85917559184352</v>
      </c>
      <c r="AI17">
        <v>195.29086761639454</v>
      </c>
    </row>
    <row r="18" spans="1:35">
      <c r="A18" t="s">
        <v>124</v>
      </c>
      <c r="B18">
        <v>108.17003646229927</v>
      </c>
      <c r="C18">
        <v>112.68192368528497</v>
      </c>
      <c r="D18">
        <v>50.26950704315135</v>
      </c>
      <c r="E18">
        <v>64.700888960565919</v>
      </c>
      <c r="F18">
        <v>9.1118152841687934</v>
      </c>
      <c r="G18">
        <v>9.7714184120726131</v>
      </c>
      <c r="H18">
        <v>22.176610648734719</v>
      </c>
      <c r="I18">
        <v>10.468343393244723</v>
      </c>
      <c r="J18">
        <v>11.603811457167948</v>
      </c>
      <c r="K18">
        <v>25.110872618283459</v>
      </c>
      <c r="L18">
        <v>16.692974938897191</v>
      </c>
      <c r="M18">
        <v>82.693622559791962</v>
      </c>
      <c r="N18">
        <v>3.4594441187328351</v>
      </c>
      <c r="Q18">
        <v>54.507742378188667</v>
      </c>
      <c r="R18">
        <v>55.284676533308982</v>
      </c>
      <c r="S18">
        <v>13.446916236320883</v>
      </c>
      <c r="T18">
        <v>33.797204705537766</v>
      </c>
      <c r="U18">
        <v>48.757985058466154</v>
      </c>
      <c r="V18">
        <v>59.65224315769251</v>
      </c>
      <c r="AD18">
        <v>26.54</v>
      </c>
      <c r="AF18">
        <v>73.868208574275187</v>
      </c>
      <c r="AG18">
        <v>-7.5483589686905308</v>
      </c>
      <c r="AH18">
        <v>209.4924712518783</v>
      </c>
      <c r="AI18">
        <v>202.42481228318775</v>
      </c>
    </row>
    <row r="19" spans="1:35">
      <c r="A19" t="s">
        <v>125</v>
      </c>
      <c r="B19">
        <v>107.89812684899682</v>
      </c>
      <c r="C19">
        <v>113.02925566267221</v>
      </c>
      <c r="D19">
        <v>50.299600243679535</v>
      </c>
      <c r="E19">
        <v>64.567872391528908</v>
      </c>
      <c r="F19">
        <v>9.3303677844350812</v>
      </c>
      <c r="G19">
        <v>10.466012237316495</v>
      </c>
      <c r="H19">
        <v>20.26135893324312</v>
      </c>
      <c r="I19">
        <v>10.560171972938477</v>
      </c>
      <c r="J19">
        <v>11.670862270394778</v>
      </c>
      <c r="K19">
        <v>22.813999963013043</v>
      </c>
      <c r="L19">
        <v>15.094139485155194</v>
      </c>
      <c r="M19">
        <v>82.643044084542211</v>
      </c>
      <c r="N19">
        <v>3.5081314891116344</v>
      </c>
      <c r="Q19">
        <v>56.439605669493446</v>
      </c>
      <c r="R19">
        <v>55.284676533308982</v>
      </c>
      <c r="S19">
        <v>13.772518945299925</v>
      </c>
      <c r="T19">
        <v>34.39445809777947</v>
      </c>
      <c r="U19">
        <v>48.977705345629658</v>
      </c>
      <c r="V19">
        <v>59.874835242126736</v>
      </c>
      <c r="AD19">
        <v>33.619999999999997</v>
      </c>
      <c r="AF19">
        <v>73.204601069914645</v>
      </c>
      <c r="AG19">
        <v>-4.7183941420648301</v>
      </c>
      <c r="AH19">
        <v>208.2327060939694</v>
      </c>
      <c r="AI19">
        <v>203.97791195190453</v>
      </c>
    </row>
    <row r="20" spans="1:35">
      <c r="A20" t="s">
        <v>126</v>
      </c>
      <c r="B20">
        <v>101.69646791609577</v>
      </c>
      <c r="C20">
        <v>102.17397640068916</v>
      </c>
      <c r="D20">
        <v>50.399120076698168</v>
      </c>
      <c r="E20">
        <v>64.700690556157468</v>
      </c>
      <c r="F20">
        <v>9.1290740886361608</v>
      </c>
      <c r="G20">
        <v>9.9007028222103344</v>
      </c>
      <c r="H20">
        <v>21.317148088726849</v>
      </c>
      <c r="I20">
        <v>10.626389335810556</v>
      </c>
      <c r="J20">
        <v>11.728932650279376</v>
      </c>
      <c r="K20">
        <v>24.1225691744235</v>
      </c>
      <c r="L20">
        <v>15.740032019058702</v>
      </c>
      <c r="M20">
        <v>82.501738872605827</v>
      </c>
      <c r="N20">
        <v>3.5357895243776452</v>
      </c>
      <c r="Q20">
        <v>56.636489644855772</v>
      </c>
      <c r="R20">
        <v>55.284676533308982</v>
      </c>
      <c r="S20">
        <v>13.921279139305161</v>
      </c>
      <c r="T20">
        <v>34.729372703128341</v>
      </c>
      <c r="U20">
        <v>49.206028149009576</v>
      </c>
      <c r="V20">
        <v>60.09409937610608</v>
      </c>
      <c r="AD20">
        <v>34.85</v>
      </c>
      <c r="AF20">
        <v>73.15512744431183</v>
      </c>
      <c r="AG20">
        <v>-11.439028193268921</v>
      </c>
      <c r="AH20">
        <v>224.80415684787499</v>
      </c>
      <c r="AI20">
        <v>213.84452865460611</v>
      </c>
    </row>
    <row r="21" spans="1:35">
      <c r="A21" t="s">
        <v>127</v>
      </c>
      <c r="B21">
        <v>101.59471676625718</v>
      </c>
      <c r="C21">
        <v>101.7692747018959</v>
      </c>
      <c r="D21">
        <v>50.020813752279444</v>
      </c>
      <c r="E21">
        <v>64.264830345144773</v>
      </c>
      <c r="F21">
        <v>8.7580199791194548</v>
      </c>
      <c r="G21">
        <v>9.4112789540203856</v>
      </c>
      <c r="H21">
        <v>21.28744299940178</v>
      </c>
      <c r="I21">
        <v>10.674368384418328</v>
      </c>
      <c r="J21">
        <v>11.822889790177078</v>
      </c>
      <c r="K21">
        <v>24.143126377025467</v>
      </c>
      <c r="L21">
        <v>16.02261068977316</v>
      </c>
      <c r="M21">
        <v>82.591849244050266</v>
      </c>
      <c r="N21">
        <v>3.5757670413673224</v>
      </c>
      <c r="Q21">
        <v>55.621551170737142</v>
      </c>
      <c r="R21">
        <v>55.284676533308982</v>
      </c>
      <c r="S21">
        <v>14.182216659965663</v>
      </c>
      <c r="T21">
        <v>35.198281853670274</v>
      </c>
      <c r="U21">
        <v>49.409032887971456</v>
      </c>
      <c r="V21">
        <v>60.296318098382237</v>
      </c>
      <c r="AD21">
        <v>31.54</v>
      </c>
      <c r="AF21">
        <v>73.029421312752532</v>
      </c>
      <c r="AG21">
        <v>-12.740630686109199</v>
      </c>
      <c r="AH21">
        <v>226.21261905684364</v>
      </c>
      <c r="AI21">
        <v>213.90198837073444</v>
      </c>
    </row>
    <row r="22" spans="1:35">
      <c r="A22" t="s">
        <v>128</v>
      </c>
      <c r="B22">
        <v>101.75224203143304</v>
      </c>
      <c r="C22">
        <v>101.96740317458843</v>
      </c>
      <c r="D22">
        <v>49.892125574522588</v>
      </c>
      <c r="E22">
        <v>63.915306694413957</v>
      </c>
      <c r="F22">
        <v>8.3662984080486371</v>
      </c>
      <c r="G22">
        <v>9.1426827411326457</v>
      </c>
      <c r="H22">
        <v>21.933351048058348</v>
      </c>
      <c r="I22">
        <v>10.747178798198251</v>
      </c>
      <c r="J22">
        <v>11.945251128155748</v>
      </c>
      <c r="K22">
        <v>24.645852280949335</v>
      </c>
      <c r="L22">
        <v>16.536369975718362</v>
      </c>
      <c r="M22">
        <v>82.673156324531433</v>
      </c>
      <c r="N22">
        <v>3.5904696533692575</v>
      </c>
      <c r="Q22">
        <v>55.88215578441816</v>
      </c>
      <c r="R22">
        <v>55.284676533308982</v>
      </c>
      <c r="S22">
        <v>14.403887811974947</v>
      </c>
      <c r="T22">
        <v>35.593541381898149</v>
      </c>
      <c r="U22">
        <v>49.636154783710978</v>
      </c>
      <c r="V22">
        <v>60.548269033148152</v>
      </c>
      <c r="AD22">
        <v>26.61</v>
      </c>
      <c r="AF22">
        <v>72.658164579412642</v>
      </c>
      <c r="AG22">
        <v>-6.705503994548117</v>
      </c>
      <c r="AH22">
        <v>214.48589178162331</v>
      </c>
      <c r="AI22">
        <v>208.21438778707522</v>
      </c>
    </row>
    <row r="23" spans="1:35">
      <c r="A23" t="s">
        <v>129</v>
      </c>
      <c r="B23">
        <v>99.90430215895131</v>
      </c>
      <c r="C23">
        <v>98.963856921344842</v>
      </c>
      <c r="D23">
        <v>50.74719337212791</v>
      </c>
      <c r="E23">
        <v>63.83528433279043</v>
      </c>
      <c r="F23">
        <v>8.3136685823982184</v>
      </c>
      <c r="G23">
        <v>9.4121470192903409</v>
      </c>
      <c r="H23">
        <v>22.191026191191007</v>
      </c>
      <c r="I23">
        <v>10.821022781395156</v>
      </c>
      <c r="J23">
        <v>12.032753972369644</v>
      </c>
      <c r="K23">
        <v>25.858523641552623</v>
      </c>
      <c r="L23">
        <v>17.532665886760434</v>
      </c>
      <c r="M23">
        <v>82.844273929311058</v>
      </c>
      <c r="N23">
        <v>3.867304649028644</v>
      </c>
      <c r="Q23">
        <v>54.152241133874242</v>
      </c>
      <c r="R23">
        <v>55.284676533308982</v>
      </c>
      <c r="S23">
        <v>14.621475126347839</v>
      </c>
      <c r="T23">
        <v>36.05095247478819</v>
      </c>
      <c r="U23">
        <v>49.960966831363969</v>
      </c>
      <c r="V23">
        <v>60.957014751633452</v>
      </c>
      <c r="AD23">
        <v>22.81</v>
      </c>
      <c r="AE23">
        <v>51.895164472583623</v>
      </c>
      <c r="AF23">
        <v>71.245906121042239</v>
      </c>
      <c r="AG23">
        <v>-10.246718472033164</v>
      </c>
      <c r="AH23">
        <v>225.44573219255673</v>
      </c>
      <c r="AI23">
        <v>215.60341372052355</v>
      </c>
    </row>
    <row r="24" spans="1:35">
      <c r="A24" t="s">
        <v>130</v>
      </c>
      <c r="B24">
        <v>100.96674460681045</v>
      </c>
      <c r="C24">
        <v>100.87018049030158</v>
      </c>
      <c r="D24">
        <v>50.523479791313477</v>
      </c>
      <c r="E24">
        <v>63.687670210072866</v>
      </c>
      <c r="F24">
        <v>8.0397546054058893</v>
      </c>
      <c r="G24">
        <v>9.6127573287278576</v>
      </c>
      <c r="H24">
        <v>24.14684404188559</v>
      </c>
      <c r="I24">
        <v>10.891970119703128</v>
      </c>
      <c r="J24">
        <v>12.184810527961693</v>
      </c>
      <c r="K24">
        <v>28.234565125872912</v>
      </c>
      <c r="L24">
        <v>19.275695239049202</v>
      </c>
      <c r="M24">
        <v>82.844330790886389</v>
      </c>
      <c r="N24">
        <v>3.9295921437825654</v>
      </c>
      <c r="Q24">
        <v>52.871023735223865</v>
      </c>
      <c r="R24">
        <v>55.284676533308982</v>
      </c>
      <c r="S24">
        <v>14.869108034844055</v>
      </c>
      <c r="T24">
        <v>36.516064213290598</v>
      </c>
      <c r="U24">
        <v>50.21428314419267</v>
      </c>
      <c r="V24">
        <v>61.24350702329707</v>
      </c>
      <c r="AD24">
        <v>18.53</v>
      </c>
      <c r="AE24">
        <v>41.623317252890551</v>
      </c>
      <c r="AF24">
        <v>72.488906996342948</v>
      </c>
      <c r="AG24">
        <v>-8.3386205819116537</v>
      </c>
      <c r="AH24">
        <v>218.87018980050451</v>
      </c>
      <c r="AI24">
        <v>210.87936921859287</v>
      </c>
    </row>
    <row r="25" spans="1:35">
      <c r="A25" t="s">
        <v>131</v>
      </c>
      <c r="B25">
        <v>107.05536557163251</v>
      </c>
      <c r="C25">
        <v>111.27839096024036</v>
      </c>
      <c r="D25">
        <v>50.333723118350626</v>
      </c>
      <c r="E25">
        <v>63.383654747704298</v>
      </c>
      <c r="F25">
        <v>8.2390659558625448</v>
      </c>
      <c r="G25">
        <v>9.212523410279573</v>
      </c>
      <c r="H25">
        <v>24.413400163660089</v>
      </c>
      <c r="I25">
        <v>10.957661516030813</v>
      </c>
      <c r="J25">
        <v>12.26542687146309</v>
      </c>
      <c r="K25">
        <v>28.011021597891748</v>
      </c>
      <c r="L25">
        <v>19.683323255093573</v>
      </c>
      <c r="M25">
        <v>82.828955454077715</v>
      </c>
      <c r="N25">
        <v>4.0170686766237855</v>
      </c>
      <c r="Q25">
        <v>53.016480636173426</v>
      </c>
      <c r="R25">
        <v>52.242706363864571</v>
      </c>
      <c r="S25">
        <v>15.044756455878685</v>
      </c>
      <c r="T25">
        <v>36.828992633487559</v>
      </c>
      <c r="U25">
        <v>50.390576173754184</v>
      </c>
      <c r="V25">
        <v>61.430117193674761</v>
      </c>
      <c r="AD25">
        <v>18.21</v>
      </c>
      <c r="AE25">
        <v>42.713082430894048</v>
      </c>
      <c r="AF25">
        <v>71.063990682918728</v>
      </c>
      <c r="AG25">
        <v>-4.6778698277174753</v>
      </c>
      <c r="AH25">
        <v>209.88528588645619</v>
      </c>
      <c r="AI25">
        <v>205.57471605873869</v>
      </c>
    </row>
    <row r="26" spans="1:35">
      <c r="A26" t="s">
        <v>132</v>
      </c>
      <c r="B26">
        <v>106.54677677676304</v>
      </c>
      <c r="C26">
        <v>110.55535833206704</v>
      </c>
      <c r="D26">
        <v>50.281803058864284</v>
      </c>
      <c r="E26">
        <v>63.482142202690184</v>
      </c>
      <c r="F26">
        <v>8.1915197252946026</v>
      </c>
      <c r="G26">
        <v>7.9690305313873839</v>
      </c>
      <c r="H26">
        <v>24.395545165758048</v>
      </c>
      <c r="I26">
        <v>11.031070636525293</v>
      </c>
      <c r="J26">
        <v>12.351705518871938</v>
      </c>
      <c r="K26">
        <v>28.23345828569478</v>
      </c>
      <c r="L26">
        <v>19.833218189120483</v>
      </c>
      <c r="M26">
        <v>82.881747215811842</v>
      </c>
      <c r="N26">
        <v>4.0339042031569656</v>
      </c>
      <c r="Q26">
        <v>52.103357929406108</v>
      </c>
      <c r="R26">
        <v>52.242706363864571</v>
      </c>
      <c r="S26">
        <v>15.231675315377672</v>
      </c>
      <c r="T26">
        <v>37.176732819258312</v>
      </c>
      <c r="U26">
        <v>50.531865267966815</v>
      </c>
      <c r="V26">
        <v>61.55668279177339</v>
      </c>
      <c r="AD26">
        <v>18.489999999999998</v>
      </c>
      <c r="AE26">
        <v>44.273196784880916</v>
      </c>
      <c r="AF26">
        <v>71.897366875212938</v>
      </c>
      <c r="AG26">
        <v>-5.1484773849236749</v>
      </c>
      <c r="AH26">
        <v>206.17963925411365</v>
      </c>
      <c r="AI26">
        <v>201.36416186918999</v>
      </c>
    </row>
    <row r="27" spans="1:35">
      <c r="A27" t="s">
        <v>133</v>
      </c>
      <c r="B27">
        <v>105.77650445408146</v>
      </c>
      <c r="C27">
        <v>109.00303566603863</v>
      </c>
      <c r="D27">
        <v>50.495471576506532</v>
      </c>
      <c r="E27">
        <v>63.986469418893321</v>
      </c>
      <c r="F27">
        <v>8.1932169061187334</v>
      </c>
      <c r="G27">
        <v>7.7954514209625136</v>
      </c>
      <c r="H27">
        <v>25.101677894253736</v>
      </c>
      <c r="I27">
        <v>11.112940857395715</v>
      </c>
      <c r="J27">
        <v>12.505604445680682</v>
      </c>
      <c r="K27">
        <v>29.219699118102771</v>
      </c>
      <c r="L27">
        <v>20.668097768783895</v>
      </c>
      <c r="M27">
        <v>82.821497540248345</v>
      </c>
      <c r="N27">
        <v>4.0774252605387131</v>
      </c>
      <c r="Q27">
        <v>48.774235762365358</v>
      </c>
      <c r="R27">
        <v>52.242706363864571</v>
      </c>
      <c r="S27">
        <v>15.342237480276316</v>
      </c>
      <c r="T27">
        <v>37.400299814501558</v>
      </c>
      <c r="U27">
        <v>50.793609331031078</v>
      </c>
      <c r="V27">
        <v>61.807600678688203</v>
      </c>
      <c r="AD27">
        <v>18.72</v>
      </c>
      <c r="AE27">
        <v>45.108066005440158</v>
      </c>
      <c r="AF27">
        <v>72.823651082008169</v>
      </c>
      <c r="AG27">
        <v>-5.3268246211026611</v>
      </c>
      <c r="AH27">
        <v>210.05599066778456</v>
      </c>
      <c r="AI27">
        <v>205.10466604668187</v>
      </c>
    </row>
    <row r="28" spans="1:35">
      <c r="A28" t="s">
        <v>134</v>
      </c>
      <c r="B28">
        <v>106.11954002770922</v>
      </c>
      <c r="C28">
        <v>109.84829941375261</v>
      </c>
      <c r="D28">
        <v>50.685422438898144</v>
      </c>
      <c r="E28">
        <v>63.773231022788714</v>
      </c>
      <c r="F28">
        <v>8.3817848583514838</v>
      </c>
      <c r="G28">
        <v>7.8349017098564762</v>
      </c>
      <c r="H28">
        <v>23.848406775236793</v>
      </c>
      <c r="I28">
        <v>11.177838867947516</v>
      </c>
      <c r="J28">
        <v>12.632306042294728</v>
      </c>
      <c r="K28">
        <v>27.642340027642593</v>
      </c>
      <c r="L28">
        <v>19.754628347654908</v>
      </c>
      <c r="M28">
        <v>82.857765965384999</v>
      </c>
      <c r="N28">
        <v>4.0231949067230506</v>
      </c>
      <c r="Q28">
        <v>47.460469559892182</v>
      </c>
      <c r="R28">
        <v>52.242706363864571</v>
      </c>
      <c r="S28">
        <v>15.519201725958432</v>
      </c>
      <c r="T28">
        <v>37.710648221290263</v>
      </c>
      <c r="U28">
        <v>51.02003795322485</v>
      </c>
      <c r="V28">
        <v>62.041291591536037</v>
      </c>
      <c r="AD28">
        <v>17.78</v>
      </c>
      <c r="AE28">
        <v>43.608102555190037</v>
      </c>
      <c r="AF28">
        <v>74.039224484752779</v>
      </c>
      <c r="AG28">
        <v>-2.9471217219941974</v>
      </c>
      <c r="AH28">
        <v>204.56610336669254</v>
      </c>
      <c r="AI28">
        <v>201.92088164469834</v>
      </c>
    </row>
    <row r="29" spans="1:35">
      <c r="A29" t="s">
        <v>135</v>
      </c>
      <c r="B29">
        <v>105.8696679794898</v>
      </c>
      <c r="C29">
        <v>109.75140900977073</v>
      </c>
      <c r="D29">
        <v>50.876631401919894</v>
      </c>
      <c r="E29">
        <v>64.328114334668513</v>
      </c>
      <c r="F29">
        <v>8.3331843708283149</v>
      </c>
      <c r="G29">
        <v>7.6497918885914977</v>
      </c>
      <c r="H29">
        <v>24.956447222199106</v>
      </c>
      <c r="I29">
        <v>11.232520026774596</v>
      </c>
      <c r="J29">
        <v>12.725870500622221</v>
      </c>
      <c r="K29">
        <v>28.951372672814614</v>
      </c>
      <c r="L29">
        <v>20.669017299409955</v>
      </c>
      <c r="M29">
        <v>82.770791742553953</v>
      </c>
      <c r="N29">
        <v>3.9273901197100103</v>
      </c>
      <c r="Q29">
        <v>45.930383321781662</v>
      </c>
      <c r="R29">
        <v>52.242706363864571</v>
      </c>
      <c r="S29">
        <v>15.759571338041054</v>
      </c>
      <c r="T29">
        <v>38.088270869635593</v>
      </c>
      <c r="U29">
        <v>51.267530049721245</v>
      </c>
      <c r="V29">
        <v>62.27360575557681</v>
      </c>
      <c r="AD29">
        <v>19.02</v>
      </c>
      <c r="AE29">
        <v>46.598285200231942</v>
      </c>
      <c r="AF29">
        <v>72.267004512375664</v>
      </c>
      <c r="AG29">
        <v>-6.6242043126623589</v>
      </c>
      <c r="AH29">
        <v>211.1736749650351</v>
      </c>
      <c r="AI29">
        <v>204.87297065237274</v>
      </c>
    </row>
    <row r="30" spans="1:35">
      <c r="A30" t="s">
        <v>136</v>
      </c>
      <c r="B30">
        <v>105.42457893165182</v>
      </c>
      <c r="C30">
        <v>109.12869801410639</v>
      </c>
      <c r="D30">
        <v>50.693851731851055</v>
      </c>
      <c r="E30">
        <v>64.061362583573825</v>
      </c>
      <c r="F30">
        <v>8.041037240092141</v>
      </c>
      <c r="G30">
        <v>7.5331554663110207</v>
      </c>
      <c r="H30">
        <v>24.948297570119319</v>
      </c>
      <c r="I30">
        <v>11.268008612896436</v>
      </c>
      <c r="J30">
        <v>12.861591641858022</v>
      </c>
      <c r="K30">
        <v>29.007243688706946</v>
      </c>
      <c r="L30">
        <v>20.777751661167816</v>
      </c>
      <c r="M30">
        <v>82.854298890884692</v>
      </c>
      <c r="N30">
        <v>3.9757629888474608</v>
      </c>
      <c r="Q30">
        <v>47.387427181145419</v>
      </c>
      <c r="R30">
        <v>52.242706363864571</v>
      </c>
      <c r="S30">
        <v>15.963185889300796</v>
      </c>
      <c r="T30">
        <v>38.454865356503639</v>
      </c>
      <c r="U30">
        <v>51.441948920523238</v>
      </c>
      <c r="V30">
        <v>62.470307793375504</v>
      </c>
      <c r="AD30">
        <v>19.3</v>
      </c>
      <c r="AE30">
        <v>46.778160374332764</v>
      </c>
      <c r="AF30">
        <v>71.029708008253166</v>
      </c>
      <c r="AG30">
        <v>-4.4024016384324849</v>
      </c>
      <c r="AH30">
        <v>210.95699027061056</v>
      </c>
      <c r="AI30">
        <v>206.86608863217808</v>
      </c>
    </row>
    <row r="31" spans="1:35">
      <c r="A31" t="s">
        <v>137</v>
      </c>
      <c r="B31">
        <v>104.8676054624286</v>
      </c>
      <c r="C31">
        <v>107.85040108636269</v>
      </c>
      <c r="D31">
        <v>50.810870922696559</v>
      </c>
      <c r="E31">
        <v>64.320508173889252</v>
      </c>
      <c r="F31">
        <v>7.7846415930635917</v>
      </c>
      <c r="G31">
        <v>7.1938333768700948</v>
      </c>
      <c r="H31">
        <v>25.252211605468556</v>
      </c>
      <c r="I31">
        <v>11.324180184705865</v>
      </c>
      <c r="J31">
        <v>12.96830465857702</v>
      </c>
      <c r="K31">
        <v>29.224076341104087</v>
      </c>
      <c r="L31">
        <v>20.829252664231959</v>
      </c>
      <c r="M31">
        <v>82.981104095143493</v>
      </c>
      <c r="N31">
        <v>4.0146664270469454</v>
      </c>
      <c r="Q31">
        <v>50.699127232908189</v>
      </c>
      <c r="R31">
        <v>52.242706363864571</v>
      </c>
      <c r="S31">
        <v>16.121850322614474</v>
      </c>
      <c r="T31">
        <v>38.725054824417043</v>
      </c>
      <c r="U31">
        <v>51.64470728350252</v>
      </c>
      <c r="V31">
        <v>62.718693223666833</v>
      </c>
      <c r="AD31">
        <v>19.95</v>
      </c>
      <c r="AE31">
        <v>47.725343944221038</v>
      </c>
      <c r="AF31">
        <v>71.49092755603391</v>
      </c>
      <c r="AG31">
        <v>-4.667196895802852</v>
      </c>
      <c r="AH31">
        <v>213.88295460189622</v>
      </c>
      <c r="AI31">
        <v>209.49835770609334</v>
      </c>
    </row>
    <row r="32" spans="1:35">
      <c r="A32" t="s">
        <v>138</v>
      </c>
      <c r="B32">
        <v>101.48307726252729</v>
      </c>
      <c r="C32">
        <v>102.0035580179253</v>
      </c>
      <c r="D32">
        <v>51.015105924252843</v>
      </c>
      <c r="E32">
        <v>64.395462590762264</v>
      </c>
      <c r="F32">
        <v>7.6430147838327374</v>
      </c>
      <c r="G32">
        <v>7.0513179390987188</v>
      </c>
      <c r="H32">
        <v>26.020507203964105</v>
      </c>
      <c r="I32">
        <v>11.393073986965121</v>
      </c>
      <c r="J32">
        <v>13.229762282203492</v>
      </c>
      <c r="K32">
        <v>29.759359590505369</v>
      </c>
      <c r="L32">
        <v>21.348462309168553</v>
      </c>
      <c r="M32">
        <v>83.085980310244267</v>
      </c>
      <c r="N32">
        <v>4.0199582540867471</v>
      </c>
      <c r="Q32">
        <v>49.690825265179605</v>
      </c>
      <c r="R32">
        <v>52.242706363864571</v>
      </c>
      <c r="S32">
        <v>16.437138642917809</v>
      </c>
      <c r="T32">
        <v>39.27222415181987</v>
      </c>
      <c r="U32">
        <v>51.854682653220138</v>
      </c>
      <c r="V32">
        <v>62.89765078812858</v>
      </c>
      <c r="AD32">
        <v>21.56</v>
      </c>
      <c r="AE32">
        <v>51.262300087787885</v>
      </c>
      <c r="AF32">
        <v>70.083241124703321</v>
      </c>
      <c r="AG32">
        <v>-4.0199373326041083</v>
      </c>
      <c r="AH32">
        <v>217.42571373996608</v>
      </c>
      <c r="AI32">
        <v>213.70087640736196</v>
      </c>
    </row>
    <row r="33" spans="1:35">
      <c r="A33" t="s">
        <v>139</v>
      </c>
      <c r="B33">
        <v>99.500857156357668</v>
      </c>
      <c r="C33">
        <v>98.517894702948027</v>
      </c>
      <c r="D33">
        <v>51.002728080579118</v>
      </c>
      <c r="E33">
        <v>64.332826032789654</v>
      </c>
      <c r="F33">
        <v>7.5594833313622631</v>
      </c>
      <c r="G33">
        <v>6.7887871685928269</v>
      </c>
      <c r="H33">
        <v>24.637211047540237</v>
      </c>
      <c r="I33">
        <v>11.460838064305385</v>
      </c>
      <c r="J33">
        <v>13.409447019269502</v>
      </c>
      <c r="K33">
        <v>28.425930717057042</v>
      </c>
      <c r="L33">
        <v>20.462706446887637</v>
      </c>
      <c r="M33">
        <v>83.070715266712071</v>
      </c>
      <c r="N33">
        <v>4.045308256759335</v>
      </c>
      <c r="Q33">
        <v>51.331064253178461</v>
      </c>
      <c r="R33">
        <v>52.242706363864571</v>
      </c>
      <c r="S33">
        <v>16.717708993308207</v>
      </c>
      <c r="T33">
        <v>39.799074062257198</v>
      </c>
      <c r="U33">
        <v>52.063073221150603</v>
      </c>
      <c r="V33">
        <v>63.123830056451958</v>
      </c>
      <c r="AD33">
        <v>20.41</v>
      </c>
      <c r="AE33">
        <v>47.715173308675467</v>
      </c>
      <c r="AF33">
        <v>68.819061141333805</v>
      </c>
      <c r="AG33">
        <v>-1.1984588321049099</v>
      </c>
      <c r="AH33">
        <v>220.22920041569199</v>
      </c>
      <c r="AI33">
        <v>219.36324158358707</v>
      </c>
    </row>
    <row r="34" spans="1:35">
      <c r="A34" t="s">
        <v>140</v>
      </c>
      <c r="B34">
        <v>99.224558461192458</v>
      </c>
      <c r="C34">
        <v>98.246289123111396</v>
      </c>
      <c r="D34">
        <v>50.610351899714132</v>
      </c>
      <c r="E34">
        <v>63.833968871999993</v>
      </c>
      <c r="F34">
        <v>7.3023264300305515</v>
      </c>
      <c r="G34">
        <v>6.4824864257555195</v>
      </c>
      <c r="H34">
        <v>26.006904832833765</v>
      </c>
      <c r="I34">
        <v>11.536940907598231</v>
      </c>
      <c r="J34">
        <v>13.569935253984616</v>
      </c>
      <c r="K34">
        <v>30.888156744030898</v>
      </c>
      <c r="L34">
        <v>22.174653755610709</v>
      </c>
      <c r="M34">
        <v>82.991284895340414</v>
      </c>
      <c r="N34">
        <v>4.0665031573192616</v>
      </c>
      <c r="Q34">
        <v>51.10184387571605</v>
      </c>
      <c r="R34">
        <v>52.242706363864571</v>
      </c>
      <c r="S34">
        <v>16.954250270601488</v>
      </c>
      <c r="T34">
        <v>40.173663708260698</v>
      </c>
      <c r="U34">
        <v>52.246396618472048</v>
      </c>
      <c r="V34">
        <v>63.302153638519698</v>
      </c>
      <c r="AD34">
        <v>17.63</v>
      </c>
      <c r="AE34">
        <v>40.520360188262792</v>
      </c>
      <c r="AF34">
        <v>68.75525175530727</v>
      </c>
      <c r="AG34">
        <v>-2.0864154881789077</v>
      </c>
      <c r="AH34">
        <v>220.16971439984488</v>
      </c>
      <c r="AI34">
        <v>218.53269891166596</v>
      </c>
    </row>
    <row r="35" spans="1:35">
      <c r="A35" t="s">
        <v>141</v>
      </c>
      <c r="B35">
        <v>98.52836078298597</v>
      </c>
      <c r="C35">
        <v>96.957690016972094</v>
      </c>
      <c r="D35">
        <v>50.870273235653386</v>
      </c>
      <c r="E35">
        <v>63.74258356516723</v>
      </c>
      <c r="F35">
        <v>7.1715463535243966</v>
      </c>
      <c r="G35">
        <v>6.1545572707962997</v>
      </c>
      <c r="H35">
        <v>26.491493535055078</v>
      </c>
      <c r="I35">
        <v>11.590865674610834</v>
      </c>
      <c r="J35">
        <v>13.77640007651828</v>
      </c>
      <c r="K35">
        <v>30.933790701266119</v>
      </c>
      <c r="L35">
        <v>22.629282311791258</v>
      </c>
      <c r="M35">
        <v>83.051438672714013</v>
      </c>
      <c r="N35">
        <v>4.1345616817288127</v>
      </c>
      <c r="P35">
        <v>50.254019417079732</v>
      </c>
      <c r="Q35">
        <v>48.467676721719144</v>
      </c>
      <c r="R35">
        <v>52.242706363864571</v>
      </c>
      <c r="S35">
        <v>19.437946824070025</v>
      </c>
      <c r="T35">
        <v>40.520456161823056</v>
      </c>
      <c r="U35">
        <v>52.415968434573678</v>
      </c>
      <c r="V35">
        <v>63.464959164629853</v>
      </c>
      <c r="W35">
        <v>65.815899600721835</v>
      </c>
      <c r="X35">
        <v>46.948672994708289</v>
      </c>
      <c r="AA35">
        <v>53.878232833816142</v>
      </c>
      <c r="AB35">
        <v>54.516019716501887</v>
      </c>
      <c r="AC35">
        <v>45.011687716555237</v>
      </c>
      <c r="AD35">
        <v>17.52</v>
      </c>
      <c r="AE35">
        <v>40.225370834840497</v>
      </c>
      <c r="AF35">
        <v>67.20179131059848</v>
      </c>
      <c r="AG35">
        <v>-3.562472911977804</v>
      </c>
      <c r="AH35">
        <v>223.08562643368259</v>
      </c>
      <c r="AI35">
        <v>219.76875352170478</v>
      </c>
    </row>
    <row r="36" spans="1:35">
      <c r="A36" t="s">
        <v>142</v>
      </c>
      <c r="B36">
        <v>98.029969249607035</v>
      </c>
      <c r="C36">
        <v>95.888163562925385</v>
      </c>
      <c r="D36">
        <v>51.126878827902154</v>
      </c>
      <c r="E36">
        <v>63.991257353428146</v>
      </c>
      <c r="F36">
        <v>7.354969926820246</v>
      </c>
      <c r="G36">
        <v>6.1724542977749737</v>
      </c>
      <c r="H36">
        <v>26.497097437764328</v>
      </c>
      <c r="I36">
        <v>11.66288334764922</v>
      </c>
      <c r="J36">
        <v>13.962783442863111</v>
      </c>
      <c r="K36">
        <v>30.207301609360176</v>
      </c>
      <c r="L36">
        <v>22.485420073164438</v>
      </c>
      <c r="M36">
        <v>83.081816529459758</v>
      </c>
      <c r="N36">
        <v>4.2768695419909477</v>
      </c>
      <c r="P36">
        <v>50.247364224855644</v>
      </c>
      <c r="Q36">
        <v>44.121633796064962</v>
      </c>
      <c r="R36">
        <v>52.242706363864571</v>
      </c>
      <c r="S36">
        <v>20.050796731650465</v>
      </c>
      <c r="T36">
        <v>40.945016996745522</v>
      </c>
      <c r="U36">
        <v>52.575925793228819</v>
      </c>
      <c r="V36">
        <v>63.631920188409175</v>
      </c>
      <c r="W36">
        <v>66.41170930398593</v>
      </c>
      <c r="X36">
        <v>48.319411967610378</v>
      </c>
      <c r="AA36">
        <v>54.316910336341984</v>
      </c>
      <c r="AB36">
        <v>49.911860467644452</v>
      </c>
      <c r="AC36">
        <v>44.36087020977579</v>
      </c>
      <c r="AD36">
        <v>17.649999999999999</v>
      </c>
      <c r="AE36">
        <v>41.089686061372845</v>
      </c>
      <c r="AF36">
        <v>68.202929278056345</v>
      </c>
      <c r="AG36">
        <v>-0.31315782343852422</v>
      </c>
      <c r="AH36">
        <v>226.46113047304127</v>
      </c>
      <c r="AI36">
        <v>226.49927264960277</v>
      </c>
    </row>
    <row r="37" spans="1:35">
      <c r="A37" t="s">
        <v>143</v>
      </c>
      <c r="B37">
        <v>100.38045180934405</v>
      </c>
      <c r="C37">
        <v>100.25818083575125</v>
      </c>
      <c r="D37">
        <v>51.147522409961688</v>
      </c>
      <c r="E37">
        <v>64.048749694278257</v>
      </c>
      <c r="F37">
        <v>7.4888811632551269</v>
      </c>
      <c r="G37">
        <v>6.1570526847067324</v>
      </c>
      <c r="H37">
        <v>25.958013374832383</v>
      </c>
      <c r="I37">
        <v>11.715211058499616</v>
      </c>
      <c r="J37">
        <v>14.133369703244067</v>
      </c>
      <c r="K37">
        <v>29.051796212549508</v>
      </c>
      <c r="L37">
        <v>21.991081947460589</v>
      </c>
      <c r="M37">
        <v>83.144533886583531</v>
      </c>
      <c r="N37">
        <v>4.2960534127116343</v>
      </c>
      <c r="P37">
        <v>50.273464326349981</v>
      </c>
      <c r="Q37">
        <v>44.006518935289471</v>
      </c>
      <c r="R37">
        <v>52.242706363864571</v>
      </c>
      <c r="S37">
        <v>20.689405451799118</v>
      </c>
      <c r="T37">
        <v>41.338496730360589</v>
      </c>
      <c r="U37">
        <v>52.81834549888611</v>
      </c>
      <c r="V37">
        <v>63.884856487164008</v>
      </c>
      <c r="W37">
        <v>67.330671115346959</v>
      </c>
      <c r="X37">
        <v>48.220121168463727</v>
      </c>
      <c r="AA37">
        <v>54.596682159560672</v>
      </c>
      <c r="AB37">
        <v>50.533712383241372</v>
      </c>
      <c r="AC37">
        <v>44.020040675675006</v>
      </c>
      <c r="AD37">
        <v>17.350000000000001</v>
      </c>
      <c r="AE37">
        <v>41.165326076182886</v>
      </c>
      <c r="AF37">
        <v>68.573075806204329</v>
      </c>
      <c r="AG37">
        <v>-2.9549549962300397</v>
      </c>
      <c r="AH37">
        <v>222.4705863592105</v>
      </c>
      <c r="AI37">
        <v>219.8500313629805</v>
      </c>
    </row>
    <row r="38" spans="1:35">
      <c r="A38" t="s">
        <v>144</v>
      </c>
      <c r="B38">
        <v>102.70405262780042</v>
      </c>
      <c r="C38">
        <v>104.46635882125163</v>
      </c>
      <c r="D38">
        <v>51.208947860724741</v>
      </c>
      <c r="E38">
        <v>64.279491647401258</v>
      </c>
      <c r="F38">
        <v>7.4651583764531839</v>
      </c>
      <c r="G38">
        <v>5.8096008405549133</v>
      </c>
      <c r="H38">
        <v>25.885881100077796</v>
      </c>
      <c r="I38">
        <v>11.757077241246938</v>
      </c>
      <c r="J38">
        <v>14.26849065376285</v>
      </c>
      <c r="K38">
        <v>29.218581234335389</v>
      </c>
      <c r="L38">
        <v>22.264796928723779</v>
      </c>
      <c r="M38">
        <v>83.216594402568631</v>
      </c>
      <c r="N38">
        <v>4.2817709001426181</v>
      </c>
      <c r="P38">
        <v>50.689243459351957</v>
      </c>
      <c r="Q38">
        <v>42.972540299950616</v>
      </c>
      <c r="R38">
        <v>52.242706363864571</v>
      </c>
      <c r="S38">
        <v>21.259906950736546</v>
      </c>
      <c r="T38">
        <v>41.745005266201908</v>
      </c>
      <c r="U38">
        <v>52.983282779516315</v>
      </c>
      <c r="V38">
        <v>64.051699938392375</v>
      </c>
      <c r="W38">
        <v>64.459291567258063</v>
      </c>
      <c r="X38">
        <v>48.628629369332785</v>
      </c>
      <c r="AA38">
        <v>53.543374380516418</v>
      </c>
      <c r="AB38">
        <v>51.972757731099335</v>
      </c>
      <c r="AC38">
        <v>46.560816326343556</v>
      </c>
      <c r="AD38">
        <v>18.649999999999999</v>
      </c>
      <c r="AE38">
        <v>44.08757327692846</v>
      </c>
      <c r="AF38">
        <v>72.508876585008394</v>
      </c>
      <c r="AG38">
        <v>-4.1153961029174191</v>
      </c>
      <c r="AH38">
        <v>227.16107727133846</v>
      </c>
      <c r="AI38">
        <v>223.41298116842106</v>
      </c>
    </row>
    <row r="39" spans="1:35">
      <c r="A39" t="s">
        <v>145</v>
      </c>
      <c r="B39">
        <v>104.46593687883514</v>
      </c>
      <c r="C39">
        <v>107.6500422635861</v>
      </c>
      <c r="D39">
        <v>50.954305972273929</v>
      </c>
      <c r="E39">
        <v>63.853833590535494</v>
      </c>
      <c r="F39">
        <v>7.3539937351685127</v>
      </c>
      <c r="G39">
        <v>5.7414933541546809</v>
      </c>
      <c r="H39">
        <v>26.28430370611613</v>
      </c>
      <c r="I39">
        <v>11.794807664776592</v>
      </c>
      <c r="J39">
        <v>14.416428461291906</v>
      </c>
      <c r="K39">
        <v>30.004958440794866</v>
      </c>
      <c r="L39">
        <v>22.671052807579581</v>
      </c>
      <c r="M39">
        <v>83.254238760443272</v>
      </c>
      <c r="N39">
        <v>4.3513274394213202</v>
      </c>
      <c r="P39">
        <v>52.134938586503672</v>
      </c>
      <c r="Q39">
        <v>40.898789893326182</v>
      </c>
      <c r="R39">
        <v>52.242706363864571</v>
      </c>
      <c r="S39">
        <v>21.868982606737738</v>
      </c>
      <c r="T39">
        <v>42.214680744985486</v>
      </c>
      <c r="U39">
        <v>53.180867869188312</v>
      </c>
      <c r="V39">
        <v>64.247867997352401</v>
      </c>
      <c r="W39">
        <v>66.748540687170816</v>
      </c>
      <c r="X39">
        <v>48.605567895422219</v>
      </c>
      <c r="AA39">
        <v>54.577397829717079</v>
      </c>
      <c r="AB39">
        <v>54.754973326801817</v>
      </c>
      <c r="AC39">
        <v>48.601983971080671</v>
      </c>
      <c r="AD39">
        <v>19.52</v>
      </c>
      <c r="AE39">
        <v>45.566175720038835</v>
      </c>
      <c r="AF39">
        <v>72.273731640163362</v>
      </c>
      <c r="AG39">
        <v>-2.7737231404135998</v>
      </c>
      <c r="AH39">
        <v>226.48434203224437</v>
      </c>
      <c r="AI39">
        <v>224.02551889183079</v>
      </c>
    </row>
    <row r="40" spans="1:35">
      <c r="A40" t="s">
        <v>146</v>
      </c>
      <c r="B40">
        <v>104.58568500274156</v>
      </c>
      <c r="C40">
        <v>107.73398770423256</v>
      </c>
      <c r="D40">
        <v>51.085690140544216</v>
      </c>
      <c r="E40">
        <v>64.309020030667739</v>
      </c>
      <c r="F40">
        <v>7.2696369334387354</v>
      </c>
      <c r="G40">
        <v>5.7284058233003554</v>
      </c>
      <c r="H40">
        <v>24.93987861374309</v>
      </c>
      <c r="I40">
        <v>11.832685313947829</v>
      </c>
      <c r="J40">
        <v>14.501338939314881</v>
      </c>
      <c r="K40">
        <v>28.653464078980623</v>
      </c>
      <c r="L40">
        <v>21.561719997985399</v>
      </c>
      <c r="M40">
        <v>83.279109402794418</v>
      </c>
      <c r="N40">
        <v>4.2651361517811743</v>
      </c>
      <c r="P40">
        <v>52.346674124955584</v>
      </c>
      <c r="Q40">
        <v>39.672731834167656</v>
      </c>
      <c r="R40">
        <v>50.690360870625938</v>
      </c>
      <c r="S40">
        <v>22.518424867610971</v>
      </c>
      <c r="T40">
        <v>42.620572716019964</v>
      </c>
      <c r="U40">
        <v>53.338532089377232</v>
      </c>
      <c r="V40">
        <v>64.417630523729812</v>
      </c>
      <c r="W40">
        <v>63.745079645424582</v>
      </c>
      <c r="X40">
        <v>48.725490658085846</v>
      </c>
      <c r="AA40">
        <v>53.222497974419753</v>
      </c>
      <c r="AB40">
        <v>55.87077173658448</v>
      </c>
      <c r="AC40">
        <v>51.079817402633807</v>
      </c>
      <c r="AD40">
        <v>20.88</v>
      </c>
      <c r="AE40">
        <v>47.918269264181809</v>
      </c>
      <c r="AF40">
        <v>72.80216798494358</v>
      </c>
      <c r="AG40">
        <v>-6.9170601447275093</v>
      </c>
      <c r="AH40">
        <v>236.15736679957865</v>
      </c>
      <c r="AI40">
        <v>229.24030665485114</v>
      </c>
    </row>
    <row r="41" spans="1:35">
      <c r="A41" t="s">
        <v>147</v>
      </c>
      <c r="B41">
        <v>101.56556184634282</v>
      </c>
      <c r="C41">
        <v>102.18731152920104</v>
      </c>
      <c r="D41">
        <v>51.167725457912418</v>
      </c>
      <c r="E41">
        <v>64.632609212170465</v>
      </c>
      <c r="F41">
        <v>6.9673885987101674</v>
      </c>
      <c r="G41">
        <v>5.407001487643436</v>
      </c>
      <c r="H41">
        <v>24.910164828085691</v>
      </c>
      <c r="I41">
        <v>11.879574827601038</v>
      </c>
      <c r="J41">
        <v>14.641856785081607</v>
      </c>
      <c r="K41">
        <v>28.905603042120063</v>
      </c>
      <c r="L41">
        <v>21.901367923175712</v>
      </c>
      <c r="M41">
        <v>83.305294113307113</v>
      </c>
      <c r="N41">
        <v>4.2334123001607766</v>
      </c>
      <c r="P41">
        <v>51.987545489189436</v>
      </c>
      <c r="Q41">
        <v>41.552697859737798</v>
      </c>
      <c r="R41">
        <v>49.138015377387312</v>
      </c>
      <c r="S41">
        <v>23.075021420422605</v>
      </c>
      <c r="T41">
        <v>42.997309465956114</v>
      </c>
      <c r="U41">
        <v>53.516064517869481</v>
      </c>
      <c r="V41">
        <v>64.578556300477288</v>
      </c>
      <c r="W41">
        <v>62.348686557278228</v>
      </c>
      <c r="X41">
        <v>50.821034809633026</v>
      </c>
      <c r="AA41">
        <v>53.176006006365839</v>
      </c>
      <c r="AB41">
        <v>58.465805672974348</v>
      </c>
      <c r="AC41">
        <v>50.268467850095533</v>
      </c>
      <c r="AD41">
        <v>20.18</v>
      </c>
      <c r="AE41">
        <v>45.305161909079025</v>
      </c>
      <c r="AF41">
        <v>73.511162634810972</v>
      </c>
      <c r="AG41">
        <v>-5.2604489186068193</v>
      </c>
      <c r="AH41">
        <v>241.81775008244773</v>
      </c>
      <c r="AI41">
        <v>236.55730116384092</v>
      </c>
    </row>
    <row r="42" spans="1:35">
      <c r="A42" t="s">
        <v>148</v>
      </c>
      <c r="B42">
        <v>100.96797110337126</v>
      </c>
      <c r="C42">
        <v>101.13640109944926</v>
      </c>
      <c r="D42">
        <v>50.846098104548908</v>
      </c>
      <c r="E42">
        <v>63.992326842878242</v>
      </c>
      <c r="F42">
        <v>6.7859375207399877</v>
      </c>
      <c r="G42">
        <v>5.3135608743840486</v>
      </c>
      <c r="H42">
        <v>25.113141921911829</v>
      </c>
      <c r="I42">
        <v>11.932050796124011</v>
      </c>
      <c r="J42">
        <v>14.795957768415995</v>
      </c>
      <c r="K42">
        <v>29.448503074785098</v>
      </c>
      <c r="L42">
        <v>22.172312610739763</v>
      </c>
      <c r="M42">
        <v>83.347597467594682</v>
      </c>
      <c r="N42">
        <v>4.2938507406111022</v>
      </c>
      <c r="P42">
        <v>51.997661387130385</v>
      </c>
      <c r="Q42">
        <v>41.845956765246079</v>
      </c>
      <c r="R42">
        <v>49.138015377387312</v>
      </c>
      <c r="S42">
        <v>23.595825519242901</v>
      </c>
      <c r="T42">
        <v>43.417393647800068</v>
      </c>
      <c r="U42">
        <v>53.701594758664285</v>
      </c>
      <c r="V42">
        <v>64.739297386924335</v>
      </c>
      <c r="W42">
        <v>63.561043026276074</v>
      </c>
      <c r="X42">
        <v>50.472096821002076</v>
      </c>
      <c r="AA42">
        <v>53.350170219445793</v>
      </c>
      <c r="AB42">
        <v>61.642171738370308</v>
      </c>
      <c r="AC42">
        <v>50.041292070096254</v>
      </c>
      <c r="AD42">
        <v>19.62</v>
      </c>
      <c r="AE42">
        <v>43.653152728822647</v>
      </c>
      <c r="AF42">
        <v>71.685422007470919</v>
      </c>
      <c r="AG42">
        <v>-3.28965618935701</v>
      </c>
      <c r="AH42">
        <v>238.48611444918984</v>
      </c>
      <c r="AI42">
        <v>235.19645825983284</v>
      </c>
    </row>
    <row r="43" spans="1:35">
      <c r="A43" t="s">
        <v>149</v>
      </c>
      <c r="B43">
        <v>100.4416123061407</v>
      </c>
      <c r="C43">
        <v>100.30304173209657</v>
      </c>
      <c r="D43">
        <v>51.310569946259342</v>
      </c>
      <c r="E43">
        <v>64.868807986145399</v>
      </c>
      <c r="F43">
        <v>6.6854317107357897</v>
      </c>
      <c r="G43">
        <v>5.6248856291504294</v>
      </c>
      <c r="H43">
        <v>25.058766025068184</v>
      </c>
      <c r="I43">
        <v>11.991291001366285</v>
      </c>
      <c r="J43">
        <v>14.983062764664053</v>
      </c>
      <c r="K43">
        <v>29.108060906819127</v>
      </c>
      <c r="L43">
        <v>22.248485771271746</v>
      </c>
      <c r="M43">
        <v>83.371379256144152</v>
      </c>
      <c r="N43">
        <v>4.2880537353435599</v>
      </c>
      <c r="P43">
        <v>52.426451702258454</v>
      </c>
      <c r="Q43">
        <v>42.138255274008706</v>
      </c>
      <c r="R43">
        <v>49.138015377387312</v>
      </c>
      <c r="S43">
        <v>24.216997710124012</v>
      </c>
      <c r="T43">
        <v>43.92367938954748</v>
      </c>
      <c r="U43">
        <v>53.828888958795609</v>
      </c>
      <c r="V43">
        <v>64.836441665769854</v>
      </c>
      <c r="W43">
        <v>63.337492039619008</v>
      </c>
      <c r="X43">
        <v>49.130352306193636</v>
      </c>
      <c r="AA43">
        <v>53.004068413707756</v>
      </c>
      <c r="AB43">
        <v>64.058886951757884</v>
      </c>
      <c r="AC43">
        <v>51.590943952300911</v>
      </c>
      <c r="AD43">
        <v>20.190000000000001</v>
      </c>
      <c r="AE43">
        <v>44.889476940670164</v>
      </c>
      <c r="AF43">
        <v>71.487237835986562</v>
      </c>
      <c r="AG43">
        <v>-3.0269588527689208</v>
      </c>
      <c r="AH43">
        <v>241.45994672973774</v>
      </c>
      <c r="AI43">
        <v>238.43298787696881</v>
      </c>
    </row>
    <row r="44" spans="1:35">
      <c r="A44" t="s">
        <v>150</v>
      </c>
      <c r="B44">
        <v>99.662529544618977</v>
      </c>
      <c r="C44">
        <v>99.054498584511705</v>
      </c>
      <c r="D44">
        <v>51.39129207662323</v>
      </c>
      <c r="E44">
        <v>64.742781726743729</v>
      </c>
      <c r="F44">
        <v>6.7016489278901004</v>
      </c>
      <c r="G44">
        <v>4.9369389357123978</v>
      </c>
      <c r="H44">
        <v>24.905383927593757</v>
      </c>
      <c r="I44">
        <v>12.070708420412148</v>
      </c>
      <c r="J44">
        <v>15.252448597864756</v>
      </c>
      <c r="K44">
        <v>28.561684446332919</v>
      </c>
      <c r="L44">
        <v>22.493588531320526</v>
      </c>
      <c r="M44">
        <v>83.396365784583253</v>
      </c>
      <c r="N44">
        <v>4.2841349711205821</v>
      </c>
      <c r="P44">
        <v>51.918136943795972</v>
      </c>
      <c r="Q44">
        <v>43.755517985995041</v>
      </c>
      <c r="R44">
        <v>47.532748535817738</v>
      </c>
      <c r="S44">
        <v>25.030254326319824</v>
      </c>
      <c r="T44">
        <v>44.479548248569635</v>
      </c>
      <c r="U44">
        <v>54.040638126918715</v>
      </c>
      <c r="V44">
        <v>65.077450709464827</v>
      </c>
      <c r="W44">
        <v>62.352721804984434</v>
      </c>
      <c r="X44">
        <v>45.975917299211908</v>
      </c>
      <c r="AA44">
        <v>52.027091395582381</v>
      </c>
      <c r="AB44">
        <v>67.651786812330954</v>
      </c>
      <c r="AC44">
        <v>51.760537125342836</v>
      </c>
      <c r="AD44">
        <v>20.04</v>
      </c>
      <c r="AE44">
        <v>45.255909297353561</v>
      </c>
      <c r="AF44">
        <v>71.836684057587135</v>
      </c>
      <c r="AG44">
        <v>-0.29990840803487012</v>
      </c>
      <c r="AH44">
        <v>238.12140678941944</v>
      </c>
      <c r="AI44">
        <v>237.82149838138454</v>
      </c>
    </row>
    <row r="45" spans="1:35">
      <c r="A45" t="s">
        <v>151</v>
      </c>
      <c r="B45">
        <v>102.23492392225593</v>
      </c>
      <c r="C45">
        <v>103.8732254011418</v>
      </c>
      <c r="D45">
        <v>51.25943885640757</v>
      </c>
      <c r="E45">
        <v>64.587210035066562</v>
      </c>
      <c r="F45">
        <v>6.7648980490160548</v>
      </c>
      <c r="G45">
        <v>4.8523073749614207</v>
      </c>
      <c r="H45">
        <v>25.597884503115964</v>
      </c>
      <c r="I45">
        <v>12.116835119075448</v>
      </c>
      <c r="J45">
        <v>15.367915763593523</v>
      </c>
      <c r="K45">
        <v>29.026304148279454</v>
      </c>
      <c r="L45">
        <v>23.316046499139272</v>
      </c>
      <c r="M45">
        <v>83.451486315752447</v>
      </c>
      <c r="N45">
        <v>4.314757139698651</v>
      </c>
      <c r="P45">
        <v>49.861054760400883</v>
      </c>
      <c r="Q45">
        <v>46.204982802275218</v>
      </c>
      <c r="R45">
        <v>45.927481694248165</v>
      </c>
      <c r="S45">
        <v>25.723943984511898</v>
      </c>
      <c r="T45">
        <v>44.940261438479304</v>
      </c>
      <c r="U45">
        <v>54.250058420350044</v>
      </c>
      <c r="V45">
        <v>65.251162067272105</v>
      </c>
      <c r="W45">
        <v>59.574793975148225</v>
      </c>
      <c r="X45">
        <v>43.914144156742061</v>
      </c>
      <c r="AA45">
        <v>50.317349229595727</v>
      </c>
      <c r="AB45">
        <v>65.666382908732515</v>
      </c>
      <c r="AC45">
        <v>49.20103652041869</v>
      </c>
      <c r="AD45">
        <v>18.899999999999999</v>
      </c>
      <c r="AE45">
        <v>44.149055058385635</v>
      </c>
      <c r="AF45">
        <v>72.112969107236793</v>
      </c>
      <c r="AG45">
        <v>-2.9503938405412504</v>
      </c>
      <c r="AH45">
        <v>230.94932800000001</v>
      </c>
      <c r="AI45">
        <v>227.99893415945874</v>
      </c>
    </row>
    <row r="46" spans="1:35">
      <c r="A46" t="s">
        <v>152</v>
      </c>
      <c r="B46">
        <v>105.31410932908753</v>
      </c>
      <c r="C46">
        <v>109.65774638262431</v>
      </c>
      <c r="D46">
        <v>51.086264573474203</v>
      </c>
      <c r="E46">
        <v>64.585252906106646</v>
      </c>
      <c r="F46">
        <v>6.7288757404953623</v>
      </c>
      <c r="G46">
        <v>4.8833251169497967</v>
      </c>
      <c r="H46">
        <v>25.639143268311454</v>
      </c>
      <c r="I46">
        <v>12.164011556448354</v>
      </c>
      <c r="J46">
        <v>15.497240755049832</v>
      </c>
      <c r="K46">
        <v>29.418505522250232</v>
      </c>
      <c r="L46">
        <v>23.845699506335183</v>
      </c>
      <c r="M46">
        <v>83.462679106241907</v>
      </c>
      <c r="N46">
        <v>4.2129669373962964</v>
      </c>
      <c r="P46">
        <v>49.891887523754015</v>
      </c>
      <c r="Q46">
        <v>49.844504093242392</v>
      </c>
      <c r="R46">
        <v>45.927481694248165</v>
      </c>
      <c r="S46">
        <v>26.451396381007619</v>
      </c>
      <c r="T46">
        <v>45.422437675054198</v>
      </c>
      <c r="U46">
        <v>54.366737034418442</v>
      </c>
      <c r="V46">
        <v>65.4151358098554</v>
      </c>
      <c r="W46">
        <v>61.765821784705786</v>
      </c>
      <c r="X46">
        <v>44.786188472452736</v>
      </c>
      <c r="AA46">
        <v>51.687699501651103</v>
      </c>
      <c r="AB46">
        <v>64.524873301225341</v>
      </c>
      <c r="AC46">
        <v>47.294291582952923</v>
      </c>
      <c r="AD46">
        <v>17.93</v>
      </c>
      <c r="AE46">
        <v>41.831876725478672</v>
      </c>
      <c r="AF46">
        <v>72.428041755315235</v>
      </c>
      <c r="AG46">
        <v>-6.2351189752685299</v>
      </c>
      <c r="AH46">
        <v>236.41297546042136</v>
      </c>
      <c r="AI46">
        <v>230.17785648515283</v>
      </c>
    </row>
    <row r="47" spans="1:35">
      <c r="A47" t="s">
        <v>153</v>
      </c>
      <c r="B47">
        <v>105.0585405004777</v>
      </c>
      <c r="C47">
        <v>108.6215017624736</v>
      </c>
      <c r="D47">
        <v>51.313872630665657</v>
      </c>
      <c r="E47">
        <v>64.932065148587341</v>
      </c>
      <c r="F47">
        <v>6.5846149527122337</v>
      </c>
      <c r="G47">
        <v>4.6962770454969816</v>
      </c>
      <c r="H47">
        <v>25.647727566905598</v>
      </c>
      <c r="I47">
        <v>12.280100352755081</v>
      </c>
      <c r="J47">
        <v>15.640104552092104</v>
      </c>
      <c r="K47">
        <v>29.35633583406792</v>
      </c>
      <c r="L47">
        <v>24.039625328038671</v>
      </c>
      <c r="M47">
        <v>83.526422750019037</v>
      </c>
      <c r="N47">
        <v>4.9672740097443349</v>
      </c>
      <c r="P47">
        <v>49.228036897417901</v>
      </c>
      <c r="Q47">
        <v>46.962131254570899</v>
      </c>
      <c r="R47">
        <v>45.927481694248165</v>
      </c>
      <c r="S47">
        <v>27.070153249327333</v>
      </c>
      <c r="T47">
        <v>46.047568626509275</v>
      </c>
      <c r="U47">
        <v>54.567371031268266</v>
      </c>
      <c r="V47">
        <v>65.570781377557026</v>
      </c>
      <c r="W47">
        <v>61.768086902681773</v>
      </c>
      <c r="X47">
        <v>44.413027544764816</v>
      </c>
      <c r="AA47">
        <v>51.440068823841628</v>
      </c>
      <c r="AB47">
        <v>62.880875250758322</v>
      </c>
      <c r="AC47">
        <v>46.02838948236429</v>
      </c>
      <c r="AD47">
        <v>17.239999999999998</v>
      </c>
      <c r="AE47">
        <v>40.548578027764655</v>
      </c>
      <c r="AF47">
        <v>72.725256788375063</v>
      </c>
      <c r="AG47">
        <v>-0.2372430541119194</v>
      </c>
      <c r="AH47">
        <v>222.69871657601297</v>
      </c>
      <c r="AI47">
        <v>222.46147352190107</v>
      </c>
    </row>
    <row r="48" spans="1:35">
      <c r="A48" t="s">
        <v>154</v>
      </c>
      <c r="B48">
        <v>103.00670420303061</v>
      </c>
      <c r="C48">
        <v>105.01345353617744</v>
      </c>
      <c r="D48">
        <v>51.683419530641515</v>
      </c>
      <c r="E48">
        <v>65.549880538618751</v>
      </c>
      <c r="F48">
        <v>6.2655840532770641</v>
      </c>
      <c r="G48">
        <v>4.4840877950014297</v>
      </c>
      <c r="H48">
        <v>26.166404369851016</v>
      </c>
      <c r="I48">
        <v>12.581640073558646</v>
      </c>
      <c r="J48">
        <v>16.037514989842304</v>
      </c>
      <c r="K48">
        <v>30.217107414257573</v>
      </c>
      <c r="L48">
        <v>24.789395613286004</v>
      </c>
      <c r="M48">
        <v>83.54378727825123</v>
      </c>
      <c r="N48">
        <v>4.9497127100208731</v>
      </c>
      <c r="P48">
        <v>49.745878457301615</v>
      </c>
      <c r="Q48">
        <v>45.186147367792657</v>
      </c>
      <c r="R48">
        <v>43.073673975902267</v>
      </c>
      <c r="S48">
        <v>27.778696576038815</v>
      </c>
      <c r="T48">
        <v>46.815720753210414</v>
      </c>
      <c r="U48">
        <v>54.813000897935993</v>
      </c>
      <c r="V48">
        <v>65.805720533431781</v>
      </c>
      <c r="W48">
        <v>61.862929354087385</v>
      </c>
      <c r="X48">
        <v>44.189634678355844</v>
      </c>
      <c r="AA48">
        <v>51.716223203010948</v>
      </c>
      <c r="AB48">
        <v>60.373925441951393</v>
      </c>
      <c r="AC48">
        <v>46.895825346826847</v>
      </c>
      <c r="AD48">
        <v>18.23</v>
      </c>
      <c r="AE48">
        <v>43.042943855779754</v>
      </c>
      <c r="AF48">
        <v>77.024314067701923</v>
      </c>
      <c r="AG48">
        <v>1.3742920360661506</v>
      </c>
      <c r="AH48">
        <v>230.64867647142856</v>
      </c>
      <c r="AI48">
        <v>232.02296850749471</v>
      </c>
    </row>
    <row r="49" spans="1:35">
      <c r="A49" t="s">
        <v>155</v>
      </c>
      <c r="B49">
        <v>101.68016717098634</v>
      </c>
      <c r="C49">
        <v>102.89870026942616</v>
      </c>
      <c r="D49">
        <v>51.466634146808055</v>
      </c>
      <c r="E49">
        <v>64.99422750839868</v>
      </c>
      <c r="F49">
        <v>6.0183185581710807</v>
      </c>
      <c r="G49">
        <v>4.3631975846792672</v>
      </c>
      <c r="H49">
        <v>27.213159523853903</v>
      </c>
      <c r="I49">
        <v>12.504830135984097</v>
      </c>
      <c r="J49">
        <v>16.407766851209608</v>
      </c>
      <c r="K49">
        <v>31.639238985628165</v>
      </c>
      <c r="L49">
        <v>25.826284988742653</v>
      </c>
      <c r="M49">
        <v>83.593826755737439</v>
      </c>
      <c r="N49">
        <v>4.9639128750140022</v>
      </c>
      <c r="P49">
        <v>51.129663214359994</v>
      </c>
      <c r="Q49">
        <v>43.259387959469365</v>
      </c>
      <c r="R49">
        <v>43.073673975902267</v>
      </c>
      <c r="S49">
        <v>28.578054094788939</v>
      </c>
      <c r="T49">
        <v>47.624446343635398</v>
      </c>
      <c r="U49">
        <v>55.014928282573571</v>
      </c>
      <c r="V49">
        <v>65.957861011776302</v>
      </c>
      <c r="W49">
        <v>64.806342156150663</v>
      </c>
      <c r="X49">
        <v>43.044749344688924</v>
      </c>
      <c r="AA49">
        <v>52.96275384554189</v>
      </c>
      <c r="AB49">
        <v>65.799775618180576</v>
      </c>
      <c r="AC49">
        <v>48.478144658250024</v>
      </c>
      <c r="AD49">
        <v>18.5</v>
      </c>
      <c r="AE49">
        <v>43.420079157434884</v>
      </c>
      <c r="AF49">
        <v>78.731906723394729</v>
      </c>
      <c r="AG49">
        <v>-1.3282931177188111</v>
      </c>
      <c r="AH49">
        <v>234.52550429802631</v>
      </c>
      <c r="AI49">
        <v>233.19721118030751</v>
      </c>
    </row>
    <row r="50" spans="1:35">
      <c r="A50" t="s">
        <v>156</v>
      </c>
      <c r="B50">
        <v>102.98725084537232</v>
      </c>
      <c r="C50">
        <v>104.91004053986174</v>
      </c>
      <c r="D50">
        <v>51.731567415880249</v>
      </c>
      <c r="E50">
        <v>65.486385708901622</v>
      </c>
      <c r="F50">
        <v>6.086403753014225</v>
      </c>
      <c r="G50">
        <v>4.3131018358335904</v>
      </c>
      <c r="H50">
        <v>28.193227401355237</v>
      </c>
      <c r="I50">
        <v>12.33613889452239</v>
      </c>
      <c r="J50">
        <v>16.834205931874394</v>
      </c>
      <c r="K50">
        <v>32.922514119290547</v>
      </c>
      <c r="L50">
        <v>26.720509309633194</v>
      </c>
      <c r="M50">
        <v>83.605753466185647</v>
      </c>
      <c r="N50">
        <v>5.0151562110546877</v>
      </c>
      <c r="P50">
        <v>51.394998175181264</v>
      </c>
      <c r="Q50">
        <v>41.56954661877058</v>
      </c>
      <c r="R50">
        <v>43.073673975902267</v>
      </c>
      <c r="S50">
        <v>29.400979788519521</v>
      </c>
      <c r="T50">
        <v>48.504610613421718</v>
      </c>
      <c r="U50">
        <v>55.264708141445517</v>
      </c>
      <c r="V50">
        <v>66.221721438152713</v>
      </c>
      <c r="W50">
        <v>64.647697738101016</v>
      </c>
      <c r="X50">
        <v>41.503494555320856</v>
      </c>
      <c r="AA50">
        <v>53.141467888931153</v>
      </c>
      <c r="AB50">
        <v>68.29111797031112</v>
      </c>
      <c r="AC50">
        <v>48.868774553217705</v>
      </c>
      <c r="AD50">
        <v>18.440000000000001</v>
      </c>
      <c r="AE50">
        <v>42.287261194101646</v>
      </c>
      <c r="AF50">
        <v>83.804626306133045</v>
      </c>
      <c r="AG50">
        <v>-1.7206616555453109</v>
      </c>
      <c r="AH50">
        <v>239.97287602396636</v>
      </c>
      <c r="AI50">
        <v>238.25221436842105</v>
      </c>
    </row>
    <row r="51" spans="1:35">
      <c r="A51" t="s">
        <v>157</v>
      </c>
      <c r="B51">
        <v>101.68489715662277</v>
      </c>
      <c r="C51">
        <v>102.74088977726913</v>
      </c>
      <c r="D51">
        <v>51.845753634035354</v>
      </c>
      <c r="E51">
        <v>65.670942551241112</v>
      </c>
      <c r="F51">
        <v>6.2061830182208091</v>
      </c>
      <c r="G51">
        <v>4.2994962653853612</v>
      </c>
      <c r="H51">
        <v>28.730833834887669</v>
      </c>
      <c r="I51">
        <v>17.542347566963485</v>
      </c>
      <c r="J51">
        <v>17.314005449357804</v>
      </c>
      <c r="K51">
        <v>33.854683182074787</v>
      </c>
      <c r="L51">
        <v>27.557632680871379</v>
      </c>
      <c r="M51">
        <v>83.707071480404409</v>
      </c>
      <c r="N51">
        <v>4.9733568290700951</v>
      </c>
      <c r="P51">
        <v>51.498411567866157</v>
      </c>
      <c r="Q51">
        <v>42.650153620339999</v>
      </c>
      <c r="R51">
        <v>43.073673975902267</v>
      </c>
      <c r="S51">
        <v>30.366795991317563</v>
      </c>
      <c r="T51">
        <v>49.470053054688236</v>
      </c>
      <c r="U51">
        <v>55.470458056854142</v>
      </c>
      <c r="V51">
        <v>66.396151870108895</v>
      </c>
      <c r="W51">
        <v>65.363767571358721</v>
      </c>
      <c r="X51">
        <v>40.280539751053063</v>
      </c>
      <c r="AA51">
        <v>54.073065921020117</v>
      </c>
      <c r="AB51">
        <v>65.488890436701908</v>
      </c>
      <c r="AC51">
        <v>47.774240118386011</v>
      </c>
      <c r="AD51">
        <v>18.170000000000002</v>
      </c>
      <c r="AE51">
        <v>41.5645737206248</v>
      </c>
      <c r="AF51">
        <v>88.808461998403942</v>
      </c>
      <c r="AG51">
        <v>3.0459878034253998</v>
      </c>
      <c r="AH51">
        <v>236.83940315222742</v>
      </c>
      <c r="AI51">
        <v>239.88539095565281</v>
      </c>
    </row>
    <row r="52" spans="1:35">
      <c r="A52" t="s">
        <v>158</v>
      </c>
      <c r="B52">
        <v>100.5748631661489</v>
      </c>
      <c r="C52">
        <v>100.98454307377298</v>
      </c>
      <c r="D52">
        <v>51.813162195836512</v>
      </c>
      <c r="E52">
        <v>65.573381274728931</v>
      </c>
      <c r="F52">
        <v>6.1099988674125632</v>
      </c>
      <c r="G52">
        <v>4.2627798835787143</v>
      </c>
      <c r="H52">
        <v>28.637600221702819</v>
      </c>
      <c r="I52">
        <v>17.852793649994329</v>
      </c>
      <c r="J52">
        <v>17.561017498459417</v>
      </c>
      <c r="K52">
        <v>33.813197296323303</v>
      </c>
      <c r="L52">
        <v>27.909576704820665</v>
      </c>
      <c r="M52">
        <v>83.769637630812639</v>
      </c>
      <c r="N52">
        <v>4.9553174448315325</v>
      </c>
      <c r="P52">
        <v>50.083777004830658</v>
      </c>
      <c r="Q52">
        <v>42.266849706660899</v>
      </c>
      <c r="R52">
        <v>43.073673975902267</v>
      </c>
      <c r="S52">
        <v>31.483340808440996</v>
      </c>
      <c r="T52">
        <v>50.454072926889758</v>
      </c>
      <c r="U52">
        <v>55.673071290366302</v>
      </c>
      <c r="V52">
        <v>66.553606890432192</v>
      </c>
      <c r="W52">
        <v>62.912822947953231</v>
      </c>
      <c r="X52">
        <v>40.556911426504364</v>
      </c>
      <c r="AA52">
        <v>52.880923543082758</v>
      </c>
      <c r="AB52">
        <v>63.290846860842265</v>
      </c>
      <c r="AC52">
        <v>46.037776319336849</v>
      </c>
      <c r="AD52">
        <v>17.37</v>
      </c>
      <c r="AE52">
        <v>39.908023043710081</v>
      </c>
      <c r="AF52">
        <v>87.255632077966681</v>
      </c>
      <c r="AG52">
        <v>-4.799973559550339</v>
      </c>
      <c r="AH52">
        <v>241.10373929220455</v>
      </c>
      <c r="AI52">
        <v>236.3037657326542</v>
      </c>
    </row>
    <row r="53" spans="1:35">
      <c r="A53" t="s">
        <v>159</v>
      </c>
      <c r="B53">
        <v>100.86584401689386</v>
      </c>
      <c r="C53">
        <v>101.45804123623883</v>
      </c>
      <c r="D53">
        <v>51.946370983104906</v>
      </c>
      <c r="E53">
        <v>65.915341786349003</v>
      </c>
      <c r="F53">
        <v>5.8801627884950403</v>
      </c>
      <c r="G53">
        <v>4.3097205363597393</v>
      </c>
      <c r="H53">
        <v>29.182128445241972</v>
      </c>
      <c r="I53">
        <v>17.641825700351589</v>
      </c>
      <c r="J53">
        <v>17.896424642444622</v>
      </c>
      <c r="K53">
        <v>34.221452932415922</v>
      </c>
      <c r="L53">
        <v>28.529224784948092</v>
      </c>
      <c r="M53">
        <v>83.846324258081339</v>
      </c>
      <c r="N53">
        <v>4.9877831137196313</v>
      </c>
      <c r="P53">
        <v>50.014750275661903</v>
      </c>
      <c r="Q53">
        <v>46.089652597069751</v>
      </c>
      <c r="R53">
        <v>43.073673975902267</v>
      </c>
      <c r="S53">
        <v>32.63585228289417</v>
      </c>
      <c r="T53">
        <v>51.62781862489333</v>
      </c>
      <c r="U53">
        <v>55.875568008176757</v>
      </c>
      <c r="V53">
        <v>66.713687209966622</v>
      </c>
      <c r="W53">
        <v>63.951517841826842</v>
      </c>
      <c r="X53">
        <v>40.604021637375389</v>
      </c>
      <c r="AA53">
        <v>53.884979727804293</v>
      </c>
      <c r="AB53">
        <v>63.838156907464665</v>
      </c>
      <c r="AC53">
        <v>44.416562693336815</v>
      </c>
      <c r="AD53">
        <v>16.37</v>
      </c>
      <c r="AE53">
        <v>38.13833496793989</v>
      </c>
      <c r="AF53">
        <v>88.412814749908819</v>
      </c>
      <c r="AG53">
        <v>-0.11621124210157013</v>
      </c>
      <c r="AH53">
        <v>236.93911009572224</v>
      </c>
      <c r="AI53">
        <v>236.82289885362067</v>
      </c>
    </row>
    <row r="54" spans="1:35">
      <c r="A54" t="s">
        <v>160</v>
      </c>
      <c r="B54">
        <v>101.11823209689476</v>
      </c>
      <c r="C54">
        <v>101.78390649550047</v>
      </c>
      <c r="D54">
        <v>52.04870125549661</v>
      </c>
      <c r="E54">
        <v>65.75619867403438</v>
      </c>
      <c r="F54">
        <v>5.6935602006279913</v>
      </c>
      <c r="G54">
        <v>4.2591247876210989</v>
      </c>
      <c r="H54">
        <v>30.43603841969048</v>
      </c>
      <c r="I54">
        <v>20.466164326012422</v>
      </c>
      <c r="J54">
        <v>18.474066332883694</v>
      </c>
      <c r="K54">
        <v>35.8220247161317</v>
      </c>
      <c r="L54">
        <v>30.172609041387645</v>
      </c>
      <c r="M54">
        <v>83.922894126602742</v>
      </c>
      <c r="N54">
        <v>4.9899211246155266</v>
      </c>
      <c r="P54">
        <v>49.845947861280891</v>
      </c>
      <c r="Q54">
        <v>50.365211142064538</v>
      </c>
      <c r="R54">
        <v>43.073673975902267</v>
      </c>
      <c r="S54">
        <v>33.833190176030833</v>
      </c>
      <c r="T54">
        <v>52.863203786942968</v>
      </c>
      <c r="U54">
        <v>56.103482332041857</v>
      </c>
      <c r="V54">
        <v>66.924395191376547</v>
      </c>
      <c r="W54">
        <v>63.503136920202877</v>
      </c>
      <c r="X54">
        <v>39.968848361015908</v>
      </c>
      <c r="AA54">
        <v>53.181797752045824</v>
      </c>
      <c r="AB54">
        <v>66.82855447705704</v>
      </c>
      <c r="AC54">
        <v>45.020726600912639</v>
      </c>
      <c r="AD54">
        <v>16.43</v>
      </c>
      <c r="AE54">
        <v>37.973217594667368</v>
      </c>
      <c r="AF54">
        <v>84.856892816333371</v>
      </c>
      <c r="AG54">
        <v>-0.60662774603593062</v>
      </c>
      <c r="AH54">
        <v>237.70277632020404</v>
      </c>
      <c r="AI54">
        <v>237.09614857416813</v>
      </c>
    </row>
    <row r="55" spans="1:35">
      <c r="A55" t="s">
        <v>161</v>
      </c>
      <c r="B55">
        <v>102.32743251875101</v>
      </c>
      <c r="C55">
        <v>103.63650016228044</v>
      </c>
      <c r="D55">
        <v>52.446774123094222</v>
      </c>
      <c r="E55">
        <v>66.168932540110987</v>
      </c>
      <c r="F55">
        <v>5.4576999884186836</v>
      </c>
      <c r="G55">
        <v>4.1940639817767842</v>
      </c>
      <c r="H55">
        <v>29.880757879374514</v>
      </c>
      <c r="I55">
        <v>21.832705554837535</v>
      </c>
      <c r="J55">
        <v>18.795000379706664</v>
      </c>
      <c r="K55">
        <v>35.582569026895591</v>
      </c>
      <c r="L55">
        <v>30.299741645369188</v>
      </c>
      <c r="M55">
        <v>83.93715793624952</v>
      </c>
      <c r="N55">
        <v>4.9814207917254301</v>
      </c>
      <c r="P55">
        <v>48.925740094173669</v>
      </c>
      <c r="Q55">
        <v>54.477406110474213</v>
      </c>
      <c r="R55">
        <v>43.073673975902267</v>
      </c>
      <c r="S55">
        <v>35.191788367104785</v>
      </c>
      <c r="T55">
        <v>54.039016985298105</v>
      </c>
      <c r="U55">
        <v>56.251208368500357</v>
      </c>
      <c r="V55">
        <v>67.030372765661397</v>
      </c>
      <c r="W55">
        <v>63.555752855666675</v>
      </c>
      <c r="X55">
        <v>38.382243067232395</v>
      </c>
      <c r="AA55">
        <v>52.565836702647289</v>
      </c>
      <c r="AB55">
        <v>65.323236661039857</v>
      </c>
      <c r="AC55">
        <v>43.660433764405468</v>
      </c>
      <c r="AD55">
        <v>15.8</v>
      </c>
      <c r="AE55">
        <v>36.106066016404064</v>
      </c>
      <c r="AF55">
        <v>83.951779902582246</v>
      </c>
      <c r="AG55">
        <v>-0.22191171195009995</v>
      </c>
      <c r="AH55">
        <v>244.2936061566752</v>
      </c>
      <c r="AI55">
        <v>244.0716944447251</v>
      </c>
    </row>
    <row r="56" spans="1:35">
      <c r="A56" t="s">
        <v>162</v>
      </c>
      <c r="B56">
        <v>101.69697686612353</v>
      </c>
      <c r="C56">
        <v>102.5181627223326</v>
      </c>
      <c r="D56">
        <v>52.509364042119621</v>
      </c>
      <c r="E56">
        <v>66.146434953267189</v>
      </c>
      <c r="F56">
        <v>5.3542449361932034</v>
      </c>
      <c r="G56">
        <v>4.0967511296870223</v>
      </c>
      <c r="H56">
        <v>30.827431880467209</v>
      </c>
      <c r="I56">
        <v>22.486457295423342</v>
      </c>
      <c r="J56">
        <v>19.161627550264601</v>
      </c>
      <c r="K56">
        <v>36.622993222090891</v>
      </c>
      <c r="L56">
        <v>31.667934241771821</v>
      </c>
      <c r="M56">
        <v>83.983816012097847</v>
      </c>
      <c r="N56">
        <v>5.0137740366222845</v>
      </c>
      <c r="P56">
        <v>48.966075694652538</v>
      </c>
      <c r="Q56">
        <v>53.210744846049749</v>
      </c>
      <c r="R56">
        <v>43.073673975902267</v>
      </c>
      <c r="S56">
        <v>36.485842980731668</v>
      </c>
      <c r="T56">
        <v>55.160617864421781</v>
      </c>
      <c r="U56">
        <v>56.463722643345768</v>
      </c>
      <c r="V56">
        <v>67.240906608799264</v>
      </c>
      <c r="W56">
        <v>63.559819817985471</v>
      </c>
      <c r="X56">
        <v>37.064629065757906</v>
      </c>
      <c r="AA56">
        <v>52.423257549984747</v>
      </c>
      <c r="AB56">
        <v>61.744586188450619</v>
      </c>
      <c r="AC56">
        <v>43.96535086123302</v>
      </c>
      <c r="AD56">
        <v>16.440000000000001</v>
      </c>
      <c r="AE56">
        <v>37.8319287435341</v>
      </c>
      <c r="AF56">
        <v>84.273513744839477</v>
      </c>
      <c r="AG56">
        <v>1.7505669490930005</v>
      </c>
      <c r="AH56">
        <v>243.01897740227889</v>
      </c>
      <c r="AI56">
        <v>244.76954435137188</v>
      </c>
    </row>
    <row r="57" spans="1:35">
      <c r="A57" t="s">
        <v>163</v>
      </c>
      <c r="B57">
        <v>104.36271682029619</v>
      </c>
      <c r="C57">
        <v>107.49248615629399</v>
      </c>
      <c r="D57">
        <v>52.782116947149916</v>
      </c>
      <c r="E57">
        <v>66.440312972422916</v>
      </c>
      <c r="F57">
        <v>5.4833823265011121</v>
      </c>
      <c r="G57">
        <v>4.0241212871018766</v>
      </c>
      <c r="H57">
        <v>29.934861850644179</v>
      </c>
      <c r="I57">
        <v>22.762446235286443</v>
      </c>
      <c r="J57">
        <v>19.584522982104097</v>
      </c>
      <c r="K57">
        <v>35.596036314581795</v>
      </c>
      <c r="L57">
        <v>31.220623433043652</v>
      </c>
      <c r="M57">
        <v>84.051443831284814</v>
      </c>
      <c r="N57">
        <v>4.9816851999001974</v>
      </c>
      <c r="P57">
        <v>48.257469943284036</v>
      </c>
      <c r="Q57">
        <v>54.267051340466814</v>
      </c>
      <c r="R57">
        <v>43.073673975902267</v>
      </c>
      <c r="S57">
        <v>37.560523855501124</v>
      </c>
      <c r="T57">
        <v>56.127198976395157</v>
      </c>
      <c r="U57">
        <v>56.606930113028085</v>
      </c>
      <c r="V57">
        <v>67.384901290738711</v>
      </c>
      <c r="W57">
        <v>63.16127638046251</v>
      </c>
      <c r="X57">
        <v>36.746247874838033</v>
      </c>
      <c r="AA57">
        <v>52.340950215756614</v>
      </c>
      <c r="AB57">
        <v>65.482010809929307</v>
      </c>
      <c r="AC57">
        <v>42.350820521924568</v>
      </c>
      <c r="AD57">
        <v>15.09</v>
      </c>
      <c r="AE57">
        <v>35.182007133186993</v>
      </c>
      <c r="AF57">
        <v>82.869674426380442</v>
      </c>
      <c r="AG57">
        <v>-7.7702693672378545E-2</v>
      </c>
      <c r="AH57">
        <v>242.09096049999999</v>
      </c>
      <c r="AI57">
        <v>242.0132578063276</v>
      </c>
    </row>
    <row r="58" spans="1:35">
      <c r="A58" t="s">
        <v>164</v>
      </c>
      <c r="B58">
        <v>106.39328476436586</v>
      </c>
      <c r="C58">
        <v>110.95462148442006</v>
      </c>
      <c r="D58">
        <v>53.192983998502953</v>
      </c>
      <c r="E58">
        <v>66.780680340291212</v>
      </c>
      <c r="F58">
        <v>5.3530630833951287</v>
      </c>
      <c r="G58">
        <v>3.9977426549211437</v>
      </c>
      <c r="H58">
        <v>32.04227385941433</v>
      </c>
      <c r="I58">
        <v>22.854827359056507</v>
      </c>
      <c r="J58">
        <v>25.921096022401795</v>
      </c>
      <c r="K58">
        <v>37.684721142284296</v>
      </c>
      <c r="L58">
        <v>33.524495639840708</v>
      </c>
      <c r="M58">
        <v>84.110954107101421</v>
      </c>
      <c r="N58">
        <v>4.9734762418000447</v>
      </c>
      <c r="P58">
        <v>48.518401433258191</v>
      </c>
      <c r="Q58">
        <v>55.460866631849434</v>
      </c>
      <c r="R58">
        <v>42.685587602592598</v>
      </c>
      <c r="S58">
        <v>38.732040822906335</v>
      </c>
      <c r="T58">
        <v>57.074107635893945</v>
      </c>
      <c r="U58">
        <v>56.839321752517158</v>
      </c>
      <c r="V58">
        <v>67.560955531572588</v>
      </c>
      <c r="W58">
        <v>68.215835410523695</v>
      </c>
      <c r="X58">
        <v>38.664919350711926</v>
      </c>
      <c r="AA58">
        <v>55.333449074325657</v>
      </c>
      <c r="AB58">
        <v>62.153097980882471</v>
      </c>
      <c r="AC58">
        <v>38.660609912381325</v>
      </c>
      <c r="AD58">
        <v>13.36</v>
      </c>
      <c r="AE58">
        <v>31.290219726412129</v>
      </c>
      <c r="AF58">
        <v>82.914561294461038</v>
      </c>
      <c r="AG58">
        <v>0.74572450913673016</v>
      </c>
      <c r="AH58">
        <v>247.05665828690744</v>
      </c>
      <c r="AI58">
        <v>247.80238279604418</v>
      </c>
    </row>
    <row r="59" spans="1:35">
      <c r="A59" t="s">
        <v>165</v>
      </c>
      <c r="B59">
        <v>107.27158495066872</v>
      </c>
      <c r="C59">
        <v>107.20829210649539</v>
      </c>
      <c r="D59">
        <v>53.464577290324009</v>
      </c>
      <c r="E59">
        <v>66.908842798688752</v>
      </c>
      <c r="F59">
        <v>5.7601794348428283</v>
      </c>
      <c r="G59">
        <v>3.9024301347137804</v>
      </c>
      <c r="H59">
        <v>33.859786180165159</v>
      </c>
      <c r="I59">
        <v>26.647540089126633</v>
      </c>
      <c r="J59">
        <v>26.030775726783173</v>
      </c>
      <c r="K59">
        <v>40.50254488643629</v>
      </c>
      <c r="L59">
        <v>36.254856505387224</v>
      </c>
      <c r="M59">
        <v>84.371703115694373</v>
      </c>
      <c r="N59">
        <v>5.2877657595333307</v>
      </c>
      <c r="P59">
        <v>49.309163480921057</v>
      </c>
      <c r="Q59">
        <v>52.626946169064077</v>
      </c>
      <c r="R59">
        <v>43.073673975902267</v>
      </c>
      <c r="S59">
        <v>39.621072822260793</v>
      </c>
      <c r="T59">
        <v>57.661389049713009</v>
      </c>
      <c r="U59">
        <v>57.046736189551048</v>
      </c>
      <c r="V59">
        <v>67.691311618654112</v>
      </c>
      <c r="W59">
        <v>67.828478920340814</v>
      </c>
      <c r="X59">
        <v>40.150482662467752</v>
      </c>
      <c r="AA59">
        <v>55.582168161853765</v>
      </c>
      <c r="AB59">
        <v>62.638426445487909</v>
      </c>
      <c r="AC59">
        <v>40.235423191640542</v>
      </c>
      <c r="AD59">
        <v>14.17</v>
      </c>
      <c r="AE59">
        <v>33.440735646890651</v>
      </c>
      <c r="AF59">
        <v>84.936526458179387</v>
      </c>
      <c r="AG59">
        <v>-1.0482028000000001</v>
      </c>
      <c r="AH59">
        <v>244.9481672</v>
      </c>
      <c r="AI59">
        <v>243.89996439999999</v>
      </c>
    </row>
    <row r="60" spans="1:35">
      <c r="A60" t="s">
        <v>166</v>
      </c>
      <c r="B60">
        <v>106.57444459705204</v>
      </c>
      <c r="C60">
        <v>106.59530681674325</v>
      </c>
      <c r="D60">
        <v>53.646395593085629</v>
      </c>
      <c r="E60">
        <v>67.35019927354216</v>
      </c>
      <c r="F60">
        <v>6.0015231314373638</v>
      </c>
      <c r="G60">
        <v>3.9375327936441549</v>
      </c>
      <c r="H60">
        <v>32.957627971950828</v>
      </c>
      <c r="I60">
        <v>26.780857880621195</v>
      </c>
      <c r="J60">
        <v>26.3443542234081</v>
      </c>
      <c r="K60">
        <v>39.780638290821379</v>
      </c>
      <c r="L60">
        <v>35.675574449603417</v>
      </c>
      <c r="M60">
        <v>84.421208804677988</v>
      </c>
      <c r="N60">
        <v>5.3171795158494657</v>
      </c>
      <c r="P60">
        <v>50.128517978945951</v>
      </c>
      <c r="Q60">
        <v>53.982312157856583</v>
      </c>
      <c r="R60">
        <v>43.073673975902267</v>
      </c>
      <c r="S60">
        <v>40.584735184509015</v>
      </c>
      <c r="T60">
        <v>58.293338672256809</v>
      </c>
      <c r="U60">
        <v>57.199432312598752</v>
      </c>
      <c r="V60">
        <v>67.81574425477568</v>
      </c>
      <c r="W60">
        <v>68.703480997932331</v>
      </c>
      <c r="X60">
        <v>41.694692274486634</v>
      </c>
      <c r="AA60">
        <v>56.612018320964019</v>
      </c>
      <c r="AB60">
        <v>67.834323132420067</v>
      </c>
      <c r="AC60">
        <v>40.750301117774121</v>
      </c>
      <c r="AD60">
        <v>13.75</v>
      </c>
      <c r="AE60">
        <v>32.123811039206963</v>
      </c>
      <c r="AF60">
        <v>88.915719708790476</v>
      </c>
      <c r="AG60">
        <v>-0.74329009999999995</v>
      </c>
      <c r="AH60">
        <v>247.1771334</v>
      </c>
      <c r="AI60">
        <v>246.43384330000001</v>
      </c>
    </row>
    <row r="61" spans="1:35">
      <c r="A61" t="s">
        <v>167</v>
      </c>
      <c r="B61">
        <v>108.26054444299996</v>
      </c>
      <c r="C61">
        <v>108.45213507360289</v>
      </c>
      <c r="D61">
        <v>53.791741919149416</v>
      </c>
      <c r="E61">
        <v>67.710507781939029</v>
      </c>
      <c r="F61">
        <v>6.4974202272292665</v>
      </c>
      <c r="G61">
        <v>4.0792784345722879</v>
      </c>
      <c r="H61">
        <v>31.728389381571219</v>
      </c>
      <c r="I61">
        <v>26.897377832732683</v>
      </c>
      <c r="J61">
        <v>26.568752694616315</v>
      </c>
      <c r="K61">
        <v>37.402625957753408</v>
      </c>
      <c r="L61">
        <v>33.968623331625636</v>
      </c>
      <c r="M61">
        <v>84.477651252298344</v>
      </c>
      <c r="N61">
        <v>5.3475104238275337</v>
      </c>
      <c r="P61">
        <v>49.673362126254851</v>
      </c>
      <c r="Q61">
        <v>57.232724927009428</v>
      </c>
      <c r="R61">
        <v>42.003496081522535</v>
      </c>
      <c r="S61">
        <v>41.615715101451627</v>
      </c>
      <c r="T61">
        <v>58.951265186464084</v>
      </c>
      <c r="U61">
        <v>57.399189093555336</v>
      </c>
      <c r="V61">
        <v>67.998913895658987</v>
      </c>
      <c r="W61">
        <v>69.173957256607395</v>
      </c>
      <c r="X61">
        <v>41.785277852172555</v>
      </c>
      <c r="AA61">
        <v>57.093842374204101</v>
      </c>
      <c r="AB61">
        <v>59.611231865895242</v>
      </c>
      <c r="AC61">
        <v>38.939827876505824</v>
      </c>
      <c r="AD61">
        <v>13.69</v>
      </c>
      <c r="AE61">
        <v>31.637340828003051</v>
      </c>
      <c r="AF61">
        <v>89.15957776561109</v>
      </c>
      <c r="AG61">
        <v>-0.36395959999999999</v>
      </c>
      <c r="AH61">
        <v>256.65847639999998</v>
      </c>
      <c r="AI61">
        <v>256.2945168</v>
      </c>
    </row>
    <row r="62" spans="1:35">
      <c r="A62" t="s">
        <v>168</v>
      </c>
      <c r="B62">
        <v>109.61172954415171</v>
      </c>
      <c r="C62">
        <v>109.98293103053167</v>
      </c>
      <c r="D62">
        <v>54.375388523086222</v>
      </c>
      <c r="E62">
        <v>68.402733962289389</v>
      </c>
      <c r="F62">
        <v>6.7335232062894139</v>
      </c>
      <c r="G62">
        <v>4.2270121958606772</v>
      </c>
      <c r="H62">
        <v>32.35923432338469</v>
      </c>
      <c r="I62">
        <v>27.136799391848442</v>
      </c>
      <c r="J62">
        <v>26.70679292573616</v>
      </c>
      <c r="K62">
        <v>37.806014813310355</v>
      </c>
      <c r="L62">
        <v>34.507799357127396</v>
      </c>
      <c r="M62">
        <v>84.592050882746548</v>
      </c>
      <c r="N62">
        <v>5.281358698370993</v>
      </c>
      <c r="P62">
        <v>50.357825485974153</v>
      </c>
      <c r="Q62">
        <v>59.418727340059213</v>
      </c>
      <c r="R62">
        <v>42.003496081522535</v>
      </c>
      <c r="S62">
        <v>42.761885213045318</v>
      </c>
      <c r="T62">
        <v>59.632821447217907</v>
      </c>
      <c r="U62">
        <v>57.561062864800796</v>
      </c>
      <c r="V62">
        <v>68.133115023882141</v>
      </c>
      <c r="W62">
        <v>67.701078227600689</v>
      </c>
      <c r="X62">
        <v>41.211744807544306</v>
      </c>
      <c r="AA62">
        <v>56.739574336407962</v>
      </c>
      <c r="AB62">
        <v>58.376782330899971</v>
      </c>
      <c r="AC62">
        <v>41.126789546169832</v>
      </c>
      <c r="AD62">
        <v>15.15</v>
      </c>
      <c r="AE62">
        <v>34.967579479622607</v>
      </c>
      <c r="AF62">
        <v>94.837499177710754</v>
      </c>
      <c r="AG62">
        <v>-0.18677959999999999</v>
      </c>
      <c r="AH62">
        <v>259.04463750000002</v>
      </c>
      <c r="AI62">
        <v>258.8578579</v>
      </c>
    </row>
    <row r="63" spans="1:35">
      <c r="A63" t="s">
        <v>169</v>
      </c>
      <c r="B63">
        <v>108.979386832316</v>
      </c>
      <c r="C63">
        <v>109.32475282690969</v>
      </c>
      <c r="D63">
        <v>54.672852676053296</v>
      </c>
      <c r="E63">
        <v>68.61922091244152</v>
      </c>
      <c r="F63">
        <v>6.9189336095856264</v>
      </c>
      <c r="G63">
        <v>4.4284792581889691</v>
      </c>
      <c r="H63">
        <v>32.75335143560887</v>
      </c>
      <c r="I63">
        <v>27.334877624764808</v>
      </c>
      <c r="J63">
        <v>26.845009914080581</v>
      </c>
      <c r="K63">
        <v>38.382857784486966</v>
      </c>
      <c r="L63">
        <v>35.645628747590727</v>
      </c>
      <c r="M63">
        <v>84.662273971632573</v>
      </c>
      <c r="N63">
        <v>5.2382544928328567</v>
      </c>
      <c r="P63">
        <v>51.761604499989183</v>
      </c>
      <c r="Q63">
        <v>74.811934384301978</v>
      </c>
      <c r="R63">
        <v>43.359054747736849</v>
      </c>
      <c r="S63">
        <v>43.937235017955416</v>
      </c>
      <c r="T63">
        <v>60.357317861206994</v>
      </c>
      <c r="U63">
        <v>57.733292537162598</v>
      </c>
      <c r="V63">
        <v>68.298294901026495</v>
      </c>
      <c r="W63">
        <v>67.246429338098636</v>
      </c>
      <c r="X63">
        <v>44.198987716944586</v>
      </c>
      <c r="AA63">
        <v>57.75055528651815</v>
      </c>
      <c r="AB63">
        <v>56.952436983384224</v>
      </c>
      <c r="AC63">
        <v>43.098740879398619</v>
      </c>
      <c r="AD63">
        <v>16.43</v>
      </c>
      <c r="AE63">
        <v>37.638669584959707</v>
      </c>
      <c r="AF63">
        <v>95.205431785822853</v>
      </c>
      <c r="AG63">
        <v>-0.2700902</v>
      </c>
      <c r="AH63">
        <v>265.2588083</v>
      </c>
      <c r="AI63">
        <v>264.98871810000003</v>
      </c>
    </row>
    <row r="64" spans="1:35">
      <c r="A64" t="s">
        <v>170</v>
      </c>
      <c r="B64">
        <v>107.73193915140914</v>
      </c>
      <c r="C64">
        <v>109.62224281266472</v>
      </c>
      <c r="D64">
        <v>55.204882810534926</v>
      </c>
      <c r="E64">
        <v>69.197748624935414</v>
      </c>
      <c r="F64">
        <v>7.2268768240759487</v>
      </c>
      <c r="G64">
        <v>4.4371110490051349</v>
      </c>
      <c r="H64">
        <v>31.809770598139426</v>
      </c>
      <c r="I64">
        <v>27.508793304253992</v>
      </c>
      <c r="J64">
        <v>27.066818405104087</v>
      </c>
      <c r="K64">
        <v>37.901309419114654</v>
      </c>
      <c r="L64">
        <v>34.999701098349277</v>
      </c>
      <c r="M64">
        <v>84.669919393590291</v>
      </c>
      <c r="N64">
        <v>5.2564645739189029</v>
      </c>
      <c r="P64">
        <v>52.656954984399825</v>
      </c>
      <c r="Q64">
        <v>85.762282584137409</v>
      </c>
      <c r="R64">
        <v>46.092908112756078</v>
      </c>
      <c r="S64">
        <v>45.19630117663683</v>
      </c>
      <c r="T64">
        <v>61.112213516879031</v>
      </c>
      <c r="U64">
        <v>58.033332697484596</v>
      </c>
      <c r="V64">
        <v>68.517738133222807</v>
      </c>
      <c r="W64">
        <v>65.549913505635516</v>
      </c>
      <c r="X64">
        <v>46.676735655369512</v>
      </c>
      <c r="AA64">
        <v>58.090197832587371</v>
      </c>
      <c r="AB64">
        <v>58.2728936659678</v>
      </c>
      <c r="AC64">
        <v>44.797908635702683</v>
      </c>
      <c r="AD64">
        <v>17.23</v>
      </c>
      <c r="AE64">
        <v>39.135610336046405</v>
      </c>
      <c r="AF64">
        <v>98.3524576979827</v>
      </c>
      <c r="AG64">
        <v>1.7282753</v>
      </c>
      <c r="AH64">
        <v>272.6421489</v>
      </c>
      <c r="AI64">
        <v>274.3704242</v>
      </c>
    </row>
    <row r="65" spans="1:35">
      <c r="A65" t="s">
        <v>171</v>
      </c>
      <c r="B65">
        <v>107.77357548983174</v>
      </c>
      <c r="C65">
        <v>109.46496529377973</v>
      </c>
      <c r="D65">
        <v>55.330474000029803</v>
      </c>
      <c r="E65">
        <v>69.357982395839883</v>
      </c>
      <c r="F65">
        <v>7.3374113743109204</v>
      </c>
      <c r="G65">
        <v>4.4422659563062066</v>
      </c>
      <c r="H65">
        <v>32.93906886749712</v>
      </c>
      <c r="I65">
        <v>27.788653918522225</v>
      </c>
      <c r="J65">
        <v>27.492112447342443</v>
      </c>
      <c r="K65">
        <v>39.032883691301969</v>
      </c>
      <c r="L65">
        <v>36.109747721238911</v>
      </c>
      <c r="M65">
        <v>84.685327972470887</v>
      </c>
      <c r="N65">
        <v>5.2651736391063926</v>
      </c>
      <c r="P65">
        <v>53.93707490562695</v>
      </c>
      <c r="Q65">
        <v>117.97054635056253</v>
      </c>
      <c r="R65">
        <v>45.736182147962843</v>
      </c>
      <c r="S65">
        <v>45.788328535230036</v>
      </c>
      <c r="T65">
        <v>61.493116505665967</v>
      </c>
      <c r="U65">
        <v>58.112566255270792</v>
      </c>
      <c r="V65">
        <v>68.621352783959736</v>
      </c>
      <c r="W65">
        <v>65.081769061807421</v>
      </c>
      <c r="X65">
        <v>47.969428456374786</v>
      </c>
      <c r="AA65">
        <v>59.27217180380427</v>
      </c>
      <c r="AB65">
        <v>58.741737105401434</v>
      </c>
      <c r="AC65">
        <v>46.219994154938128</v>
      </c>
      <c r="AD65">
        <v>18.04</v>
      </c>
      <c r="AE65">
        <v>40.144796388740097</v>
      </c>
      <c r="AF65">
        <v>96.85934305838299</v>
      </c>
      <c r="AG65">
        <v>0.13017419999999999</v>
      </c>
      <c r="AH65">
        <v>274.2524224</v>
      </c>
      <c r="AI65">
        <v>274.3825966</v>
      </c>
    </row>
    <row r="66" spans="1:35">
      <c r="A66" t="s">
        <v>172</v>
      </c>
      <c r="B66">
        <v>107.9334329553448</v>
      </c>
      <c r="C66">
        <v>109.44724675054808</v>
      </c>
      <c r="D66">
        <v>55.914587352680257</v>
      </c>
      <c r="E66">
        <v>69.879866857604682</v>
      </c>
      <c r="F66">
        <v>7.499050014101476</v>
      </c>
      <c r="G66">
        <v>4.6982365141876556</v>
      </c>
      <c r="H66">
        <v>35.191559583031854</v>
      </c>
      <c r="I66">
        <v>27.923038179768255</v>
      </c>
      <c r="J66">
        <v>27.888574531950422</v>
      </c>
      <c r="K66">
        <v>40.736269318386505</v>
      </c>
      <c r="L66">
        <v>37.628035672665114</v>
      </c>
      <c r="M66">
        <v>84.787797596291497</v>
      </c>
      <c r="N66">
        <v>5.26802101651118</v>
      </c>
      <c r="P66">
        <v>52.87273759406412</v>
      </c>
      <c r="Q66">
        <v>113.54902495705855</v>
      </c>
      <c r="R66">
        <v>45.736182147962843</v>
      </c>
      <c r="S66">
        <v>46.325336869091274</v>
      </c>
      <c r="T66">
        <v>61.895487555973652</v>
      </c>
      <c r="U66">
        <v>58.396842569518192</v>
      </c>
      <c r="V66">
        <v>68.808986195184318</v>
      </c>
      <c r="W66">
        <v>65.424501732621323</v>
      </c>
      <c r="X66">
        <v>46.855500390338605</v>
      </c>
      <c r="AA66">
        <v>59.038675688836186</v>
      </c>
      <c r="AB66">
        <v>55.713887423716244</v>
      </c>
      <c r="AC66">
        <v>43.953866374056688</v>
      </c>
      <c r="AD66">
        <v>16.98</v>
      </c>
      <c r="AE66">
        <v>37.84049940735823</v>
      </c>
      <c r="AF66">
        <v>97.268543942070252</v>
      </c>
      <c r="AG66">
        <v>-2.7136130000000001</v>
      </c>
      <c r="AH66">
        <v>285.35879249999999</v>
      </c>
      <c r="AI66">
        <v>282.64517949999998</v>
      </c>
    </row>
    <row r="67" spans="1:35">
      <c r="A67" t="s">
        <v>173</v>
      </c>
      <c r="B67">
        <v>107.86345017763884</v>
      </c>
      <c r="C67">
        <v>109.34554558261797</v>
      </c>
      <c r="D67">
        <v>56.133441543724217</v>
      </c>
      <c r="E67">
        <v>70.194359052834329</v>
      </c>
      <c r="F67">
        <v>7.7267612477048253</v>
      </c>
      <c r="G67">
        <v>4.7556841800110812</v>
      </c>
      <c r="H67">
        <v>34.01374547453976</v>
      </c>
      <c r="I67">
        <v>28.074748821183476</v>
      </c>
      <c r="J67">
        <v>28.066446656446953</v>
      </c>
      <c r="K67">
        <v>40.157584144030004</v>
      </c>
      <c r="L67">
        <v>36.802395999367249</v>
      </c>
      <c r="M67">
        <v>84.864585227752642</v>
      </c>
      <c r="N67">
        <v>5.2110403436048891</v>
      </c>
      <c r="P67">
        <v>52.934227017736724</v>
      </c>
      <c r="Q67">
        <v>124.5802178376253</v>
      </c>
      <c r="R67">
        <v>46.124268521272491</v>
      </c>
      <c r="S67">
        <v>46.83756200182885</v>
      </c>
      <c r="T67">
        <v>62.198214648742479</v>
      </c>
      <c r="U67">
        <v>58.635118875696421</v>
      </c>
      <c r="V67">
        <v>69.012635632459563</v>
      </c>
      <c r="W67">
        <v>65.76718080084818</v>
      </c>
      <c r="X67">
        <v>49.456092159442711</v>
      </c>
      <c r="AA67">
        <v>60.318418026286253</v>
      </c>
      <c r="AB67">
        <v>53.918432512168991</v>
      </c>
      <c r="AC67">
        <v>42.253184221502721</v>
      </c>
      <c r="AD67">
        <v>16.13</v>
      </c>
      <c r="AE67">
        <v>35.721733826715841</v>
      </c>
      <c r="AF67">
        <v>95.244239199735134</v>
      </c>
      <c r="AG67">
        <v>-0.78303990000000001</v>
      </c>
      <c r="AH67">
        <v>285.15575919999998</v>
      </c>
      <c r="AI67">
        <v>284.37271930000003</v>
      </c>
    </row>
    <row r="68" spans="1:35">
      <c r="A68" t="s">
        <v>174</v>
      </c>
      <c r="B68">
        <v>107.86020006127514</v>
      </c>
      <c r="C68">
        <v>109.2693078580359</v>
      </c>
      <c r="D68">
        <v>56.459388781459076</v>
      </c>
      <c r="E68">
        <v>70.69851639534096</v>
      </c>
      <c r="F68">
        <v>7.8508183652594186</v>
      </c>
      <c r="G68">
        <v>4.7992206030338993</v>
      </c>
      <c r="H68">
        <v>34.131349456292185</v>
      </c>
      <c r="I68">
        <v>28.21578578265559</v>
      </c>
      <c r="J68">
        <v>28.154878846908648</v>
      </c>
      <c r="K68">
        <v>40.669574984303367</v>
      </c>
      <c r="L68">
        <v>36.947352160935374</v>
      </c>
      <c r="M68">
        <v>84.965751864213175</v>
      </c>
      <c r="N68">
        <v>5.1468479647159251</v>
      </c>
      <c r="P68">
        <v>53.479947503178501</v>
      </c>
      <c r="Q68">
        <v>115.41444616141325</v>
      </c>
      <c r="R68">
        <v>47.4825708278563</v>
      </c>
      <c r="S68">
        <v>47.507241815546855</v>
      </c>
      <c r="T68">
        <v>62.580409720658793</v>
      </c>
      <c r="U68">
        <v>58.796529091527148</v>
      </c>
      <c r="V68">
        <v>69.164486637017376</v>
      </c>
      <c r="W68">
        <v>66.159581474558024</v>
      </c>
      <c r="X68">
        <v>51.566031655959783</v>
      </c>
      <c r="AA68">
        <v>60.599171055741927</v>
      </c>
      <c r="AB68">
        <v>54.329295533468375</v>
      </c>
      <c r="AC68">
        <v>43.182173332271233</v>
      </c>
      <c r="AD68">
        <v>16.48</v>
      </c>
      <c r="AE68">
        <v>36.159546683340288</v>
      </c>
      <c r="AF68">
        <v>93.879743992464213</v>
      </c>
      <c r="AG68">
        <v>-1.4221676999999999</v>
      </c>
      <c r="AH68">
        <v>290.27848369999998</v>
      </c>
      <c r="AI68">
        <v>288.85631599999999</v>
      </c>
    </row>
    <row r="69" spans="1:35">
      <c r="A69" t="s">
        <v>175</v>
      </c>
      <c r="B69">
        <v>110.71390408485901</v>
      </c>
      <c r="C69">
        <v>112.32112718232028</v>
      </c>
      <c r="D69">
        <v>56.956637090598825</v>
      </c>
      <c r="E69">
        <v>71.21252625013544</v>
      </c>
      <c r="F69">
        <v>7.897876317068607</v>
      </c>
      <c r="G69">
        <v>5.1570521646221801</v>
      </c>
      <c r="H69">
        <v>33.039958371608435</v>
      </c>
      <c r="I69">
        <v>28.341237542736636</v>
      </c>
      <c r="J69">
        <v>28.153997895748827</v>
      </c>
      <c r="K69">
        <v>38.880230396698124</v>
      </c>
      <c r="L69">
        <v>35.693101394778523</v>
      </c>
      <c r="M69">
        <v>85.070043377408084</v>
      </c>
      <c r="N69">
        <v>5.0729819484457179</v>
      </c>
      <c r="P69">
        <v>53.581797881525432</v>
      </c>
      <c r="Q69">
        <v>106.5858379917746</v>
      </c>
      <c r="R69">
        <v>47.288527641201462</v>
      </c>
      <c r="S69">
        <v>48.252156487141526</v>
      </c>
      <c r="T69">
        <v>62.937186141856984</v>
      </c>
      <c r="U69">
        <v>59.041265685710052</v>
      </c>
      <c r="V69">
        <v>69.343079841061083</v>
      </c>
      <c r="W69">
        <v>63.450015240714649</v>
      </c>
      <c r="X69">
        <v>56.15808771844128</v>
      </c>
      <c r="AA69">
        <v>59.855395277197424</v>
      </c>
      <c r="AB69">
        <v>54.331558914064786</v>
      </c>
      <c r="AC69">
        <v>44.50720024558521</v>
      </c>
      <c r="AD69">
        <v>17.2</v>
      </c>
      <c r="AE69">
        <v>37.907162664801128</v>
      </c>
      <c r="AF69">
        <v>94.575506555688889</v>
      </c>
      <c r="AG69">
        <v>-3.0796019000000001</v>
      </c>
      <c r="AH69">
        <v>298.93357520000001</v>
      </c>
      <c r="AI69">
        <v>295.85397330000001</v>
      </c>
    </row>
    <row r="70" spans="1:35">
      <c r="A70" t="s">
        <v>176</v>
      </c>
      <c r="B70">
        <v>111.36715886638551</v>
      </c>
      <c r="C70">
        <v>112.89210978651064</v>
      </c>
      <c r="D70">
        <v>57.565077390186794</v>
      </c>
      <c r="E70">
        <v>71.904966203020564</v>
      </c>
      <c r="F70">
        <v>7.8146515875970612</v>
      </c>
      <c r="G70">
        <v>5.2570623602398205</v>
      </c>
      <c r="H70">
        <v>33.33701050761718</v>
      </c>
      <c r="I70">
        <v>28.492526463489572</v>
      </c>
      <c r="J70">
        <v>28.186370686776531</v>
      </c>
      <c r="K70">
        <v>38.557300787544662</v>
      </c>
      <c r="L70">
        <v>35.748417025351962</v>
      </c>
      <c r="M70">
        <v>85.14399954218753</v>
      </c>
      <c r="N70">
        <v>5.0149306131929627</v>
      </c>
      <c r="O70">
        <v>39.488625204943375</v>
      </c>
      <c r="P70">
        <v>54.610052567799329</v>
      </c>
      <c r="Q70">
        <v>94.983662065458944</v>
      </c>
      <c r="R70">
        <v>50.593142549889869</v>
      </c>
      <c r="S70">
        <v>48.850306889675522</v>
      </c>
      <c r="T70">
        <v>63.266464136035005</v>
      </c>
      <c r="U70">
        <v>59.17736756365035</v>
      </c>
      <c r="V70">
        <v>69.48290640634437</v>
      </c>
      <c r="W70">
        <v>68.608014255992131</v>
      </c>
      <c r="X70">
        <v>58.490421847791005</v>
      </c>
      <c r="AA70">
        <v>62.504773680755051</v>
      </c>
      <c r="AB70">
        <v>55.710088780407538</v>
      </c>
      <c r="AC70">
        <v>43.190541077078102</v>
      </c>
      <c r="AD70">
        <v>16.13</v>
      </c>
      <c r="AE70">
        <v>36.027206828555492</v>
      </c>
      <c r="AF70">
        <v>98.501305285198157</v>
      </c>
      <c r="AG70">
        <v>-5.6165649000000002</v>
      </c>
      <c r="AH70">
        <v>305.45266020000003</v>
      </c>
      <c r="AI70">
        <v>299.83609530000001</v>
      </c>
    </row>
    <row r="71" spans="1:35">
      <c r="A71" t="s">
        <v>177</v>
      </c>
      <c r="B71">
        <v>110.90380301712163</v>
      </c>
      <c r="C71">
        <v>112.58696229159416</v>
      </c>
      <c r="D71">
        <v>57.474732588247669</v>
      </c>
      <c r="E71">
        <v>71.457009019599809</v>
      </c>
      <c r="F71">
        <v>7.8397829914639727</v>
      </c>
      <c r="G71">
        <v>6.1327358436942907</v>
      </c>
      <c r="H71">
        <v>32.413486053733024</v>
      </c>
      <c r="I71">
        <v>28.536322368537249</v>
      </c>
      <c r="J71">
        <v>28.034227377308259</v>
      </c>
      <c r="K71">
        <v>37.174583594079849</v>
      </c>
      <c r="L71">
        <v>34.496025427109601</v>
      </c>
      <c r="M71">
        <v>85.075251055826428</v>
      </c>
      <c r="N71">
        <v>5.4367978378048889</v>
      </c>
      <c r="O71">
        <v>39.415613423897291</v>
      </c>
      <c r="P71">
        <v>55.249719029751887</v>
      </c>
      <c r="Q71">
        <v>97.049685073310002</v>
      </c>
      <c r="R71">
        <v>52.858939972714971</v>
      </c>
      <c r="S71">
        <v>49.404434975956882</v>
      </c>
      <c r="T71">
        <v>63.618518139016381</v>
      </c>
      <c r="U71">
        <v>59.368090314076838</v>
      </c>
      <c r="V71">
        <v>69.712830635301898</v>
      </c>
      <c r="W71">
        <v>66.717330829175069</v>
      </c>
      <c r="X71">
        <v>62.257141407436677</v>
      </c>
      <c r="AA71">
        <v>62.768986494466866</v>
      </c>
      <c r="AB71">
        <v>54.838873608424343</v>
      </c>
      <c r="AC71">
        <v>44.373291606089332</v>
      </c>
      <c r="AD71">
        <v>16.88</v>
      </c>
      <c r="AE71">
        <v>37.336546807306469</v>
      </c>
      <c r="AF71">
        <v>101.29930827411933</v>
      </c>
      <c r="AG71">
        <v>3.1833630999999998</v>
      </c>
      <c r="AH71">
        <v>299.53427570000002</v>
      </c>
      <c r="AI71">
        <v>302.71763879999997</v>
      </c>
    </row>
    <row r="72" spans="1:35">
      <c r="A72" t="s">
        <v>178</v>
      </c>
      <c r="B72">
        <v>110.38771736552964</v>
      </c>
      <c r="C72">
        <v>111.98677148549299</v>
      </c>
      <c r="D72">
        <v>57.515648136979749</v>
      </c>
      <c r="E72">
        <v>71.655345343610122</v>
      </c>
      <c r="F72">
        <v>7.6446537461476414</v>
      </c>
      <c r="G72">
        <v>6.363843762834489</v>
      </c>
      <c r="H72">
        <v>32.171377116729737</v>
      </c>
      <c r="I72">
        <v>28.696035481821802</v>
      </c>
      <c r="J72">
        <v>28.240754329873248</v>
      </c>
      <c r="K72">
        <v>37.069574392292751</v>
      </c>
      <c r="L72">
        <v>34.231581207698987</v>
      </c>
      <c r="M72">
        <v>85.153995170104679</v>
      </c>
      <c r="N72">
        <v>5.4072631292844768</v>
      </c>
      <c r="O72">
        <v>39.547833912441618</v>
      </c>
      <c r="P72">
        <v>55.627551948427389</v>
      </c>
      <c r="Q72">
        <v>97.775146868493096</v>
      </c>
      <c r="R72">
        <v>53.603752310817868</v>
      </c>
      <c r="S72">
        <v>49.899428167085112</v>
      </c>
      <c r="T72">
        <v>63.893935257192616</v>
      </c>
      <c r="U72">
        <v>59.660280888312165</v>
      </c>
      <c r="V72">
        <v>69.977294273745585</v>
      </c>
      <c r="W72">
        <v>67.49890134518516</v>
      </c>
      <c r="X72">
        <v>58.108060785847577</v>
      </c>
      <c r="AA72">
        <v>62.636418505515138</v>
      </c>
      <c r="AB72">
        <v>56.037268637296329</v>
      </c>
      <c r="AC72">
        <v>45.489406339426857</v>
      </c>
      <c r="AD72">
        <v>17.440000000000001</v>
      </c>
      <c r="AE72">
        <v>38.272142051795036</v>
      </c>
      <c r="AF72">
        <v>104.03087795540624</v>
      </c>
      <c r="AG72">
        <v>4.1074070000000003</v>
      </c>
      <c r="AH72">
        <v>309.05592810000002</v>
      </c>
      <c r="AI72">
        <v>313.16333509999998</v>
      </c>
    </row>
    <row r="73" spans="1:35">
      <c r="A73" t="s">
        <v>179</v>
      </c>
      <c r="B73">
        <v>110.49891530479651</v>
      </c>
      <c r="C73">
        <v>112.12917342449671</v>
      </c>
      <c r="D73">
        <v>57.347459122112888</v>
      </c>
      <c r="E73">
        <v>71.728708411331951</v>
      </c>
      <c r="F73">
        <v>7.537764906842682</v>
      </c>
      <c r="G73">
        <v>8.4190572381949078</v>
      </c>
      <c r="H73">
        <v>32.56976428042033</v>
      </c>
      <c r="I73">
        <v>28.802972866341236</v>
      </c>
      <c r="J73">
        <v>28.271584676178875</v>
      </c>
      <c r="K73">
        <v>38.667632201639407</v>
      </c>
      <c r="L73">
        <v>34.74634026714417</v>
      </c>
      <c r="M73">
        <v>85.205559884581689</v>
      </c>
      <c r="N73">
        <v>5.4150873772973833</v>
      </c>
      <c r="O73">
        <v>39.877015773092154</v>
      </c>
      <c r="P73">
        <v>56.227396522556631</v>
      </c>
      <c r="Q73">
        <v>103.37786962108939</v>
      </c>
      <c r="R73">
        <v>54.332884444662554</v>
      </c>
      <c r="S73">
        <v>50.446870481774994</v>
      </c>
      <c r="T73">
        <v>64.194303077626842</v>
      </c>
      <c r="U73">
        <v>59.975763860507172</v>
      </c>
      <c r="V73">
        <v>70.20176496972195</v>
      </c>
      <c r="W73">
        <v>68.659738081291437</v>
      </c>
      <c r="X73">
        <v>56.360972381353562</v>
      </c>
      <c r="AA73">
        <v>63.508448459682853</v>
      </c>
      <c r="AB73">
        <v>57.181878122737871</v>
      </c>
      <c r="AC73">
        <v>45.695541746318412</v>
      </c>
      <c r="AD73">
        <v>17.350000000000001</v>
      </c>
      <c r="AE73">
        <v>36.642290087618186</v>
      </c>
      <c r="AF73">
        <v>108.30470636352796</v>
      </c>
      <c r="AG73">
        <v>1.3783586999999999</v>
      </c>
      <c r="AH73">
        <v>320.48248799999999</v>
      </c>
      <c r="AI73">
        <v>321.86084670000002</v>
      </c>
    </row>
    <row r="74" spans="1:35">
      <c r="A74" t="s">
        <v>180</v>
      </c>
      <c r="B74">
        <v>111.52694168583848</v>
      </c>
      <c r="C74">
        <v>113.29581733464157</v>
      </c>
      <c r="D74">
        <v>57.899505722161649</v>
      </c>
      <c r="E74">
        <v>72.117436014413698</v>
      </c>
      <c r="F74">
        <v>7.3049386726850258</v>
      </c>
      <c r="G74">
        <v>8.2964216896391907</v>
      </c>
      <c r="H74">
        <v>33.727903112847571</v>
      </c>
      <c r="I74">
        <v>28.970466424175477</v>
      </c>
      <c r="J74">
        <v>28.428161036848127</v>
      </c>
      <c r="K74">
        <v>40.002382265604489</v>
      </c>
      <c r="L74">
        <v>35.575471702650944</v>
      </c>
      <c r="M74">
        <v>85.258503890180165</v>
      </c>
      <c r="N74">
        <v>5.4462743142296448</v>
      </c>
      <c r="O74">
        <v>39.747962825169608</v>
      </c>
      <c r="P74">
        <v>56.7534363655856</v>
      </c>
      <c r="Q74">
        <v>101.5461698085421</v>
      </c>
      <c r="R74">
        <v>53.63511271933428</v>
      </c>
      <c r="S74">
        <v>51.027783953613557</v>
      </c>
      <c r="T74">
        <v>64.537500021928921</v>
      </c>
      <c r="U74">
        <v>60.375456979151686</v>
      </c>
      <c r="V74">
        <v>70.516042054477381</v>
      </c>
      <c r="W74">
        <v>66.095772497048074</v>
      </c>
      <c r="X74">
        <v>56.665862304229819</v>
      </c>
      <c r="AA74">
        <v>62.564065858057837</v>
      </c>
      <c r="AB74">
        <v>59.470228889725483</v>
      </c>
      <c r="AC74">
        <v>48.348509920657854</v>
      </c>
      <c r="AD74">
        <v>18.77</v>
      </c>
      <c r="AE74">
        <v>38.604329604921567</v>
      </c>
      <c r="AF74">
        <v>109.41538782758202</v>
      </c>
      <c r="AG74">
        <v>0.22661210000000001</v>
      </c>
      <c r="AH74">
        <v>323.02043959999997</v>
      </c>
      <c r="AI74">
        <v>323.24705169999999</v>
      </c>
    </row>
    <row r="75" spans="1:35">
      <c r="A75" t="s">
        <v>181</v>
      </c>
      <c r="B75">
        <v>110.91755863206205</v>
      </c>
      <c r="C75">
        <v>112.5856018372926</v>
      </c>
      <c r="D75">
        <v>57.75931431540986</v>
      </c>
      <c r="E75">
        <v>71.911926763427701</v>
      </c>
      <c r="F75">
        <v>6.9200554482842493</v>
      </c>
      <c r="G75">
        <v>7.4143552238999373</v>
      </c>
      <c r="H75">
        <v>34.137369397372844</v>
      </c>
      <c r="I75">
        <v>29.215052979780872</v>
      </c>
      <c r="J75">
        <v>28.581313815458088</v>
      </c>
      <c r="K75">
        <v>40.578073226758001</v>
      </c>
      <c r="L75">
        <v>36.252113405810455</v>
      </c>
      <c r="M75">
        <v>85.288529664720713</v>
      </c>
      <c r="N75">
        <v>5.4305378621666334</v>
      </c>
      <c r="O75">
        <v>40.330190865117203</v>
      </c>
      <c r="P75">
        <v>55.984419487969959</v>
      </c>
      <c r="Q75">
        <v>99.308713762918188</v>
      </c>
      <c r="R75">
        <v>54.826577441743702</v>
      </c>
      <c r="S75">
        <v>51.583829977302841</v>
      </c>
      <c r="T75">
        <v>64.830805208062074</v>
      </c>
      <c r="U75">
        <v>60.756571701048244</v>
      </c>
      <c r="V75">
        <v>70.762360613948047</v>
      </c>
      <c r="W75">
        <v>65.280024784842624</v>
      </c>
      <c r="X75">
        <v>54.931480490855186</v>
      </c>
      <c r="AA75">
        <v>61.568632172511009</v>
      </c>
      <c r="AB75">
        <v>59.408657986328087</v>
      </c>
      <c r="AC75">
        <v>47.906999145267804</v>
      </c>
      <c r="AD75">
        <v>18.43</v>
      </c>
      <c r="AE75">
        <v>38.35031584106256</v>
      </c>
      <c r="AF75">
        <v>109.4025517285279</v>
      </c>
      <c r="AG75">
        <v>-3.8338895999999925</v>
      </c>
      <c r="AH75">
        <v>330.94825909999997</v>
      </c>
      <c r="AI75">
        <v>327.11436950000001</v>
      </c>
    </row>
    <row r="76" spans="1:35">
      <c r="A76" t="s">
        <v>182</v>
      </c>
      <c r="B76">
        <v>109.14278725065593</v>
      </c>
      <c r="C76">
        <v>110.63531887735134</v>
      </c>
      <c r="D76">
        <v>58.028911297567923</v>
      </c>
      <c r="E76">
        <v>72.071151695985648</v>
      </c>
      <c r="F76">
        <v>6.6708559115116124</v>
      </c>
      <c r="G76">
        <v>7.0818613180530763</v>
      </c>
      <c r="H76">
        <v>33.879404096247804</v>
      </c>
      <c r="I76">
        <v>29.466037709449772</v>
      </c>
      <c r="J76">
        <v>28.671095864572333</v>
      </c>
      <c r="K76">
        <v>40.699815659949088</v>
      </c>
      <c r="L76">
        <v>36.401406585236884</v>
      </c>
      <c r="M76">
        <v>85.362090905069181</v>
      </c>
      <c r="N76">
        <v>5.4638961504084111</v>
      </c>
      <c r="O76">
        <v>40.651285892844257</v>
      </c>
      <c r="P76">
        <v>55.3221922570375</v>
      </c>
      <c r="Q76">
        <v>91.23040859851875</v>
      </c>
      <c r="R76">
        <v>56.168102298788533</v>
      </c>
      <c r="S76">
        <v>52.129563000373814</v>
      </c>
      <c r="T76">
        <v>65.169914025217906</v>
      </c>
      <c r="U76">
        <v>61.100713994955072</v>
      </c>
      <c r="V76">
        <v>71.036552936358632</v>
      </c>
      <c r="W76">
        <v>66.25776481082444</v>
      </c>
      <c r="X76">
        <v>57.080114821871383</v>
      </c>
      <c r="AA76">
        <v>61.632772187018915</v>
      </c>
      <c r="AB76">
        <v>59.630732110990394</v>
      </c>
      <c r="AC76">
        <v>46.194100334287135</v>
      </c>
      <c r="AD76">
        <v>17.329999999999998</v>
      </c>
      <c r="AE76">
        <v>35.945168830645862</v>
      </c>
      <c r="AF76">
        <v>105.08598354303679</v>
      </c>
      <c r="AG76">
        <v>-3.3441160000000076</v>
      </c>
      <c r="AH76">
        <v>332.83311909999998</v>
      </c>
      <c r="AI76">
        <v>329.48900309999999</v>
      </c>
    </row>
    <row r="77" spans="1:35">
      <c r="A77" t="s">
        <v>183</v>
      </c>
      <c r="B77">
        <v>110.55500453664352</v>
      </c>
      <c r="C77">
        <v>112.3574123365356</v>
      </c>
      <c r="D77">
        <v>57.985484689985419</v>
      </c>
      <c r="E77">
        <v>71.873657137802113</v>
      </c>
      <c r="F77">
        <v>6.693010547415688</v>
      </c>
      <c r="G77">
        <v>6.6002929926772911</v>
      </c>
      <c r="H77">
        <v>36.019982022400143</v>
      </c>
      <c r="I77">
        <v>29.669955556357554</v>
      </c>
      <c r="J77">
        <v>28.838710565850885</v>
      </c>
      <c r="K77">
        <v>42.550531276207671</v>
      </c>
      <c r="L77">
        <v>38.35882707586638</v>
      </c>
      <c r="M77">
        <v>85.462837389912991</v>
      </c>
      <c r="N77">
        <v>5.4885637361818773</v>
      </c>
      <c r="O77">
        <v>40.759687513466439</v>
      </c>
      <c r="P77">
        <v>54.811747402932149</v>
      </c>
      <c r="Q77">
        <v>85.907980678884783</v>
      </c>
      <c r="R77">
        <v>57.345846499813071</v>
      </c>
      <c r="S77">
        <v>52.5941274587965</v>
      </c>
      <c r="T77">
        <v>65.388823323817277</v>
      </c>
      <c r="U77">
        <v>61.383120130535488</v>
      </c>
      <c r="V77">
        <v>71.251063397591693</v>
      </c>
      <c r="W77">
        <v>69.142120375362097</v>
      </c>
      <c r="X77">
        <v>59.434986206061218</v>
      </c>
      <c r="AA77">
        <v>62.604647551990148</v>
      </c>
      <c r="AB77">
        <v>56.584449182959688</v>
      </c>
      <c r="AC77">
        <v>43.539517323496952</v>
      </c>
      <c r="AD77">
        <v>16.059999999999999</v>
      </c>
      <c r="AE77">
        <v>33.429677147035768</v>
      </c>
      <c r="AF77">
        <v>99.109048904983482</v>
      </c>
      <c r="AG77">
        <v>-5.7647055999999921</v>
      </c>
      <c r="AH77">
        <v>329.44199029999999</v>
      </c>
      <c r="AI77">
        <v>323.67728469999997</v>
      </c>
    </row>
    <row r="78" spans="1:35">
      <c r="A78" t="s">
        <v>184</v>
      </c>
      <c r="B78">
        <v>110.66806863155023</v>
      </c>
      <c r="C78">
        <v>112.56353660763114</v>
      </c>
      <c r="D78">
        <v>58.209260864735377</v>
      </c>
      <c r="E78">
        <v>72.22838763272803</v>
      </c>
      <c r="F78">
        <v>6.7261650484825211</v>
      </c>
      <c r="G78">
        <v>6.4414956536888255</v>
      </c>
      <c r="H78">
        <v>36.370712023802994</v>
      </c>
      <c r="I78">
        <v>29.913572335831212</v>
      </c>
      <c r="J78">
        <v>29.089116875243548</v>
      </c>
      <c r="K78">
        <v>41.621094658701352</v>
      </c>
      <c r="L78">
        <v>38.774765641191848</v>
      </c>
      <c r="M78">
        <v>85.493819373074089</v>
      </c>
      <c r="N78">
        <v>5.5119175872854642</v>
      </c>
      <c r="O78">
        <v>40.794863342066087</v>
      </c>
      <c r="P78">
        <v>55.035556446828252</v>
      </c>
      <c r="Q78">
        <v>91.565361552558358</v>
      </c>
      <c r="R78">
        <v>56.875281935804693</v>
      </c>
      <c r="S78">
        <v>52.989184887705235</v>
      </c>
      <c r="T78">
        <v>65.60924835208246</v>
      </c>
      <c r="U78">
        <v>61.628305892439585</v>
      </c>
      <c r="V78">
        <v>71.478600629322543</v>
      </c>
      <c r="W78">
        <v>68.893005437799076</v>
      </c>
      <c r="X78">
        <v>59.841722869704718</v>
      </c>
      <c r="AA78">
        <v>62.502540831707471</v>
      </c>
      <c r="AB78">
        <v>56.564251934447924</v>
      </c>
      <c r="AC78">
        <v>44.23475515642766</v>
      </c>
      <c r="AD78">
        <v>16.489999999999998</v>
      </c>
      <c r="AE78">
        <v>35.389869399221283</v>
      </c>
      <c r="AF78">
        <v>94.680056597015991</v>
      </c>
      <c r="AG78">
        <v>-3.7470304000000074</v>
      </c>
      <c r="AH78">
        <v>331.29168729999998</v>
      </c>
      <c r="AI78">
        <v>327.54465690000001</v>
      </c>
    </row>
    <row r="79" spans="1:35">
      <c r="A79" t="s">
        <v>185</v>
      </c>
      <c r="B79">
        <v>109.41102743564562</v>
      </c>
      <c r="C79">
        <v>111.13752312759627</v>
      </c>
      <c r="D79">
        <v>58.264275919638763</v>
      </c>
      <c r="E79">
        <v>72.257229767448294</v>
      </c>
      <c r="F79">
        <v>6.5035451775756847</v>
      </c>
      <c r="G79">
        <v>6.2547846379521692</v>
      </c>
      <c r="H79">
        <v>36.778788039787784</v>
      </c>
      <c r="I79">
        <v>30.124827998249721</v>
      </c>
      <c r="J79">
        <v>29.226491535320214</v>
      </c>
      <c r="K79">
        <v>42.487473778468171</v>
      </c>
      <c r="L79">
        <v>39.575075848207184</v>
      </c>
      <c r="M79">
        <v>85.550290716302385</v>
      </c>
      <c r="N79">
        <v>5.5316573725855624</v>
      </c>
      <c r="O79">
        <v>41.013483656104704</v>
      </c>
      <c r="P79">
        <v>55.088733706412384</v>
      </c>
      <c r="Q79">
        <v>83.065100641748998</v>
      </c>
      <c r="R79">
        <v>57.089474264006455</v>
      </c>
      <c r="S79">
        <v>53.432556387013278</v>
      </c>
      <c r="T79">
        <v>65.915281576532976</v>
      </c>
      <c r="U79">
        <v>61.945683863036891</v>
      </c>
      <c r="V79">
        <v>71.743845466656367</v>
      </c>
      <c r="W79">
        <v>69.282698255902872</v>
      </c>
      <c r="X79">
        <v>57.060502896598351</v>
      </c>
      <c r="AA79">
        <v>62.079171359964143</v>
      </c>
      <c r="AB79">
        <v>57.975905458624538</v>
      </c>
      <c r="AC79">
        <v>44.977245033442884</v>
      </c>
      <c r="AD79">
        <v>16.77</v>
      </c>
      <c r="AE79">
        <v>36.631647691647039</v>
      </c>
      <c r="AF79">
        <v>95.414814123854654</v>
      </c>
      <c r="AG79">
        <v>-0.12864940000000571</v>
      </c>
      <c r="AH79">
        <v>330.09236249999998</v>
      </c>
      <c r="AI79">
        <v>329.96371310000001</v>
      </c>
    </row>
    <row r="80" spans="1:35">
      <c r="A80" t="s">
        <v>186</v>
      </c>
      <c r="B80">
        <v>109.1588167915083</v>
      </c>
      <c r="C80">
        <v>110.85588504957117</v>
      </c>
      <c r="D80">
        <v>58.076944892259988</v>
      </c>
      <c r="E80">
        <v>72.066759092049395</v>
      </c>
      <c r="F80">
        <v>6.4594723282814313</v>
      </c>
      <c r="G80">
        <v>6.4736416186886157</v>
      </c>
      <c r="H80">
        <v>36.202352320078568</v>
      </c>
      <c r="I80">
        <v>30.310816685913473</v>
      </c>
      <c r="J80">
        <v>29.310225627222437</v>
      </c>
      <c r="K80">
        <v>41.372956924668316</v>
      </c>
      <c r="L80">
        <v>38.98129292119382</v>
      </c>
      <c r="M80">
        <v>85.585553535017027</v>
      </c>
      <c r="N80">
        <v>5.6014228909732404</v>
      </c>
      <c r="O80">
        <v>40.640586642509298</v>
      </c>
      <c r="P80">
        <v>55.007793271750849</v>
      </c>
      <c r="Q80">
        <v>81.486559856871153</v>
      </c>
      <c r="R80">
        <v>56.978301246798424</v>
      </c>
      <c r="S80">
        <v>53.766460600095677</v>
      </c>
      <c r="T80">
        <v>66.068576239299119</v>
      </c>
      <c r="U80">
        <v>62.189655078074992</v>
      </c>
      <c r="V80">
        <v>71.913562846252162</v>
      </c>
      <c r="W80">
        <v>70.55360814190098</v>
      </c>
      <c r="X80">
        <v>55.276278005039337</v>
      </c>
      <c r="AA80">
        <v>62.292010801184311</v>
      </c>
      <c r="AB80">
        <v>60.551889702664639</v>
      </c>
      <c r="AC80">
        <v>44.471359547477618</v>
      </c>
      <c r="AD80">
        <v>16.18</v>
      </c>
      <c r="AE80">
        <v>35.006634553204343</v>
      </c>
      <c r="AF80">
        <v>93.782377857820066</v>
      </c>
      <c r="AG80">
        <v>-5.0094898000000079</v>
      </c>
      <c r="AH80">
        <v>333.34947499999998</v>
      </c>
      <c r="AI80">
        <v>328.3399852</v>
      </c>
    </row>
    <row r="81" spans="1:35">
      <c r="A81" t="s">
        <v>187</v>
      </c>
      <c r="B81">
        <v>110.38651944988706</v>
      </c>
      <c r="C81">
        <v>112.2548501242167</v>
      </c>
      <c r="D81">
        <v>58.613987762428799</v>
      </c>
      <c r="E81">
        <v>72.603682932540949</v>
      </c>
      <c r="F81">
        <v>6.2990660084435222</v>
      </c>
      <c r="G81">
        <v>6.8780033370649969</v>
      </c>
      <c r="H81">
        <v>37.516156945974274</v>
      </c>
      <c r="I81">
        <v>30.561888049538471</v>
      </c>
      <c r="J81">
        <v>29.463673616508078</v>
      </c>
      <c r="K81">
        <v>42.333186758253206</v>
      </c>
      <c r="L81">
        <v>40.165441264396186</v>
      </c>
      <c r="M81">
        <v>85.626184072423484</v>
      </c>
      <c r="N81">
        <v>5.6031646407787878</v>
      </c>
      <c r="O81">
        <v>41.193389026705773</v>
      </c>
      <c r="P81">
        <v>55.877563743774253</v>
      </c>
      <c r="Q81">
        <v>80.893213148557521</v>
      </c>
      <c r="R81">
        <v>56.242112862887282</v>
      </c>
      <c r="S81">
        <v>54.079365999738137</v>
      </c>
      <c r="T81">
        <v>66.285527835705111</v>
      </c>
      <c r="U81">
        <v>62.428799839083062</v>
      </c>
      <c r="V81">
        <v>72.128644764139921</v>
      </c>
      <c r="W81">
        <v>70.063595419175371</v>
      </c>
      <c r="X81">
        <v>57.043952520856621</v>
      </c>
      <c r="AA81">
        <v>62.825797014609876</v>
      </c>
      <c r="AB81">
        <v>62.477885857780045</v>
      </c>
      <c r="AC81">
        <v>45.827122627328947</v>
      </c>
      <c r="AD81">
        <v>16.82</v>
      </c>
      <c r="AE81">
        <v>36.468002702290654</v>
      </c>
      <c r="AF81">
        <v>98.19984092696474</v>
      </c>
      <c r="AG81">
        <v>-1.6660195</v>
      </c>
      <c r="AH81">
        <v>335.68823570000001</v>
      </c>
      <c r="AI81">
        <v>334.0222162</v>
      </c>
    </row>
    <row r="82" spans="1:35">
      <c r="A82" t="s">
        <v>188</v>
      </c>
      <c r="B82">
        <v>109.79852881919203</v>
      </c>
      <c r="C82">
        <v>111.55093344943486</v>
      </c>
      <c r="D82">
        <v>59.094308113115609</v>
      </c>
      <c r="E82">
        <v>73.268008373845788</v>
      </c>
      <c r="F82">
        <v>6.0884121638840778</v>
      </c>
      <c r="G82">
        <v>6.6518812188688106</v>
      </c>
      <c r="H82">
        <v>38.554619665305765</v>
      </c>
      <c r="I82">
        <v>30.83620249182707</v>
      </c>
      <c r="J82">
        <v>29.741424347653812</v>
      </c>
      <c r="K82">
        <v>43.42574586592653</v>
      </c>
      <c r="L82">
        <v>41.38689150630708</v>
      </c>
      <c r="M82">
        <v>85.681937464160612</v>
      </c>
      <c r="N82">
        <v>5.5857352663223985</v>
      </c>
      <c r="O82">
        <v>41.324239429024445</v>
      </c>
      <c r="P82">
        <v>58.585915457849239</v>
      </c>
      <c r="Q82">
        <v>70.777222605920215</v>
      </c>
      <c r="R82">
        <v>55.24814128837005</v>
      </c>
      <c r="S82">
        <v>54.316273133715519</v>
      </c>
      <c r="T82">
        <v>66.476459645415204</v>
      </c>
      <c r="U82">
        <v>62.646537536700208</v>
      </c>
      <c r="V82">
        <v>72.287240319557569</v>
      </c>
      <c r="W82">
        <v>75.458272083219398</v>
      </c>
      <c r="X82">
        <v>56.148455765846599</v>
      </c>
      <c r="AA82">
        <v>64.724125176973502</v>
      </c>
      <c r="AB82">
        <v>71.797001069125898</v>
      </c>
      <c r="AC82">
        <v>49.707152621633746</v>
      </c>
      <c r="AD82">
        <v>17.93</v>
      </c>
      <c r="AE82">
        <v>39.144151828399991</v>
      </c>
      <c r="AF82">
        <v>96.946359046443177</v>
      </c>
      <c r="AG82">
        <v>-0.93134900000000187</v>
      </c>
      <c r="AH82">
        <v>333.1198172</v>
      </c>
      <c r="AI82">
        <v>332.18846819999999</v>
      </c>
    </row>
    <row r="83" spans="1:35">
      <c r="A83" t="s">
        <v>189</v>
      </c>
      <c r="B83">
        <v>107.41082489876797</v>
      </c>
      <c r="C83">
        <v>108.48628398919504</v>
      </c>
      <c r="D83">
        <v>59.098676703298082</v>
      </c>
      <c r="E83">
        <v>72.875790860970511</v>
      </c>
      <c r="F83">
        <v>5.9344987789797026</v>
      </c>
      <c r="G83">
        <v>6.5367060726369699</v>
      </c>
      <c r="H83">
        <v>40.943838156330422</v>
      </c>
      <c r="I83">
        <v>31.051475561076231</v>
      </c>
      <c r="J83">
        <v>29.683046480638325</v>
      </c>
      <c r="K83">
        <v>44.704706644784842</v>
      </c>
      <c r="L83">
        <v>43.185597904388068</v>
      </c>
      <c r="M83">
        <v>86.115799581293842</v>
      </c>
      <c r="N83">
        <v>5.5118128309471643</v>
      </c>
      <c r="O83">
        <v>41.187612122600491</v>
      </c>
      <c r="P83">
        <v>58.092808354053119</v>
      </c>
      <c r="Q83">
        <v>70.427523156497429</v>
      </c>
      <c r="R83">
        <v>55.060605412840758</v>
      </c>
      <c r="S83">
        <v>54.664658334399199</v>
      </c>
      <c r="T83">
        <v>66.784207743393324</v>
      </c>
      <c r="U83">
        <v>63.024337803524134</v>
      </c>
      <c r="V83">
        <v>72.568047478670437</v>
      </c>
      <c r="W83">
        <v>73.947707069248779</v>
      </c>
      <c r="X83">
        <v>53.667571328328684</v>
      </c>
      <c r="AA83">
        <v>63.530630670752899</v>
      </c>
      <c r="AB83">
        <v>75.84808869944365</v>
      </c>
      <c r="AC83">
        <v>50.227137921674121</v>
      </c>
      <c r="AD83">
        <v>17.79</v>
      </c>
      <c r="AE83">
        <v>39.282489522899283</v>
      </c>
      <c r="AF83">
        <v>95.346221106424963</v>
      </c>
      <c r="AG83">
        <v>-7.082575300000002</v>
      </c>
      <c r="AH83">
        <v>341.02939559999999</v>
      </c>
      <c r="AI83">
        <v>333.94682030000001</v>
      </c>
    </row>
    <row r="84" spans="1:35">
      <c r="A84" t="s">
        <v>190</v>
      </c>
      <c r="B84">
        <v>109.50229357284255</v>
      </c>
      <c r="C84">
        <v>110.84510951218738</v>
      </c>
      <c r="D84">
        <v>58.980648234996295</v>
      </c>
      <c r="E84">
        <v>73.064532907669417</v>
      </c>
      <c r="F84">
        <v>6.1093562182718273</v>
      </c>
      <c r="G84">
        <v>6.4448186977408106</v>
      </c>
      <c r="H84">
        <v>40.822844361420792</v>
      </c>
      <c r="I84">
        <v>31.242792059767581</v>
      </c>
      <c r="J84">
        <v>29.842292434697388</v>
      </c>
      <c r="K84">
        <v>44.718690731005886</v>
      </c>
      <c r="L84">
        <v>43.012884087735728</v>
      </c>
      <c r="M84">
        <v>86.219015790936567</v>
      </c>
      <c r="N84">
        <v>5.554051413161301</v>
      </c>
      <c r="O84">
        <v>41.671562926081549</v>
      </c>
      <c r="P84">
        <v>59.911936172620855</v>
      </c>
      <c r="Q84">
        <v>76.249683779804116</v>
      </c>
      <c r="R84">
        <v>54.608308365868311</v>
      </c>
      <c r="S84">
        <v>54.956963415198146</v>
      </c>
      <c r="T84">
        <v>66.99408958747118</v>
      </c>
      <c r="U84">
        <v>63.34693111013204</v>
      </c>
      <c r="V84">
        <v>72.767327951271383</v>
      </c>
      <c r="W84">
        <v>76.014649666028447</v>
      </c>
      <c r="X84">
        <v>54.351161075392419</v>
      </c>
      <c r="AA84">
        <v>64.84700566933688</v>
      </c>
      <c r="AB84">
        <v>88.858881074312222</v>
      </c>
      <c r="AC84">
        <v>52.773484792397539</v>
      </c>
      <c r="AD84">
        <v>17.690000000000001</v>
      </c>
      <c r="AE84">
        <v>39.076552325945052</v>
      </c>
      <c r="AF84">
        <v>94.792135982629716</v>
      </c>
      <c r="AG84">
        <v>-5.5384080000000004</v>
      </c>
      <c r="AH84">
        <v>340.66383130000003</v>
      </c>
      <c r="AI84">
        <v>335.12542330000002</v>
      </c>
    </row>
    <row r="85" spans="1:35">
      <c r="A85" t="s">
        <v>191</v>
      </c>
      <c r="B85">
        <v>109.81511589741214</v>
      </c>
      <c r="C85">
        <v>111.14064223987081</v>
      </c>
      <c r="D85">
        <v>59.275221481317864</v>
      </c>
      <c r="E85">
        <v>73.127740488220809</v>
      </c>
      <c r="F85">
        <v>6.351687512782191</v>
      </c>
      <c r="G85">
        <v>6.9654967367287561</v>
      </c>
      <c r="H85">
        <v>41.849177326766124</v>
      </c>
      <c r="I85">
        <v>31.501342099785255</v>
      </c>
      <c r="J85">
        <v>30.179236398203241</v>
      </c>
      <c r="K85">
        <v>45.36107715247384</v>
      </c>
      <c r="L85">
        <v>43.812214118388205</v>
      </c>
      <c r="M85">
        <v>86.288439332339678</v>
      </c>
      <c r="N85">
        <v>5.5912835267408649</v>
      </c>
      <c r="O85">
        <v>41.844201746818968</v>
      </c>
      <c r="P85">
        <v>59.869996289645918</v>
      </c>
      <c r="Q85">
        <v>72.004646538411521</v>
      </c>
      <c r="R85">
        <v>53.383366591876275</v>
      </c>
      <c r="S85">
        <v>55.337088764383083</v>
      </c>
      <c r="T85">
        <v>67.264585970041253</v>
      </c>
      <c r="U85">
        <v>63.596069029351753</v>
      </c>
      <c r="V85">
        <v>72.969059023554621</v>
      </c>
      <c r="W85">
        <v>75.991173898658971</v>
      </c>
      <c r="X85">
        <v>54.566432219807893</v>
      </c>
      <c r="AA85">
        <v>64.597162033660268</v>
      </c>
      <c r="AB85">
        <v>76.447661381177824</v>
      </c>
      <c r="AC85">
        <v>53.032272352352066</v>
      </c>
      <c r="AD85">
        <v>19.46</v>
      </c>
      <c r="AE85">
        <v>43.119308346929721</v>
      </c>
      <c r="AF85">
        <v>96.00334281870218</v>
      </c>
      <c r="AG85">
        <v>-0.21117659999999999</v>
      </c>
      <c r="AH85">
        <v>336.1431943</v>
      </c>
      <c r="AI85">
        <v>335.93201770000002</v>
      </c>
    </row>
    <row r="86" spans="1:35">
      <c r="A86" t="s">
        <v>192</v>
      </c>
      <c r="B86">
        <v>111.15279481643897</v>
      </c>
      <c r="C86">
        <v>112.64158385482366</v>
      </c>
      <c r="D86">
        <v>59.692875243712287</v>
      </c>
      <c r="E86">
        <v>73.400092755800344</v>
      </c>
      <c r="F86">
        <v>6.3785793841785132</v>
      </c>
      <c r="G86">
        <v>6.3334297127660006</v>
      </c>
      <c r="H86">
        <v>43.376488932787325</v>
      </c>
      <c r="I86">
        <v>31.718540853797418</v>
      </c>
      <c r="J86">
        <v>30.469957911294781</v>
      </c>
      <c r="K86">
        <v>47.102546526512143</v>
      </c>
      <c r="L86">
        <v>45.426623724736082</v>
      </c>
      <c r="M86">
        <v>86.348373378824533</v>
      </c>
      <c r="N86">
        <v>5.6039555310685634</v>
      </c>
      <c r="O86">
        <v>42.066022491697666</v>
      </c>
      <c r="P86">
        <v>60.796515015349684</v>
      </c>
      <c r="Q86">
        <v>73.632389213043425</v>
      </c>
      <c r="R86">
        <v>54.193800769308439</v>
      </c>
      <c r="S86">
        <v>55.73419968403779</v>
      </c>
      <c r="T86">
        <v>67.550511709675334</v>
      </c>
      <c r="U86">
        <v>63.869815076776661</v>
      </c>
      <c r="V86">
        <v>73.144189843797079</v>
      </c>
      <c r="W86">
        <v>79.334386673171068</v>
      </c>
      <c r="X86">
        <v>54.475963648340745</v>
      </c>
      <c r="AA86">
        <v>65.857666740615727</v>
      </c>
      <c r="AB86">
        <v>67.825719555081903</v>
      </c>
      <c r="AC86">
        <v>53.475688927128182</v>
      </c>
      <c r="AD86">
        <v>20.78</v>
      </c>
      <c r="AE86">
        <v>46.37193321347516</v>
      </c>
      <c r="AF86">
        <v>93.38796746004148</v>
      </c>
      <c r="AG86">
        <v>-8.5940124999999998</v>
      </c>
      <c r="AH86">
        <v>343.45710550000001</v>
      </c>
      <c r="AI86">
        <v>334.86309299999999</v>
      </c>
    </row>
    <row r="87" spans="1:35">
      <c r="A87" t="s">
        <v>193</v>
      </c>
      <c r="B87">
        <v>110.78304165672129</v>
      </c>
      <c r="C87">
        <v>112.24773111772033</v>
      </c>
      <c r="D87">
        <v>60.068188152562406</v>
      </c>
      <c r="E87">
        <v>73.92785264806075</v>
      </c>
      <c r="F87">
        <v>6.5437433846761826</v>
      </c>
      <c r="G87">
        <v>6.1823298307330674</v>
      </c>
      <c r="H87">
        <v>43.622686661915836</v>
      </c>
      <c r="I87">
        <v>31.904255336564084</v>
      </c>
      <c r="J87">
        <v>30.543395472418194</v>
      </c>
      <c r="K87">
        <v>47.169988939395587</v>
      </c>
      <c r="L87">
        <v>45.8150439930332</v>
      </c>
      <c r="M87">
        <v>86.421369280699395</v>
      </c>
      <c r="N87">
        <v>5.6005867616201144</v>
      </c>
      <c r="O87">
        <v>42.149438265579818</v>
      </c>
      <c r="P87">
        <v>60.073822172891369</v>
      </c>
      <c r="Q87">
        <v>75.867949682969396</v>
      </c>
      <c r="R87">
        <v>53.084892717694188</v>
      </c>
      <c r="S87">
        <v>56.092472625821088</v>
      </c>
      <c r="T87">
        <v>67.775473597074793</v>
      </c>
      <c r="U87">
        <v>64.205892181139319</v>
      </c>
      <c r="V87">
        <v>73.363845266689907</v>
      </c>
      <c r="W87">
        <v>80.64592657646574</v>
      </c>
      <c r="X87">
        <v>55.009485600173306</v>
      </c>
      <c r="AA87">
        <v>66.609672892707479</v>
      </c>
      <c r="AB87">
        <v>67.682616313594423</v>
      </c>
      <c r="AC87">
        <v>50.619881833682157</v>
      </c>
      <c r="AD87">
        <v>19.12</v>
      </c>
      <c r="AE87">
        <v>42.868966795027397</v>
      </c>
      <c r="AF87">
        <v>95.980049803122498</v>
      </c>
      <c r="AG87">
        <v>-6.4520103999999998</v>
      </c>
      <c r="AH87">
        <v>343.2301124</v>
      </c>
      <c r="AI87">
        <v>336.77810199999999</v>
      </c>
    </row>
    <row r="88" spans="1:35">
      <c r="A88" t="s">
        <v>194</v>
      </c>
      <c r="B88">
        <v>109.95780336232926</v>
      </c>
      <c r="C88">
        <v>111.34030702411556</v>
      </c>
      <c r="D88">
        <v>60.0258311629565</v>
      </c>
      <c r="E88">
        <v>74.021880916809152</v>
      </c>
      <c r="F88">
        <v>6.4728802302005892</v>
      </c>
      <c r="G88">
        <v>6.6295213262338537</v>
      </c>
      <c r="H88">
        <v>44.33973920337754</v>
      </c>
      <c r="I88">
        <v>32.117467431627972</v>
      </c>
      <c r="J88">
        <v>30.692988100981346</v>
      </c>
      <c r="K88">
        <v>47.644343973291157</v>
      </c>
      <c r="L88">
        <v>46.5085205031329</v>
      </c>
      <c r="M88">
        <v>86.536814242816817</v>
      </c>
      <c r="N88">
        <v>5.5775517906820733</v>
      </c>
      <c r="O88">
        <v>42.377347379878003</v>
      </c>
      <c r="P88">
        <v>58.419281234336374</v>
      </c>
      <c r="Q88">
        <v>73.807606020991656</v>
      </c>
      <c r="R88">
        <v>52.401860700669189</v>
      </c>
      <c r="S88">
        <v>56.392597755552195</v>
      </c>
      <c r="T88">
        <v>67.956300813737116</v>
      </c>
      <c r="U88">
        <v>64.491201277210237</v>
      </c>
      <c r="V88">
        <v>73.582590537080677</v>
      </c>
      <c r="W88">
        <v>77.467236109678595</v>
      </c>
      <c r="X88">
        <v>50.4179483807509</v>
      </c>
      <c r="AA88">
        <v>64.031873139397433</v>
      </c>
      <c r="AB88">
        <v>70.894401161588618</v>
      </c>
      <c r="AC88">
        <v>50.300811077437125</v>
      </c>
      <c r="AD88">
        <v>18.559999999999999</v>
      </c>
      <c r="AE88">
        <v>41.700462942584068</v>
      </c>
      <c r="AF88">
        <v>96.509924793805069</v>
      </c>
      <c r="AG88">
        <v>-5.9658388999999978</v>
      </c>
      <c r="AH88">
        <v>338.91462419999999</v>
      </c>
      <c r="AI88">
        <v>332.9487853</v>
      </c>
    </row>
    <row r="89" spans="1:35">
      <c r="A89" t="s">
        <v>195</v>
      </c>
      <c r="B89">
        <v>111.44788706673671</v>
      </c>
      <c r="C89">
        <v>113.04460259889741</v>
      </c>
      <c r="D89">
        <v>60.357014069070992</v>
      </c>
      <c r="E89">
        <v>74.194973940843596</v>
      </c>
      <c r="F89">
        <v>6.4121363090724319</v>
      </c>
      <c r="G89">
        <v>6.4060904043199196</v>
      </c>
      <c r="H89">
        <v>42.329990529433864</v>
      </c>
      <c r="I89">
        <v>32.29656615079913</v>
      </c>
      <c r="J89">
        <v>30.833284482387558</v>
      </c>
      <c r="K89">
        <v>45.312339676802054</v>
      </c>
      <c r="L89">
        <v>43.942367553794192</v>
      </c>
      <c r="M89">
        <v>86.654146804314976</v>
      </c>
      <c r="N89">
        <v>5.5586784201198647</v>
      </c>
      <c r="O89">
        <v>42.330182414577187</v>
      </c>
      <c r="P89">
        <v>59.1071776894076</v>
      </c>
      <c r="Q89">
        <v>68.768847828072964</v>
      </c>
      <c r="R89">
        <v>52.31169926260069</v>
      </c>
      <c r="S89">
        <v>56.736086605918224</v>
      </c>
      <c r="T89">
        <v>68.184317001652232</v>
      </c>
      <c r="U89">
        <v>64.788689745929091</v>
      </c>
      <c r="V89">
        <v>73.766718012775314</v>
      </c>
      <c r="W89">
        <v>78.669190265121088</v>
      </c>
      <c r="X89">
        <v>48.216150426631671</v>
      </c>
      <c r="AA89">
        <v>63.920326438160728</v>
      </c>
      <c r="AB89">
        <v>71.800498788764116</v>
      </c>
      <c r="AC89">
        <v>52.14508154230775</v>
      </c>
      <c r="AD89">
        <v>19.559999999999999</v>
      </c>
      <c r="AE89">
        <v>43.722123070541102</v>
      </c>
      <c r="AF89">
        <v>93.955469243151441</v>
      </c>
      <c r="AG89">
        <v>-6.1792631</v>
      </c>
      <c r="AH89">
        <v>344.74319459999998</v>
      </c>
      <c r="AI89">
        <v>338.56393150000002</v>
      </c>
    </row>
    <row r="90" spans="1:35">
      <c r="A90" t="s">
        <v>196</v>
      </c>
      <c r="B90">
        <v>112.64847593988344</v>
      </c>
      <c r="C90">
        <v>114.4167737642742</v>
      </c>
      <c r="D90">
        <v>60.381530351980494</v>
      </c>
      <c r="E90">
        <v>74.537534174565195</v>
      </c>
      <c r="F90">
        <v>6.3686977408143948</v>
      </c>
      <c r="G90">
        <v>6.0352523920563481</v>
      </c>
      <c r="H90">
        <v>42.766837054014516</v>
      </c>
      <c r="I90">
        <v>32.498078808617983</v>
      </c>
      <c r="J90">
        <v>30.951651149388233</v>
      </c>
      <c r="K90">
        <v>45.779020230756515</v>
      </c>
      <c r="L90">
        <v>44.574356286702773</v>
      </c>
      <c r="M90">
        <v>86.70534212831322</v>
      </c>
      <c r="N90">
        <v>5.5313213178523446</v>
      </c>
      <c r="O90">
        <v>42.506416806381175</v>
      </c>
      <c r="P90">
        <v>58.89430959320206</v>
      </c>
      <c r="Q90">
        <v>70.195366898443979</v>
      </c>
      <c r="R90">
        <v>52.221694573858016</v>
      </c>
      <c r="S90">
        <v>57.026545058362146</v>
      </c>
      <c r="T90">
        <v>68.330672333817631</v>
      </c>
      <c r="U90">
        <v>65.036380204875982</v>
      </c>
      <c r="V90">
        <v>73.930049288874656</v>
      </c>
      <c r="W90">
        <v>77.474728086495745</v>
      </c>
      <c r="X90">
        <v>48.306050429495137</v>
      </c>
      <c r="AA90">
        <v>63.570937374770601</v>
      </c>
      <c r="AB90">
        <v>65.247877762504885</v>
      </c>
      <c r="AC90">
        <v>52.129687521649998</v>
      </c>
      <c r="AD90">
        <v>20.190000000000001</v>
      </c>
      <c r="AE90">
        <v>44.888643527901998</v>
      </c>
      <c r="AF90">
        <v>94.017184565982816</v>
      </c>
      <c r="AG90">
        <v>-1.8337029</v>
      </c>
      <c r="AH90">
        <v>343.15576390000001</v>
      </c>
      <c r="AI90">
        <v>341.32206100000002</v>
      </c>
    </row>
    <row r="91" spans="1:35">
      <c r="A91" t="s">
        <v>197</v>
      </c>
      <c r="B91">
        <v>112.68472722818804</v>
      </c>
      <c r="C91">
        <v>114.44306351186104</v>
      </c>
      <c r="D91">
        <v>60.607638396290689</v>
      </c>
      <c r="E91">
        <v>74.851435244631233</v>
      </c>
      <c r="F91">
        <v>6.205846479846608</v>
      </c>
      <c r="G91">
        <v>6.1829021715730468</v>
      </c>
      <c r="H91">
        <v>44.950802651992412</v>
      </c>
      <c r="I91">
        <v>32.704481018083072</v>
      </c>
      <c r="J91">
        <v>31.144987121102691</v>
      </c>
      <c r="K91">
        <v>47.243704750400831</v>
      </c>
      <c r="L91">
        <v>46.381521321701449</v>
      </c>
      <c r="M91">
        <v>86.78401628609771</v>
      </c>
      <c r="N91">
        <v>5.5174084708784763</v>
      </c>
      <c r="O91">
        <v>42.817027950233786</v>
      </c>
      <c r="P91">
        <v>58.383093218152631</v>
      </c>
      <c r="Q91">
        <v>67.242508500114866</v>
      </c>
      <c r="R91">
        <v>53.091164799397475</v>
      </c>
      <c r="S91">
        <v>57.280105749884889</v>
      </c>
      <c r="T91">
        <v>68.548302283765523</v>
      </c>
      <c r="U91">
        <v>65.28798936789056</v>
      </c>
      <c r="V91">
        <v>74.130415595172366</v>
      </c>
      <c r="W91">
        <v>71.340531890796825</v>
      </c>
      <c r="X91">
        <v>47.520867489850779</v>
      </c>
      <c r="AA91">
        <v>60.430573474322792</v>
      </c>
      <c r="AB91">
        <v>62.165446853981528</v>
      </c>
      <c r="AC91">
        <v>55.421465571295037</v>
      </c>
      <c r="AD91">
        <v>22.14</v>
      </c>
      <c r="AE91">
        <v>49.555461630516476</v>
      </c>
      <c r="AF91">
        <v>95.828507299463283</v>
      </c>
      <c r="AG91">
        <v>-6.0572305000000002</v>
      </c>
      <c r="AH91">
        <v>345.60723359999997</v>
      </c>
      <c r="AI91">
        <v>339.55000310000003</v>
      </c>
    </row>
    <row r="92" spans="1:35">
      <c r="A92" t="s">
        <v>198</v>
      </c>
      <c r="B92">
        <v>111.73338085895148</v>
      </c>
      <c r="C92">
        <v>113.35495255934357</v>
      </c>
      <c r="D92">
        <v>60.923245524376114</v>
      </c>
      <c r="E92">
        <v>74.986364900769999</v>
      </c>
      <c r="F92">
        <v>6.0107813246628696</v>
      </c>
      <c r="G92">
        <v>6.0376249442469003</v>
      </c>
      <c r="H92">
        <v>44.942030540001888</v>
      </c>
      <c r="I92">
        <v>32.931914926979644</v>
      </c>
      <c r="J92">
        <v>31.151439545348758</v>
      </c>
      <c r="K92">
        <v>46.991255777692778</v>
      </c>
      <c r="L92">
        <v>46.325472776351809</v>
      </c>
      <c r="M92">
        <v>86.845390682227162</v>
      </c>
      <c r="N92">
        <v>5.5082626485306054</v>
      </c>
      <c r="O92">
        <v>42.88017310620927</v>
      </c>
      <c r="P92">
        <v>59.156332243766094</v>
      </c>
      <c r="Q92">
        <v>67.6924060747711</v>
      </c>
      <c r="R92">
        <v>53.409709124163037</v>
      </c>
      <c r="S92">
        <v>57.5498819409368</v>
      </c>
      <c r="T92">
        <v>68.756034893325122</v>
      </c>
      <c r="U92">
        <v>65.464624450075149</v>
      </c>
      <c r="V92">
        <v>74.299912047678546</v>
      </c>
      <c r="W92">
        <v>68.743956293194429</v>
      </c>
      <c r="X92">
        <v>46.516446200672071</v>
      </c>
      <c r="AA92">
        <v>58.868941979510218</v>
      </c>
      <c r="AB92">
        <v>71.006591840488682</v>
      </c>
      <c r="AC92">
        <v>59.572034885827179</v>
      </c>
      <c r="AD92">
        <v>23.43</v>
      </c>
      <c r="AE92">
        <v>52.758841231531619</v>
      </c>
      <c r="AF92">
        <v>94.123685700295781</v>
      </c>
      <c r="AG92">
        <v>-1.4377884000000001</v>
      </c>
      <c r="AH92">
        <v>353.16935080000002</v>
      </c>
      <c r="AI92">
        <v>351.73156239999997</v>
      </c>
    </row>
    <row r="93" spans="1:35">
      <c r="A93" t="s">
        <v>199</v>
      </c>
      <c r="B93">
        <v>112.40320796733766</v>
      </c>
      <c r="C93">
        <v>114.09633636044981</v>
      </c>
      <c r="D93">
        <v>61.109874851683642</v>
      </c>
      <c r="E93">
        <v>75.421939823860711</v>
      </c>
      <c r="F93">
        <v>5.7938586882765932</v>
      </c>
      <c r="G93">
        <v>5.968186387216984</v>
      </c>
      <c r="H93">
        <v>47.116099156887806</v>
      </c>
      <c r="I93">
        <v>33.153085913863336</v>
      </c>
      <c r="J93">
        <v>31.443823666901388</v>
      </c>
      <c r="K93">
        <v>49.175178214168028</v>
      </c>
      <c r="L93">
        <v>48.456155853754083</v>
      </c>
      <c r="M93">
        <v>86.904149859099647</v>
      </c>
      <c r="N93">
        <v>5.4874371208554109</v>
      </c>
      <c r="O93">
        <v>43.176499553843527</v>
      </c>
      <c r="P93">
        <v>59.828801024814332</v>
      </c>
      <c r="Q93">
        <v>66.751054806822751</v>
      </c>
      <c r="R93">
        <v>51.968771455820608</v>
      </c>
      <c r="S93">
        <v>57.823089299891528</v>
      </c>
      <c r="T93">
        <v>68.974986103355633</v>
      </c>
      <c r="U93">
        <v>65.721080773890023</v>
      </c>
      <c r="V93">
        <v>74.477093488396775</v>
      </c>
      <c r="W93">
        <v>68.577343363820248</v>
      </c>
      <c r="X93">
        <v>49.034830695612293</v>
      </c>
      <c r="AA93">
        <v>59.387539808623352</v>
      </c>
      <c r="AB93">
        <v>83.469447068485493</v>
      </c>
      <c r="AC93">
        <v>60.467074050118988</v>
      </c>
      <c r="AD93">
        <v>22.25</v>
      </c>
      <c r="AE93">
        <v>49.656512692113665</v>
      </c>
      <c r="AF93">
        <v>95.082104361520848</v>
      </c>
      <c r="AG93">
        <v>-3.7657455</v>
      </c>
      <c r="AH93">
        <v>355.535616</v>
      </c>
      <c r="AI93">
        <v>351.76987050000002</v>
      </c>
    </row>
    <row r="94" spans="1:35">
      <c r="A94" t="s">
        <v>200</v>
      </c>
      <c r="B94">
        <v>113.46996087699314</v>
      </c>
      <c r="C94">
        <v>115.28853037870807</v>
      </c>
      <c r="D94">
        <v>61.569657975217098</v>
      </c>
      <c r="E94">
        <v>75.836560899904157</v>
      </c>
      <c r="F94">
        <v>5.7761938400164858</v>
      </c>
      <c r="G94">
        <v>5.8476362545876572</v>
      </c>
      <c r="H94">
        <v>46.664233304721151</v>
      </c>
      <c r="I94">
        <v>33.409491449112025</v>
      </c>
      <c r="J94">
        <v>31.769450813840152</v>
      </c>
      <c r="K94">
        <v>48.347118393845093</v>
      </c>
      <c r="L94">
        <v>47.963509093142612</v>
      </c>
      <c r="M94">
        <v>86.988752438691137</v>
      </c>
      <c r="N94">
        <v>5.3807321209181778</v>
      </c>
      <c r="O94">
        <v>43.2899109253609</v>
      </c>
      <c r="P94">
        <v>62.543119659471209</v>
      </c>
      <c r="Q94">
        <v>63.70707696908007</v>
      </c>
      <c r="R94">
        <v>52.417618752422712</v>
      </c>
      <c r="S94">
        <v>58.110180764984896</v>
      </c>
      <c r="T94">
        <v>69.2022867656123</v>
      </c>
      <c r="U94">
        <v>65.967981355781433</v>
      </c>
      <c r="V94">
        <v>74.630241509890894</v>
      </c>
      <c r="W94">
        <v>73.479327120205454</v>
      </c>
      <c r="X94">
        <v>49.185774385229024</v>
      </c>
      <c r="AA94">
        <v>61.167212892478197</v>
      </c>
      <c r="AB94">
        <v>92.884128389613551</v>
      </c>
      <c r="AC94">
        <v>64.533333488564296</v>
      </c>
      <c r="AD94">
        <v>23.51</v>
      </c>
      <c r="AE94">
        <v>52.986663062332148</v>
      </c>
      <c r="AF94">
        <v>91.351751913513013</v>
      </c>
      <c r="AG94">
        <v>-11.101685200000007</v>
      </c>
      <c r="AH94">
        <v>355.81035930000002</v>
      </c>
      <c r="AI94">
        <v>344.7086741</v>
      </c>
    </row>
    <row r="95" spans="1:35">
      <c r="A95" t="s">
        <v>201</v>
      </c>
      <c r="B95">
        <v>114.39268454981965</v>
      </c>
      <c r="C95">
        <v>116.14991352620356</v>
      </c>
      <c r="D95">
        <v>61.808851385098876</v>
      </c>
      <c r="E95">
        <v>76.127430008060557</v>
      </c>
      <c r="F95">
        <v>5.87630425364486</v>
      </c>
      <c r="G95">
        <v>5.7453963521915039</v>
      </c>
      <c r="H95">
        <v>49.433935597682698</v>
      </c>
      <c r="I95">
        <v>33.636236324572259</v>
      </c>
      <c r="J95">
        <v>32.177999008442249</v>
      </c>
      <c r="K95">
        <v>49.373645208127606</v>
      </c>
      <c r="L95">
        <v>50.420708651148139</v>
      </c>
      <c r="M95">
        <v>87.104994731161497</v>
      </c>
      <c r="N95">
        <v>5.5115895292117543</v>
      </c>
      <c r="O95">
        <v>42.700628338793095</v>
      </c>
      <c r="P95">
        <v>61.61889081015628</v>
      </c>
      <c r="Q95">
        <v>67.796355938195589</v>
      </c>
      <c r="R95">
        <v>51.967203329961265</v>
      </c>
      <c r="S95">
        <v>58.402644735182975</v>
      </c>
      <c r="T95">
        <v>69.446197585397726</v>
      </c>
      <c r="U95">
        <v>66.351062848604059</v>
      </c>
      <c r="V95">
        <v>74.908346235000167</v>
      </c>
      <c r="W95">
        <v>73.037712457529949</v>
      </c>
      <c r="X95">
        <v>51.625009478774075</v>
      </c>
      <c r="AA95">
        <v>61.480260655608369</v>
      </c>
      <c r="AB95">
        <v>86.048611852138464</v>
      </c>
      <c r="AC95">
        <v>61.819415771097859</v>
      </c>
      <c r="AD95">
        <v>23.29</v>
      </c>
      <c r="AE95">
        <v>53.335978212503477</v>
      </c>
      <c r="AF95">
        <v>93.430675170410055</v>
      </c>
      <c r="AG95">
        <v>-10.498772800000008</v>
      </c>
      <c r="AH95">
        <v>363.88979410000002</v>
      </c>
      <c r="AI95">
        <v>353.39102129999998</v>
      </c>
    </row>
    <row r="96" spans="1:35">
      <c r="A96" t="s">
        <v>202</v>
      </c>
      <c r="B96">
        <v>114.28106090498521</v>
      </c>
      <c r="C96">
        <v>116.06940281021845</v>
      </c>
      <c r="D96">
        <v>61.992420458263034</v>
      </c>
      <c r="E96">
        <v>76.565153668701896</v>
      </c>
      <c r="F96">
        <v>5.7176765841376405</v>
      </c>
      <c r="G96">
        <v>5.7711844867786137</v>
      </c>
      <c r="H96">
        <v>50.795072178749656</v>
      </c>
      <c r="I96">
        <v>33.843931909483793</v>
      </c>
      <c r="J96">
        <v>32.48947530778441</v>
      </c>
      <c r="K96">
        <v>50.143781787328358</v>
      </c>
      <c r="L96">
        <v>51.650311542523205</v>
      </c>
      <c r="M96">
        <v>87.199245627406555</v>
      </c>
      <c r="N96">
        <v>5.5572151952830842</v>
      </c>
      <c r="O96">
        <v>42.946674526381166</v>
      </c>
      <c r="P96">
        <v>58.680507827360586</v>
      </c>
      <c r="Q96">
        <v>77.261869862302603</v>
      </c>
      <c r="R96">
        <v>50.920075599424912</v>
      </c>
      <c r="S96">
        <v>58.864384034220485</v>
      </c>
      <c r="T96">
        <v>69.677794788981245</v>
      </c>
      <c r="U96">
        <v>66.859324085944536</v>
      </c>
      <c r="V96">
        <v>75.147003667673275</v>
      </c>
      <c r="W96">
        <v>73.601398953203969</v>
      </c>
      <c r="X96">
        <v>52.472329801668032</v>
      </c>
      <c r="AA96">
        <v>62.146038124517681</v>
      </c>
      <c r="AB96">
        <v>70.806405132356588</v>
      </c>
      <c r="AC96">
        <v>53.66770718708419</v>
      </c>
      <c r="AD96">
        <v>20.54</v>
      </c>
      <c r="AE96">
        <v>48.072703728191861</v>
      </c>
      <c r="AF96">
        <v>93.614898427248562</v>
      </c>
      <c r="AG96">
        <v>-6.1260538999999996</v>
      </c>
      <c r="AH96">
        <v>353.90359690000003</v>
      </c>
      <c r="AI96">
        <v>347.77754299999998</v>
      </c>
    </row>
    <row r="97" spans="1:35">
      <c r="A97" t="s">
        <v>203</v>
      </c>
      <c r="B97">
        <v>114.3860067343799</v>
      </c>
      <c r="C97">
        <v>116.11557532959486</v>
      </c>
      <c r="D97">
        <v>62.683406839676138</v>
      </c>
      <c r="E97">
        <v>77.207489067296194</v>
      </c>
      <c r="F97">
        <v>5.9115903215975036</v>
      </c>
      <c r="G97">
        <v>6.0656152280561724</v>
      </c>
      <c r="H97">
        <v>50.43704757529148</v>
      </c>
      <c r="I97">
        <v>34.057074618728436</v>
      </c>
      <c r="J97">
        <v>32.7092971948654</v>
      </c>
      <c r="K97">
        <v>49.419647614786747</v>
      </c>
      <c r="L97">
        <v>50.994751718805077</v>
      </c>
      <c r="M97">
        <v>87.301365374455571</v>
      </c>
      <c r="N97">
        <v>5.5836871499006415</v>
      </c>
      <c r="O97">
        <v>43.489091586808222</v>
      </c>
      <c r="P97">
        <v>57.858943650238587</v>
      </c>
      <c r="Q97">
        <v>85.998654503151997</v>
      </c>
      <c r="R97">
        <v>50.538261307818537</v>
      </c>
      <c r="S97">
        <v>59.110056972149835</v>
      </c>
      <c r="T97">
        <v>69.770586275051997</v>
      </c>
      <c r="U97">
        <v>67.211696841980327</v>
      </c>
      <c r="V97">
        <v>75.331062733837655</v>
      </c>
      <c r="W97">
        <v>73.931476024043192</v>
      </c>
      <c r="X97">
        <v>53.37682522695691</v>
      </c>
      <c r="AA97">
        <v>62.819910203750673</v>
      </c>
      <c r="AB97">
        <v>64.858150781343241</v>
      </c>
      <c r="AC97">
        <v>50.683032841945959</v>
      </c>
      <c r="AD97">
        <v>19.420000000000002</v>
      </c>
      <c r="AE97">
        <v>45.685280413484513</v>
      </c>
      <c r="AF97">
        <v>93.457784274338934</v>
      </c>
      <c r="AG97">
        <v>-5.2772683999999996</v>
      </c>
      <c r="AH97">
        <v>353.97774010000001</v>
      </c>
      <c r="AI97">
        <v>348.70047169999998</v>
      </c>
    </row>
    <row r="98" spans="1:35">
      <c r="A98" t="s">
        <v>204</v>
      </c>
      <c r="B98">
        <v>114.52029947715505</v>
      </c>
      <c r="C98">
        <v>116.1493767051561</v>
      </c>
      <c r="D98">
        <v>63.193028710271903</v>
      </c>
      <c r="E98">
        <v>77.432665849113405</v>
      </c>
      <c r="F98">
        <v>5.9799269797393455</v>
      </c>
      <c r="G98">
        <v>5.8279351571873459</v>
      </c>
      <c r="H98">
        <v>52.558019446420332</v>
      </c>
      <c r="I98">
        <v>34.262549077644714</v>
      </c>
      <c r="J98">
        <v>32.754698986380944</v>
      </c>
      <c r="K98">
        <v>50.735064059535858</v>
      </c>
      <c r="L98">
        <v>53.197147760711793</v>
      </c>
      <c r="M98">
        <v>87.376142719992828</v>
      </c>
      <c r="N98">
        <v>5.5894566524685203</v>
      </c>
      <c r="O98">
        <v>42.947743517745685</v>
      </c>
      <c r="P98">
        <v>56.001535358506672</v>
      </c>
      <c r="Q98">
        <v>88.432216675859223</v>
      </c>
      <c r="R98">
        <v>50.862137218332457</v>
      </c>
      <c r="S98">
        <v>59.436507662326058</v>
      </c>
      <c r="T98">
        <v>70.112374223172623</v>
      </c>
      <c r="U98">
        <v>67.572755003276924</v>
      </c>
      <c r="V98">
        <v>75.666925612880547</v>
      </c>
      <c r="W98">
        <v>72.484150223369383</v>
      </c>
      <c r="X98">
        <v>51.663954813213884</v>
      </c>
      <c r="AA98">
        <v>61.518567714578829</v>
      </c>
      <c r="AB98">
        <v>64.460753458954699</v>
      </c>
      <c r="AC98">
        <v>48.021289636912137</v>
      </c>
      <c r="AD98">
        <v>17.98</v>
      </c>
      <c r="AE98">
        <v>42.515998957009877</v>
      </c>
      <c r="AF98">
        <v>89.598679451915473</v>
      </c>
      <c r="AG98">
        <v>-5.8312856999999996</v>
      </c>
      <c r="AH98">
        <v>361.33540870000002</v>
      </c>
      <c r="AI98">
        <v>355.50412299999999</v>
      </c>
    </row>
    <row r="99" spans="1:35">
      <c r="A99" t="s">
        <v>205</v>
      </c>
      <c r="B99">
        <v>116.6524065861332</v>
      </c>
      <c r="C99">
        <v>118.53077679496296</v>
      </c>
      <c r="D99">
        <v>63.249884146936175</v>
      </c>
      <c r="E99">
        <v>77.720345882247216</v>
      </c>
      <c r="F99">
        <v>5.8901545325087579</v>
      </c>
      <c r="G99">
        <v>5.4554555361851316</v>
      </c>
      <c r="H99">
        <v>54.641728568381879</v>
      </c>
      <c r="I99">
        <v>34.493469837292992</v>
      </c>
      <c r="J99">
        <v>33.087326673653223</v>
      </c>
      <c r="K99">
        <v>53.516913310887091</v>
      </c>
      <c r="L99">
        <v>55.041453639119823</v>
      </c>
      <c r="M99">
        <v>87.459564472732922</v>
      </c>
      <c r="N99">
        <v>5.6035729990145899</v>
      </c>
      <c r="O99">
        <v>43.088697981178441</v>
      </c>
      <c r="P99">
        <v>57.389130431805512</v>
      </c>
      <c r="Q99">
        <v>106.21393606727844</v>
      </c>
      <c r="R99">
        <v>50.740536891651097</v>
      </c>
      <c r="S99">
        <v>59.639789303836189</v>
      </c>
      <c r="T99">
        <v>70.231796765250778</v>
      </c>
      <c r="U99">
        <v>67.840224789306774</v>
      </c>
      <c r="V99">
        <v>75.844741822892232</v>
      </c>
      <c r="W99">
        <v>70.648824114016776</v>
      </c>
      <c r="X99">
        <v>53.310893424629825</v>
      </c>
      <c r="AA99">
        <v>61.794906213163657</v>
      </c>
      <c r="AB99">
        <v>67.261970510616791</v>
      </c>
      <c r="AC99">
        <v>51.016288827787847</v>
      </c>
      <c r="AD99">
        <v>19.47</v>
      </c>
      <c r="AE99">
        <v>45.592799017545509</v>
      </c>
      <c r="AF99">
        <v>91.318344997101363</v>
      </c>
      <c r="AG99">
        <v>0.1641339</v>
      </c>
      <c r="AH99">
        <v>357.05974609999998</v>
      </c>
      <c r="AI99">
        <v>357.22388000000001</v>
      </c>
    </row>
    <row r="100" spans="1:35">
      <c r="A100" t="s">
        <v>206</v>
      </c>
      <c r="B100">
        <v>117.06128451351752</v>
      </c>
      <c r="C100">
        <v>119.06033677582786</v>
      </c>
      <c r="D100">
        <v>63.73526835307274</v>
      </c>
      <c r="E100">
        <v>78.198896817241604</v>
      </c>
      <c r="F100">
        <v>5.742975687536326</v>
      </c>
      <c r="G100">
        <v>5.4764062252497734</v>
      </c>
      <c r="H100">
        <v>57.485343150225177</v>
      </c>
      <c r="I100">
        <v>34.76873645689821</v>
      </c>
      <c r="J100">
        <v>33.390389795660703</v>
      </c>
      <c r="K100">
        <v>56.575687296211207</v>
      </c>
      <c r="L100">
        <v>58.348607217891015</v>
      </c>
      <c r="M100">
        <v>87.521706274734257</v>
      </c>
      <c r="N100">
        <v>5.6473721046911933</v>
      </c>
      <c r="O100">
        <v>43.336460020512455</v>
      </c>
      <c r="P100">
        <v>55.020962630027256</v>
      </c>
      <c r="Q100">
        <v>95.184022088014885</v>
      </c>
      <c r="R100">
        <v>49.66894783160491</v>
      </c>
      <c r="S100">
        <v>59.929121341141503</v>
      </c>
      <c r="T100">
        <v>70.450109408700214</v>
      </c>
      <c r="U100">
        <v>68.086007211969388</v>
      </c>
      <c r="V100">
        <v>76.003908576078786</v>
      </c>
      <c r="W100">
        <v>67.64642664055539</v>
      </c>
      <c r="X100">
        <v>52.803149595583491</v>
      </c>
      <c r="Y100">
        <v>52.864942878650353</v>
      </c>
      <c r="Z100">
        <v>52.801686232663329</v>
      </c>
      <c r="AA100">
        <v>59.588148886352158</v>
      </c>
      <c r="AB100">
        <v>66.766427075129982</v>
      </c>
      <c r="AC100">
        <v>48.414644916184649</v>
      </c>
      <c r="AD100">
        <v>18.02</v>
      </c>
      <c r="AE100">
        <v>42.044627428705347</v>
      </c>
      <c r="AF100">
        <v>89.529531418617566</v>
      </c>
      <c r="AG100">
        <v>-1.2952220000000001</v>
      </c>
      <c r="AH100">
        <v>363.04099969999999</v>
      </c>
      <c r="AI100">
        <v>361.74577770000002</v>
      </c>
    </row>
    <row r="101" spans="1:35">
      <c r="A101" t="s">
        <v>207</v>
      </c>
      <c r="B101">
        <v>116.28502905228986</v>
      </c>
      <c r="C101">
        <v>118.23049149911367</v>
      </c>
      <c r="D101">
        <v>64.191313174011981</v>
      </c>
      <c r="E101">
        <v>78.769829798595509</v>
      </c>
      <c r="F101">
        <v>5.5032444416884152</v>
      </c>
      <c r="G101">
        <v>5.4620727454210929</v>
      </c>
      <c r="H101">
        <v>60.90541839701563</v>
      </c>
      <c r="I101">
        <v>35.019885026965511</v>
      </c>
      <c r="J101">
        <v>33.553043884000914</v>
      </c>
      <c r="K101">
        <v>59.010063569323293</v>
      </c>
      <c r="L101">
        <v>62.402243207380273</v>
      </c>
      <c r="M101">
        <v>87.599091533803403</v>
      </c>
      <c r="N101">
        <v>5.6158251027936217</v>
      </c>
      <c r="O101">
        <v>43.51467982172769</v>
      </c>
      <c r="P101">
        <v>54.453573517043878</v>
      </c>
      <c r="Q101">
        <v>87.486140043061241</v>
      </c>
      <c r="R101">
        <v>49.24173932231264</v>
      </c>
      <c r="S101">
        <v>60.205367108992917</v>
      </c>
      <c r="T101">
        <v>70.644497153182272</v>
      </c>
      <c r="U101">
        <v>68.301199921580675</v>
      </c>
      <c r="V101">
        <v>76.148489554149251</v>
      </c>
      <c r="W101">
        <v>67.079398205541551</v>
      </c>
      <c r="X101">
        <v>52.086144655664228</v>
      </c>
      <c r="Y101">
        <v>53.843078827526526</v>
      </c>
      <c r="Z101">
        <v>53.733243092498114</v>
      </c>
      <c r="AA101">
        <v>58.431727716434203</v>
      </c>
      <c r="AB101">
        <v>64.664573338242874</v>
      </c>
      <c r="AC101">
        <v>48.699275557455707</v>
      </c>
      <c r="AD101">
        <v>18.45</v>
      </c>
      <c r="AE101">
        <v>43.433738013313565</v>
      </c>
      <c r="AF101">
        <v>88.82216235773474</v>
      </c>
      <c r="AG101">
        <v>-0.55485079999999998</v>
      </c>
      <c r="AH101">
        <v>367.4194794</v>
      </c>
      <c r="AI101">
        <v>366.8646286</v>
      </c>
    </row>
    <row r="102" spans="1:35">
      <c r="A102" t="s">
        <v>208</v>
      </c>
      <c r="B102">
        <v>116.47194672904048</v>
      </c>
      <c r="C102">
        <v>118.58423987159632</v>
      </c>
      <c r="D102">
        <v>64.295679499479348</v>
      </c>
      <c r="E102">
        <v>78.888031046086425</v>
      </c>
      <c r="F102">
        <v>5.531060859244227</v>
      </c>
      <c r="G102">
        <v>5.5220032262809724</v>
      </c>
      <c r="H102">
        <v>55.896918196367494</v>
      </c>
      <c r="I102">
        <v>35.246470211531282</v>
      </c>
      <c r="J102">
        <v>33.894360377583013</v>
      </c>
      <c r="K102">
        <v>54.728205823160451</v>
      </c>
      <c r="L102">
        <v>57.926034618006085</v>
      </c>
      <c r="M102">
        <v>87.672103246337727</v>
      </c>
      <c r="N102">
        <v>5.5916166855453779</v>
      </c>
      <c r="O102">
        <v>43.489192575971501</v>
      </c>
      <c r="P102">
        <v>54.722498534215518</v>
      </c>
      <c r="Q102">
        <v>85.497512105576888</v>
      </c>
      <c r="R102">
        <v>50.432420087225907</v>
      </c>
      <c r="S102">
        <v>60.483774271672388</v>
      </c>
      <c r="T102">
        <v>70.841325309480212</v>
      </c>
      <c r="U102">
        <v>68.520197426358038</v>
      </c>
      <c r="V102">
        <v>76.280151020652596</v>
      </c>
      <c r="W102">
        <v>66.646500149725398</v>
      </c>
      <c r="X102">
        <v>52.144267758580177</v>
      </c>
      <c r="Y102">
        <v>53.033916554558374</v>
      </c>
      <c r="Z102">
        <v>52.938371811527205</v>
      </c>
      <c r="AA102">
        <v>57.894070729688721</v>
      </c>
      <c r="AB102">
        <v>67.936858006313557</v>
      </c>
      <c r="AC102">
        <v>50.134900744291919</v>
      </c>
      <c r="AD102">
        <v>18.79</v>
      </c>
      <c r="AE102">
        <v>45.009410692843396</v>
      </c>
      <c r="AF102">
        <v>85.253824136607065</v>
      </c>
      <c r="AG102">
        <v>-0.74922080000000002</v>
      </c>
      <c r="AH102">
        <v>357.40128950000002</v>
      </c>
      <c r="AI102">
        <v>356.65206869999997</v>
      </c>
    </row>
    <row r="103" spans="1:35">
      <c r="A103" t="s">
        <v>209</v>
      </c>
      <c r="B103">
        <v>117.04692850301217</v>
      </c>
      <c r="C103">
        <v>119.27114807070868</v>
      </c>
      <c r="D103">
        <v>64.57601071957329</v>
      </c>
      <c r="E103">
        <v>79.106553893577754</v>
      </c>
      <c r="F103">
        <v>5.3721036310831156</v>
      </c>
      <c r="G103">
        <v>5.6476140568639783</v>
      </c>
      <c r="H103">
        <v>58.362526625989766</v>
      </c>
      <c r="I103">
        <v>35.404611470406195</v>
      </c>
      <c r="J103">
        <v>33.983994510374522</v>
      </c>
      <c r="K103">
        <v>57.396383198927779</v>
      </c>
      <c r="L103">
        <v>60.591781384874608</v>
      </c>
      <c r="M103">
        <v>87.755464500015876</v>
      </c>
      <c r="N103">
        <v>5.5781008494858675</v>
      </c>
      <c r="O103">
        <v>43.710788663448923</v>
      </c>
      <c r="P103">
        <v>54.812083801260925</v>
      </c>
      <c r="Q103">
        <v>86.279561842821991</v>
      </c>
      <c r="R103">
        <v>49.696780853122711</v>
      </c>
      <c r="S103">
        <v>60.698714109896848</v>
      </c>
      <c r="T103">
        <v>71.03841645762715</v>
      </c>
      <c r="U103">
        <v>68.790745624832311</v>
      </c>
      <c r="V103">
        <v>76.565650215256682</v>
      </c>
      <c r="W103">
        <v>66.639482766219189</v>
      </c>
      <c r="X103">
        <v>50.049421438067391</v>
      </c>
      <c r="Y103">
        <v>52.730211219694475</v>
      </c>
      <c r="Z103">
        <v>52.871173535273435</v>
      </c>
      <c r="AA103">
        <v>57.299174830250806</v>
      </c>
      <c r="AB103">
        <v>73.7138472421193</v>
      </c>
      <c r="AC103">
        <v>51.214570453080512</v>
      </c>
      <c r="AD103">
        <v>18.73</v>
      </c>
      <c r="AE103">
        <v>44.674223214239248</v>
      </c>
      <c r="AF103">
        <v>83.11069017600326</v>
      </c>
      <c r="AG103">
        <v>-2.3768755000000077</v>
      </c>
      <c r="AH103">
        <v>366.6235858</v>
      </c>
      <c r="AI103">
        <v>364.24671030000002</v>
      </c>
    </row>
    <row r="104" spans="1:35">
      <c r="A104" t="s">
        <v>210</v>
      </c>
      <c r="B104">
        <v>115.46754663490078</v>
      </c>
      <c r="C104">
        <v>117.57285977203128</v>
      </c>
      <c r="D104">
        <v>65.051656026273378</v>
      </c>
      <c r="E104">
        <v>79.61767799308133</v>
      </c>
      <c r="F104">
        <v>5.2534711672721137</v>
      </c>
      <c r="G104">
        <v>5.6111095070643255</v>
      </c>
      <c r="H104">
        <v>53.240804971212086</v>
      </c>
      <c r="I104">
        <v>35.661326949909324</v>
      </c>
      <c r="J104">
        <v>34.273033517512062</v>
      </c>
      <c r="K104">
        <v>52.797429969717179</v>
      </c>
      <c r="L104">
        <v>55.538214598847922</v>
      </c>
      <c r="M104">
        <v>87.822792094824038</v>
      </c>
      <c r="N104">
        <v>5.5467982228042505</v>
      </c>
      <c r="O104">
        <v>44.062444049847834</v>
      </c>
      <c r="P104">
        <v>55.483110439274732</v>
      </c>
      <c r="Q104">
        <v>81.608033360631197</v>
      </c>
      <c r="R104">
        <v>49.013748836097719</v>
      </c>
      <c r="S104">
        <v>60.933258697287961</v>
      </c>
      <c r="T104">
        <v>71.209988784604235</v>
      </c>
      <c r="U104">
        <v>69.167938646536712</v>
      </c>
      <c r="V104">
        <v>76.783383992646307</v>
      </c>
      <c r="W104">
        <v>66.587674716352012</v>
      </c>
      <c r="X104">
        <v>48.669989485267578</v>
      </c>
      <c r="Y104">
        <v>54.249747159407434</v>
      </c>
      <c r="Z104">
        <v>54.18714159098711</v>
      </c>
      <c r="AA104">
        <v>56.619358530156724</v>
      </c>
      <c r="AB104">
        <v>75.372532618868746</v>
      </c>
      <c r="AC104">
        <v>53.839556734908506</v>
      </c>
      <c r="AD104">
        <v>20.12</v>
      </c>
      <c r="AE104">
        <v>47.627141792590315</v>
      </c>
      <c r="AF104">
        <v>80.064804424369726</v>
      </c>
      <c r="AG104">
        <v>-1.3343506999999923</v>
      </c>
      <c r="AH104">
        <v>370.29987979999999</v>
      </c>
      <c r="AI104">
        <v>368.96552910000003</v>
      </c>
    </row>
    <row r="105" spans="1:35">
      <c r="A105" t="s">
        <v>211</v>
      </c>
      <c r="B105">
        <v>116.49190260706528</v>
      </c>
      <c r="C105">
        <v>118.78545802318662</v>
      </c>
      <c r="D105">
        <v>64.75208114592894</v>
      </c>
      <c r="E105">
        <v>79.370104181495222</v>
      </c>
      <c r="F105">
        <v>5.1593525279442396</v>
      </c>
      <c r="G105">
        <v>5.7885452215734041</v>
      </c>
      <c r="H105">
        <v>53.852314653033986</v>
      </c>
      <c r="I105">
        <v>35.827688735599395</v>
      </c>
      <c r="J105">
        <v>34.359395147725195</v>
      </c>
      <c r="K105">
        <v>52.333974305714968</v>
      </c>
      <c r="L105">
        <v>56.300572302018914</v>
      </c>
      <c r="M105">
        <v>87.925683042359822</v>
      </c>
      <c r="N105">
        <v>5.5044114349966256</v>
      </c>
      <c r="O105">
        <v>43.787111643785046</v>
      </c>
      <c r="P105">
        <v>54.348841874000541</v>
      </c>
      <c r="Q105">
        <v>80.609775040239342</v>
      </c>
      <c r="R105">
        <v>45.46420818799443</v>
      </c>
      <c r="S105">
        <v>61.119745062905473</v>
      </c>
      <c r="T105">
        <v>71.336387434074766</v>
      </c>
      <c r="U105">
        <v>69.408722892330061</v>
      </c>
      <c r="V105">
        <v>76.942017178318906</v>
      </c>
      <c r="W105">
        <v>67.116935452322807</v>
      </c>
      <c r="X105">
        <v>47.388003946224188</v>
      </c>
      <c r="Y105">
        <v>53.805826871991073</v>
      </c>
      <c r="Z105">
        <v>53.600704215521134</v>
      </c>
      <c r="AA105">
        <v>56.303693490528673</v>
      </c>
      <c r="AB105">
        <v>74.239468008302183</v>
      </c>
      <c r="AC105">
        <v>51.521199177292168</v>
      </c>
      <c r="AD105">
        <v>19.16</v>
      </c>
      <c r="AE105">
        <v>45.229030525878784</v>
      </c>
      <c r="AF105">
        <v>80.235600171351635</v>
      </c>
      <c r="AG105">
        <v>-0.5904817999999924</v>
      </c>
      <c r="AH105">
        <v>364.77725570000001</v>
      </c>
      <c r="AI105">
        <v>364.18677389999999</v>
      </c>
    </row>
    <row r="106" spans="1:35">
      <c r="A106" t="s">
        <v>212</v>
      </c>
      <c r="B106">
        <v>118.14215821327201</v>
      </c>
      <c r="C106">
        <v>120.72724257108806</v>
      </c>
      <c r="D106">
        <v>65.110155407300752</v>
      </c>
      <c r="E106">
        <v>79.5765374595004</v>
      </c>
      <c r="F106">
        <v>5.0874151731655273</v>
      </c>
      <c r="G106">
        <v>6.229029060159454</v>
      </c>
      <c r="H106">
        <v>54.747937182201525</v>
      </c>
      <c r="I106">
        <v>36.092540566283674</v>
      </c>
      <c r="J106">
        <v>34.568498191213919</v>
      </c>
      <c r="K106">
        <v>52.544136189552361</v>
      </c>
      <c r="L106">
        <v>57.798164738790383</v>
      </c>
      <c r="M106">
        <v>88.011418852384551</v>
      </c>
      <c r="N106">
        <v>5.4802689976951138</v>
      </c>
      <c r="O106">
        <v>43.940349122646374</v>
      </c>
      <c r="P106">
        <v>53.081179446348067</v>
      </c>
      <c r="Q106">
        <v>87.071179248674952</v>
      </c>
      <c r="R106">
        <v>43.941184307701327</v>
      </c>
      <c r="S106">
        <v>61.332648393837843</v>
      </c>
      <c r="T106">
        <v>71.467906108130236</v>
      </c>
      <c r="U106">
        <v>69.631641669966257</v>
      </c>
      <c r="V106">
        <v>77.106311737039732</v>
      </c>
      <c r="W106">
        <v>71.614807774840301</v>
      </c>
      <c r="X106">
        <v>45.282331839181261</v>
      </c>
      <c r="Y106">
        <v>52.656442001023862</v>
      </c>
      <c r="Z106">
        <v>52.39395203248796</v>
      </c>
      <c r="AA106">
        <v>57.590374437236179</v>
      </c>
      <c r="AB106">
        <v>66.289227229558421</v>
      </c>
      <c r="AC106">
        <v>46.558744609752431</v>
      </c>
      <c r="AD106">
        <v>17.239999999999998</v>
      </c>
      <c r="AE106">
        <v>41.275286116539426</v>
      </c>
      <c r="AF106">
        <v>74.806590152380934</v>
      </c>
      <c r="AG106">
        <v>-5.2346662999999998</v>
      </c>
      <c r="AH106">
        <v>364.59629059999997</v>
      </c>
      <c r="AI106">
        <v>359.36162430000002</v>
      </c>
    </row>
    <row r="107" spans="1:35">
      <c r="A107" t="s">
        <v>213</v>
      </c>
      <c r="B107">
        <v>116.30138179074841</v>
      </c>
      <c r="C107">
        <v>118.55983400446362</v>
      </c>
      <c r="D107">
        <v>64.998757338494599</v>
      </c>
      <c r="E107">
        <v>79.683656351264148</v>
      </c>
      <c r="F107">
        <v>4.9722919338247697</v>
      </c>
      <c r="G107">
        <v>7.4087817322480642</v>
      </c>
      <c r="H107">
        <v>56.966409252289864</v>
      </c>
      <c r="I107">
        <v>36.417574233255628</v>
      </c>
      <c r="J107">
        <v>34.659065661965961</v>
      </c>
      <c r="K107">
        <v>53.618066842557695</v>
      </c>
      <c r="L107">
        <v>59.305701551793092</v>
      </c>
      <c r="M107">
        <v>88.210673831841248</v>
      </c>
      <c r="N107">
        <v>5.7249334361567072</v>
      </c>
      <c r="O107">
        <v>43.989343637937694</v>
      </c>
      <c r="P107">
        <v>50.166781782716242</v>
      </c>
      <c r="Q107">
        <v>88.74415221287623</v>
      </c>
      <c r="R107">
        <v>43.747141121046504</v>
      </c>
      <c r="S107">
        <v>61.687860501290928</v>
      </c>
      <c r="T107">
        <v>71.700990221985649</v>
      </c>
      <c r="U107">
        <v>69.853385762981034</v>
      </c>
      <c r="V107">
        <v>77.286124812437578</v>
      </c>
      <c r="W107">
        <v>68.531238635070125</v>
      </c>
      <c r="X107">
        <v>43.939869722394342</v>
      </c>
      <c r="Y107">
        <v>51.768383273450574</v>
      </c>
      <c r="Z107">
        <v>51.545929808372826</v>
      </c>
      <c r="AA107">
        <v>55.779341880466902</v>
      </c>
      <c r="AB107">
        <v>62.779440776292546</v>
      </c>
      <c r="AC107">
        <v>42.048357634275234</v>
      </c>
      <c r="AD107">
        <v>15.07</v>
      </c>
      <c r="AE107">
        <v>36.3340014812511</v>
      </c>
      <c r="AF107">
        <v>71.973685438084615</v>
      </c>
      <c r="AG107">
        <v>-1.7174158000000077</v>
      </c>
      <c r="AH107">
        <v>353.61206920000001</v>
      </c>
      <c r="AI107">
        <v>351.89465339999998</v>
      </c>
    </row>
    <row r="108" spans="1:35">
      <c r="A108" t="s">
        <v>214</v>
      </c>
      <c r="B108">
        <v>118.53877912538017</v>
      </c>
      <c r="C108">
        <v>121.07424276466342</v>
      </c>
      <c r="D108">
        <v>64.998709529807527</v>
      </c>
      <c r="E108">
        <v>79.602663845794297</v>
      </c>
      <c r="F108">
        <v>4.9307705586111696</v>
      </c>
      <c r="G108">
        <v>7.6623775268119632</v>
      </c>
      <c r="H108">
        <v>60.441422073270324</v>
      </c>
      <c r="I108">
        <v>36.624302359182735</v>
      </c>
      <c r="J108">
        <v>34.81107086753947</v>
      </c>
      <c r="K108">
        <v>57.491260702041899</v>
      </c>
      <c r="L108">
        <v>63.234241522100056</v>
      </c>
      <c r="M108">
        <v>88.279364308639956</v>
      </c>
      <c r="N108">
        <v>5.7702985523244124</v>
      </c>
      <c r="O108">
        <v>43.951733169479503</v>
      </c>
      <c r="P108">
        <v>49.584118551256566</v>
      </c>
      <c r="Q108">
        <v>88.949269649445441</v>
      </c>
      <c r="R108">
        <v>44.628215224904622</v>
      </c>
      <c r="S108">
        <v>62.047066341684385</v>
      </c>
      <c r="T108">
        <v>71.920530214752418</v>
      </c>
      <c r="U108">
        <v>70.137155858536119</v>
      </c>
      <c r="V108">
        <v>77.475429586743402</v>
      </c>
      <c r="W108">
        <v>67.986532082205386</v>
      </c>
      <c r="X108">
        <v>43.210951507484666</v>
      </c>
      <c r="Y108">
        <v>51.723727824091611</v>
      </c>
      <c r="Z108">
        <v>51.489615976705011</v>
      </c>
      <c r="AA108">
        <v>55.870370944558026</v>
      </c>
      <c r="AB108">
        <v>61.995498807496389</v>
      </c>
      <c r="AC108">
        <v>40.491215786005604</v>
      </c>
      <c r="AD108">
        <v>14.18</v>
      </c>
      <c r="AE108">
        <v>34.030726758421373</v>
      </c>
      <c r="AF108">
        <v>75.198985747847772</v>
      </c>
      <c r="AG108">
        <v>2.5402703</v>
      </c>
      <c r="AH108">
        <v>356.83886610000002</v>
      </c>
      <c r="AI108">
        <v>359.37913639999999</v>
      </c>
    </row>
    <row r="109" spans="1:35">
      <c r="A109" t="s">
        <v>215</v>
      </c>
      <c r="B109">
        <v>117.54943019054291</v>
      </c>
      <c r="C109">
        <v>120.11947798873818</v>
      </c>
      <c r="D109">
        <v>65.079523869057496</v>
      </c>
      <c r="E109">
        <v>79.412770764097971</v>
      </c>
      <c r="F109">
        <v>4.8783286086187898</v>
      </c>
      <c r="G109">
        <v>7.4217885223430864</v>
      </c>
      <c r="H109">
        <v>62.929324191030148</v>
      </c>
      <c r="I109">
        <v>36.871013030060574</v>
      </c>
      <c r="J109">
        <v>34.962387836373381</v>
      </c>
      <c r="K109">
        <v>59.525698071436061</v>
      </c>
      <c r="L109">
        <v>66.167294793014889</v>
      </c>
      <c r="M109">
        <v>88.310274225300162</v>
      </c>
      <c r="N109">
        <v>5.8353216130061742</v>
      </c>
      <c r="O109">
        <v>44.086780552446065</v>
      </c>
      <c r="P109">
        <v>48.887517511261741</v>
      </c>
      <c r="Q109">
        <v>83.048969564649937</v>
      </c>
      <c r="R109">
        <v>43.499706759817336</v>
      </c>
      <c r="S109">
        <v>62.31766074307771</v>
      </c>
      <c r="T109">
        <v>72.084544275125722</v>
      </c>
      <c r="U109">
        <v>70.345073578602609</v>
      </c>
      <c r="V109">
        <v>77.646517489113691</v>
      </c>
      <c r="W109">
        <v>68.63575604412668</v>
      </c>
      <c r="X109">
        <v>43.543010715763565</v>
      </c>
      <c r="Y109">
        <v>52.085138021351241</v>
      </c>
      <c r="Z109">
        <v>51.827532759723603</v>
      </c>
      <c r="AA109">
        <v>56.012401799645822</v>
      </c>
      <c r="AB109">
        <v>61.387567291563187</v>
      </c>
      <c r="AC109">
        <v>38.581555231259159</v>
      </c>
      <c r="AD109">
        <v>13.24</v>
      </c>
      <c r="AE109">
        <v>31.902448223081365</v>
      </c>
      <c r="AF109">
        <v>74.171997392682528</v>
      </c>
      <c r="AG109">
        <v>-0.67336669999999232</v>
      </c>
      <c r="AH109">
        <v>356.64922039999999</v>
      </c>
      <c r="AI109">
        <v>355.97585370000002</v>
      </c>
    </row>
    <row r="110" spans="1:35">
      <c r="A110" t="s">
        <v>216</v>
      </c>
      <c r="B110">
        <v>118.1728838041379</v>
      </c>
      <c r="C110">
        <v>120.87814717888396</v>
      </c>
      <c r="D110">
        <v>65.264037769758147</v>
      </c>
      <c r="E110">
        <v>79.53445537989225</v>
      </c>
      <c r="F110">
        <v>4.8516661942849453</v>
      </c>
      <c r="G110">
        <v>7.4236967255676838</v>
      </c>
      <c r="H110">
        <v>63.011166694784116</v>
      </c>
      <c r="I110">
        <v>37.114692693420537</v>
      </c>
      <c r="J110">
        <v>35.139267978089265</v>
      </c>
      <c r="K110">
        <v>59.757478236488858</v>
      </c>
      <c r="L110">
        <v>65.767541898098187</v>
      </c>
      <c r="M110">
        <v>88.353579820650921</v>
      </c>
      <c r="N110">
        <v>5.8758634072310931</v>
      </c>
      <c r="O110">
        <v>44.538723456392354</v>
      </c>
      <c r="P110">
        <v>49.93166226729312</v>
      </c>
      <c r="Q110">
        <v>82.654235496052706</v>
      </c>
      <c r="R110">
        <v>43.473755784544579</v>
      </c>
      <c r="S110">
        <v>62.536258816634628</v>
      </c>
      <c r="T110">
        <v>72.20791822554898</v>
      </c>
      <c r="U110">
        <v>70.598424972776925</v>
      </c>
      <c r="V110">
        <v>77.791680249090348</v>
      </c>
      <c r="W110">
        <v>70.744700626943327</v>
      </c>
      <c r="X110">
        <v>43.842566583974843</v>
      </c>
      <c r="Y110">
        <v>52.103175419357022</v>
      </c>
      <c r="Z110">
        <v>51.821966990249024</v>
      </c>
      <c r="AA110">
        <v>57.363715167599352</v>
      </c>
      <c r="AB110">
        <v>62.633578575511464</v>
      </c>
      <c r="AC110">
        <v>39.18138847289427</v>
      </c>
      <c r="AD110">
        <v>13.39</v>
      </c>
      <c r="AE110">
        <v>32.288465135359232</v>
      </c>
      <c r="AF110">
        <v>73.728172651079902</v>
      </c>
      <c r="AG110">
        <v>1.2943723999999923</v>
      </c>
      <c r="AH110">
        <v>353.09490570000003</v>
      </c>
      <c r="AI110">
        <v>354.38927810000001</v>
      </c>
    </row>
    <row r="111" spans="1:35">
      <c r="A111" t="s">
        <v>217</v>
      </c>
      <c r="B111">
        <v>117.91081836589983</v>
      </c>
      <c r="C111">
        <v>120.64446318356696</v>
      </c>
      <c r="D111">
        <v>64.974177007247533</v>
      </c>
      <c r="E111">
        <v>79.385445600042615</v>
      </c>
      <c r="F111">
        <v>4.8386135612331591</v>
      </c>
      <c r="G111">
        <v>7.9084490928101054</v>
      </c>
      <c r="H111">
        <v>61.857841181465453</v>
      </c>
      <c r="I111">
        <v>37.38022989975849</v>
      </c>
      <c r="J111">
        <v>35.349200838417623</v>
      </c>
      <c r="K111">
        <v>57.365006638784543</v>
      </c>
      <c r="L111">
        <v>64.008146467967748</v>
      </c>
      <c r="M111">
        <v>88.447166671476978</v>
      </c>
      <c r="N111">
        <v>5.9018513200862808</v>
      </c>
      <c r="O111">
        <v>44.827716523748485</v>
      </c>
      <c r="P111">
        <v>49.741432194074783</v>
      </c>
      <c r="Q111">
        <v>80.043073115907816</v>
      </c>
      <c r="R111">
        <v>43.048977416970168</v>
      </c>
      <c r="S111">
        <v>62.868302265830067</v>
      </c>
      <c r="T111">
        <v>72.433334339119469</v>
      </c>
      <c r="U111">
        <v>70.849750974829945</v>
      </c>
      <c r="V111">
        <v>77.952961573652416</v>
      </c>
      <c r="W111">
        <v>71.116171407031572</v>
      </c>
      <c r="X111">
        <v>42.341750486872435</v>
      </c>
      <c r="Y111">
        <v>51.156804982700713</v>
      </c>
      <c r="Z111">
        <v>50.823713943954367</v>
      </c>
      <c r="AA111">
        <v>56.979390864958631</v>
      </c>
      <c r="AB111">
        <v>58.91726809990687</v>
      </c>
      <c r="AC111">
        <v>39.271910721570435</v>
      </c>
      <c r="AD111">
        <v>13.97</v>
      </c>
      <c r="AE111">
        <v>33.690444149602463</v>
      </c>
      <c r="AF111">
        <v>72.956108234191959</v>
      </c>
      <c r="AG111">
        <v>1.0845254000000075</v>
      </c>
      <c r="AH111">
        <v>349.12057979999997</v>
      </c>
      <c r="AI111">
        <v>350.20510519999999</v>
      </c>
    </row>
    <row r="112" spans="1:35">
      <c r="A112" t="s">
        <v>218</v>
      </c>
      <c r="B112">
        <v>118.13162689239472</v>
      </c>
      <c r="C112">
        <v>120.93451395849642</v>
      </c>
      <c r="D112">
        <v>65.006653838750054</v>
      </c>
      <c r="E112">
        <v>79.312661706930101</v>
      </c>
      <c r="F112">
        <v>4.7348339892665843</v>
      </c>
      <c r="G112">
        <v>7.906676791949093</v>
      </c>
      <c r="H112">
        <v>61.4314169948886</v>
      </c>
      <c r="I112">
        <v>37.638373229532121</v>
      </c>
      <c r="J112">
        <v>35.564530062651137</v>
      </c>
      <c r="K112">
        <v>57.08904369976112</v>
      </c>
      <c r="L112">
        <v>64.162360601788777</v>
      </c>
      <c r="M112">
        <v>88.527574474776415</v>
      </c>
      <c r="N112">
        <v>5.9031132972532854</v>
      </c>
      <c r="O112">
        <v>44.693391906164585</v>
      </c>
      <c r="P112">
        <v>47.563374992091539</v>
      </c>
      <c r="Q112">
        <v>75.205592116514154</v>
      </c>
      <c r="R112">
        <v>42.616359052700162</v>
      </c>
      <c r="S112">
        <v>63.17905275784085</v>
      </c>
      <c r="T112">
        <v>72.606324484822721</v>
      </c>
      <c r="U112">
        <v>71.112373334597279</v>
      </c>
      <c r="V112">
        <v>78.104789247512542</v>
      </c>
      <c r="W112">
        <v>69.061427349997331</v>
      </c>
      <c r="X112">
        <v>40.491138212465323</v>
      </c>
      <c r="Y112">
        <v>50.005405209468854</v>
      </c>
      <c r="Z112">
        <v>49.751174153797649</v>
      </c>
      <c r="AA112">
        <v>55.158944716705363</v>
      </c>
      <c r="AB112">
        <v>58.753430414724633</v>
      </c>
      <c r="AC112">
        <v>36.576578307600656</v>
      </c>
      <c r="AD112">
        <v>12.48</v>
      </c>
      <c r="AE112">
        <v>30.355426547166179</v>
      </c>
      <c r="AF112">
        <v>71.911061109778615</v>
      </c>
      <c r="AG112">
        <v>-0.95437099999999997</v>
      </c>
      <c r="AH112">
        <v>347.5300368</v>
      </c>
      <c r="AI112">
        <v>346.57566580000002</v>
      </c>
    </row>
    <row r="113" spans="1:35">
      <c r="A113" t="s">
        <v>219</v>
      </c>
      <c r="B113">
        <v>117.95346973518157</v>
      </c>
      <c r="C113">
        <v>120.82705514117021</v>
      </c>
      <c r="D113">
        <v>65.129248683057156</v>
      </c>
      <c r="E113">
        <v>79.444417808635052</v>
      </c>
      <c r="F113">
        <v>4.7366083166065405</v>
      </c>
      <c r="G113">
        <v>8.0842026156280387</v>
      </c>
      <c r="H113">
        <v>62.354060474610641</v>
      </c>
      <c r="I113">
        <v>37.91364189902442</v>
      </c>
      <c r="J113">
        <v>35.645309406690906</v>
      </c>
      <c r="K113">
        <v>57.529402419728939</v>
      </c>
      <c r="L113">
        <v>64.699566174566158</v>
      </c>
      <c r="M113">
        <v>88.627766602387254</v>
      </c>
      <c r="N113">
        <v>5.9146340678916847</v>
      </c>
      <c r="O113">
        <v>45.117923708484462</v>
      </c>
      <c r="P113">
        <v>46.644167550385951</v>
      </c>
      <c r="Q113">
        <v>71.809018335422678</v>
      </c>
      <c r="R113">
        <v>42.010944310337095</v>
      </c>
      <c r="S113">
        <v>63.527650956325445</v>
      </c>
      <c r="T113">
        <v>72.796649286067421</v>
      </c>
      <c r="U113">
        <v>71.389504080172415</v>
      </c>
      <c r="V113">
        <v>78.255997641667989</v>
      </c>
      <c r="W113">
        <v>66.221294780804868</v>
      </c>
      <c r="X113">
        <v>40.43209953084218</v>
      </c>
      <c r="Y113">
        <v>49.502124744528629</v>
      </c>
      <c r="Z113">
        <v>49.297977080032801</v>
      </c>
      <c r="AA113">
        <v>53.49109605084864</v>
      </c>
      <c r="AB113">
        <v>57.7536284619204</v>
      </c>
      <c r="AC113">
        <v>36.740261184539982</v>
      </c>
      <c r="AD113">
        <v>12.72</v>
      </c>
      <c r="AE113">
        <v>30.999288290683353</v>
      </c>
      <c r="AF113">
        <v>69.680821415072117</v>
      </c>
      <c r="AG113">
        <v>1.9090071000000077</v>
      </c>
      <c r="AH113">
        <v>342.8181285</v>
      </c>
      <c r="AI113">
        <v>344.7271356</v>
      </c>
    </row>
    <row r="114" spans="1:35">
      <c r="A114" t="s">
        <v>220</v>
      </c>
      <c r="B114">
        <v>117.15817964016918</v>
      </c>
      <c r="C114">
        <v>119.77948343739907</v>
      </c>
      <c r="D114">
        <v>64.979758448176028</v>
      </c>
      <c r="E114">
        <v>79.227180444556751</v>
      </c>
      <c r="F114">
        <v>4.5839722406164469</v>
      </c>
      <c r="G114">
        <v>8.8631684839135172</v>
      </c>
      <c r="H114">
        <v>52.090673326967995</v>
      </c>
      <c r="I114">
        <v>38.053814287035905</v>
      </c>
      <c r="J114">
        <v>35.862302015601045</v>
      </c>
      <c r="K114">
        <v>47.916369512701252</v>
      </c>
      <c r="L114">
        <v>53.828449959094804</v>
      </c>
      <c r="M114">
        <v>88.689863340188694</v>
      </c>
      <c r="N114">
        <v>5.9011061165366261</v>
      </c>
      <c r="O114">
        <v>45.313385144321316</v>
      </c>
      <c r="P114">
        <v>45.222398128924858</v>
      </c>
      <c r="Q114">
        <v>73.599145817311893</v>
      </c>
      <c r="R114">
        <v>39.10578379125365</v>
      </c>
      <c r="S114">
        <v>63.844440988873998</v>
      </c>
      <c r="T114">
        <v>72.941239811872208</v>
      </c>
      <c r="U114">
        <v>71.652261678359693</v>
      </c>
      <c r="V114">
        <v>78.441436707381214</v>
      </c>
      <c r="W114">
        <v>63.873507697654432</v>
      </c>
      <c r="X114">
        <v>39.770859606206187</v>
      </c>
      <c r="Y114">
        <v>49.19725681105627</v>
      </c>
      <c r="Z114">
        <v>48.842398891404663</v>
      </c>
      <c r="AA114">
        <v>52.108795132799088</v>
      </c>
      <c r="AB114">
        <v>53.259919196518617</v>
      </c>
      <c r="AC114">
        <v>35.261401585759003</v>
      </c>
      <c r="AD114">
        <v>12.49</v>
      </c>
      <c r="AE114">
        <v>30.542438175979896</v>
      </c>
      <c r="AF114">
        <v>69.738011575712463</v>
      </c>
      <c r="AG114">
        <v>-0.55982830000000761</v>
      </c>
      <c r="AH114">
        <v>339.09361669999998</v>
      </c>
      <c r="AI114">
        <v>338.53378839999999</v>
      </c>
    </row>
    <row r="115" spans="1:35">
      <c r="A115" t="s">
        <v>221</v>
      </c>
      <c r="B115">
        <v>115.70341906111612</v>
      </c>
      <c r="C115">
        <v>118.15535154104828</v>
      </c>
      <c r="D115">
        <v>65.239989318987682</v>
      </c>
      <c r="E115">
        <v>79.603716279566584</v>
      </c>
      <c r="F115">
        <v>4.1935976794469543</v>
      </c>
      <c r="G115">
        <v>9.8385085980654132</v>
      </c>
      <c r="H115">
        <v>50.896284108442735</v>
      </c>
      <c r="I115">
        <v>38.288943703461968</v>
      </c>
      <c r="J115">
        <v>36.075034277903349</v>
      </c>
      <c r="K115">
        <v>48.697277511704371</v>
      </c>
      <c r="L115">
        <v>53.576491805753491</v>
      </c>
      <c r="M115">
        <v>88.771964706777339</v>
      </c>
      <c r="N115">
        <v>5.9139303020557952</v>
      </c>
      <c r="O115">
        <v>45.855927531404433</v>
      </c>
      <c r="P115">
        <v>46.057520187567746</v>
      </c>
      <c r="Q115">
        <v>71.246278964232999</v>
      </c>
      <c r="R115">
        <v>39.841658465646127</v>
      </c>
      <c r="S115">
        <v>64.921660554401399</v>
      </c>
      <c r="T115">
        <v>73.485989464812988</v>
      </c>
      <c r="U115">
        <v>71.785677310745825</v>
      </c>
      <c r="V115">
        <v>78.564161298740004</v>
      </c>
      <c r="W115">
        <v>62.983520370818745</v>
      </c>
      <c r="X115">
        <v>40.085856582308139</v>
      </c>
      <c r="Y115">
        <v>47.929786158830325</v>
      </c>
      <c r="Z115">
        <v>47.600318529110076</v>
      </c>
      <c r="AA115">
        <v>51.734266442265003</v>
      </c>
      <c r="AB115">
        <v>55.03604056617889</v>
      </c>
      <c r="AC115">
        <v>37.84625241028791</v>
      </c>
      <c r="AD115">
        <v>13.8</v>
      </c>
      <c r="AE115">
        <v>32.801803320957504</v>
      </c>
      <c r="AF115">
        <v>70.887122560083725</v>
      </c>
      <c r="AG115">
        <v>-0.58183200000000002</v>
      </c>
      <c r="AH115">
        <v>348.9194129</v>
      </c>
      <c r="AI115">
        <v>348.33758089999998</v>
      </c>
    </row>
    <row r="116" spans="1:35">
      <c r="A116" t="s">
        <v>222</v>
      </c>
      <c r="B116">
        <v>112.52156348030614</v>
      </c>
      <c r="C116">
        <v>115.64182521318426</v>
      </c>
      <c r="D116">
        <v>65.339447980685733</v>
      </c>
      <c r="E116">
        <v>79.648758955877085</v>
      </c>
      <c r="F116">
        <v>4.0078539277927945</v>
      </c>
      <c r="G116">
        <v>8.2460832567042956</v>
      </c>
      <c r="H116">
        <v>54.64793930419232</v>
      </c>
      <c r="I116">
        <v>38.58330290536631</v>
      </c>
      <c r="J116">
        <v>36.381801778861487</v>
      </c>
      <c r="K116">
        <v>53.996192961015574</v>
      </c>
      <c r="L116">
        <v>57.440329658226695</v>
      </c>
      <c r="M116">
        <v>88.819833436418932</v>
      </c>
      <c r="N116">
        <v>5.9137258003796926</v>
      </c>
      <c r="O116">
        <v>45.93325524567333</v>
      </c>
      <c r="P116">
        <v>45.78721755033947</v>
      </c>
      <c r="Q116">
        <v>70.01584437263169</v>
      </c>
      <c r="R116">
        <v>39.577132523625238</v>
      </c>
      <c r="S116">
        <v>65.297827518712865</v>
      </c>
      <c r="T116">
        <v>73.739177843071957</v>
      </c>
      <c r="U116">
        <v>72.939535305404164</v>
      </c>
      <c r="V116">
        <v>78.958152392600965</v>
      </c>
      <c r="W116">
        <v>64.778176933270615</v>
      </c>
      <c r="X116">
        <v>38.711779395269801</v>
      </c>
      <c r="Y116">
        <v>46.570633337567443</v>
      </c>
      <c r="Z116">
        <v>46.230543499070052</v>
      </c>
      <c r="AA116">
        <v>52.153822245069037</v>
      </c>
      <c r="AB116">
        <v>52.73966977802062</v>
      </c>
      <c r="AC116">
        <v>36.578087243122773</v>
      </c>
      <c r="AD116">
        <v>13.26</v>
      </c>
      <c r="AE116">
        <v>30.604878082871409</v>
      </c>
      <c r="AF116">
        <v>69.109124911394005</v>
      </c>
      <c r="AG116">
        <v>-1.2690988000000001</v>
      </c>
      <c r="AH116">
        <v>353.13826</v>
      </c>
      <c r="AI116">
        <v>351.86916120000001</v>
      </c>
    </row>
    <row r="117" spans="1:35">
      <c r="A117" t="s">
        <v>223</v>
      </c>
      <c r="B117">
        <v>113.94536886812411</v>
      </c>
      <c r="C117">
        <v>117.40780445959004</v>
      </c>
      <c r="D117">
        <v>65.340586942655946</v>
      </c>
      <c r="E117">
        <v>79.543176243220557</v>
      </c>
      <c r="F117">
        <v>4.1075601386339224</v>
      </c>
      <c r="G117">
        <v>7.0349020852490129</v>
      </c>
      <c r="H117">
        <v>58.995392127612256</v>
      </c>
      <c r="I117">
        <v>38.930941449377841</v>
      </c>
      <c r="J117">
        <v>36.758798728102839</v>
      </c>
      <c r="K117">
        <v>57.819828443759732</v>
      </c>
      <c r="L117">
        <v>62.374970542676742</v>
      </c>
      <c r="M117">
        <v>88.925452384186684</v>
      </c>
      <c r="N117">
        <v>5.9142742128001817</v>
      </c>
      <c r="O117">
        <v>46.395910666558514</v>
      </c>
      <c r="P117">
        <v>45.166089537940508</v>
      </c>
      <c r="Q117">
        <v>71.041873591704785</v>
      </c>
      <c r="R117">
        <v>39.344907696942727</v>
      </c>
      <c r="S117">
        <v>65.600133323755642</v>
      </c>
      <c r="T117">
        <v>73.952747963473357</v>
      </c>
      <c r="U117">
        <v>73.121246635946633</v>
      </c>
      <c r="V117">
        <v>79.10918112230469</v>
      </c>
      <c r="W117">
        <v>65.645399682221353</v>
      </c>
      <c r="X117">
        <v>38.777053061583416</v>
      </c>
      <c r="Y117">
        <v>45.829722116238258</v>
      </c>
      <c r="Z117">
        <v>45.86676844395766</v>
      </c>
      <c r="AA117">
        <v>52.455358697348018</v>
      </c>
      <c r="AB117">
        <v>54.710976421591049</v>
      </c>
      <c r="AC117">
        <v>34.622348760547858</v>
      </c>
      <c r="AD117">
        <v>11.88</v>
      </c>
      <c r="AE117">
        <v>27.707406130233178</v>
      </c>
      <c r="AF117">
        <v>68.334132894697731</v>
      </c>
      <c r="AG117">
        <v>0.73398779999999997</v>
      </c>
      <c r="AH117">
        <v>350.46037560000002</v>
      </c>
      <c r="AI117">
        <v>351.19436339999999</v>
      </c>
    </row>
    <row r="118" spans="1:35">
      <c r="A118" t="s">
        <v>224</v>
      </c>
      <c r="B118">
        <v>113.67432675092864</v>
      </c>
      <c r="C118">
        <v>117.19505622610612</v>
      </c>
      <c r="D118">
        <v>65.593137162886691</v>
      </c>
      <c r="E118">
        <v>79.602314945936442</v>
      </c>
      <c r="F118">
        <v>4.0227720322974001</v>
      </c>
      <c r="G118">
        <v>6.9752801228862111</v>
      </c>
      <c r="H118">
        <v>59.118913966937392</v>
      </c>
      <c r="I118">
        <v>39.213897211493091</v>
      </c>
      <c r="J118">
        <v>36.857951292273086</v>
      </c>
      <c r="K118">
        <v>59.775857941243771</v>
      </c>
      <c r="L118">
        <v>63.363194820321212</v>
      </c>
      <c r="M118">
        <v>89.020281184139932</v>
      </c>
      <c r="N118">
        <v>5.8704552385702247</v>
      </c>
      <c r="O118">
        <v>46.497579647699162</v>
      </c>
      <c r="P118">
        <v>42.924983750092984</v>
      </c>
      <c r="Q118">
        <v>71.306461607969737</v>
      </c>
      <c r="R118">
        <v>39.344907696942727</v>
      </c>
      <c r="S118">
        <v>65.906883587889709</v>
      </c>
      <c r="T118">
        <v>74.098018225509009</v>
      </c>
      <c r="U118">
        <v>73.39173818890265</v>
      </c>
      <c r="V118">
        <v>79.299151393177453</v>
      </c>
      <c r="W118">
        <v>63.740981358944381</v>
      </c>
      <c r="X118">
        <v>37.272758868823857</v>
      </c>
      <c r="Y118">
        <v>45.401989493298473</v>
      </c>
      <c r="Z118">
        <v>45.515042420823654</v>
      </c>
      <c r="AA118">
        <v>51.222653961458882</v>
      </c>
      <c r="AB118">
        <v>49.481007435294778</v>
      </c>
      <c r="AC118">
        <v>30.922616729247952</v>
      </c>
      <c r="AD118">
        <v>10.41</v>
      </c>
      <c r="AE118">
        <v>24.093370976082753</v>
      </c>
      <c r="AF118">
        <v>68.341705537148783</v>
      </c>
      <c r="AG118">
        <v>1.4877422</v>
      </c>
      <c r="AH118">
        <v>348.83947160000002</v>
      </c>
      <c r="AI118">
        <v>350.32721379999998</v>
      </c>
    </row>
    <row r="119" spans="1:35">
      <c r="A119" t="s">
        <v>225</v>
      </c>
      <c r="B119">
        <v>114.52235212107034</v>
      </c>
      <c r="C119">
        <v>118.59649694956238</v>
      </c>
      <c r="D119">
        <v>65.766690706785923</v>
      </c>
      <c r="E119">
        <v>80.145973492806064</v>
      </c>
      <c r="F119">
        <v>4.1412505931158838</v>
      </c>
      <c r="G119">
        <v>5.8924083978899402</v>
      </c>
      <c r="H119">
        <v>61.376123106364147</v>
      </c>
      <c r="I119">
        <v>39.500374355244588</v>
      </c>
      <c r="J119">
        <v>37.66061261032678</v>
      </c>
      <c r="K119">
        <v>59.801184135802885</v>
      </c>
      <c r="L119">
        <v>65.29404221544722</v>
      </c>
      <c r="M119">
        <v>89.072242175384389</v>
      </c>
      <c r="N119">
        <v>6.1802982787856893</v>
      </c>
      <c r="O119">
        <v>46.798566993595074</v>
      </c>
      <c r="P119">
        <v>43.770700544053</v>
      </c>
      <c r="Q119">
        <v>69.991860950768626</v>
      </c>
      <c r="R119">
        <v>39.189673147618862</v>
      </c>
      <c r="S119">
        <v>66.148060336598775</v>
      </c>
      <c r="T119">
        <v>74.240078597679855</v>
      </c>
      <c r="U119">
        <v>73.681735437350397</v>
      </c>
      <c r="V119">
        <v>79.457887941693116</v>
      </c>
      <c r="W119">
        <v>64.630326571218049</v>
      </c>
      <c r="X119">
        <v>36.397901769957684</v>
      </c>
      <c r="Y119">
        <v>47.293539922052545</v>
      </c>
      <c r="Z119">
        <v>47.475639225260664</v>
      </c>
      <c r="AA119">
        <v>51.504077335536884</v>
      </c>
      <c r="AB119">
        <v>50.204700028992441</v>
      </c>
      <c r="AC119">
        <v>32.584569473823919</v>
      </c>
      <c r="AD119">
        <v>11.32</v>
      </c>
      <c r="AE119">
        <v>26.140203643253269</v>
      </c>
      <c r="AF119">
        <v>69.79151756105621</v>
      </c>
      <c r="AG119">
        <v>-5.2216274</v>
      </c>
      <c r="AH119">
        <v>348.53117049999997</v>
      </c>
      <c r="AI119">
        <v>343.30954309999998</v>
      </c>
    </row>
    <row r="120" spans="1:35">
      <c r="A120" t="s">
        <v>226</v>
      </c>
      <c r="B120">
        <v>115.38198137585799</v>
      </c>
      <c r="C120">
        <v>119.68398228521174</v>
      </c>
      <c r="D120">
        <v>66.078071941645192</v>
      </c>
      <c r="E120">
        <v>80.232486397680518</v>
      </c>
      <c r="F120">
        <v>4.3355724571428595</v>
      </c>
      <c r="G120">
        <v>5.6835612213971514</v>
      </c>
      <c r="H120">
        <v>61.525289496446526</v>
      </c>
      <c r="I120">
        <v>39.698058753813726</v>
      </c>
      <c r="J120">
        <v>37.572525227331717</v>
      </c>
      <c r="K120">
        <v>58.665079551548025</v>
      </c>
      <c r="L120">
        <v>64.969187839394124</v>
      </c>
      <c r="M120">
        <v>89.148026113363926</v>
      </c>
      <c r="N120">
        <v>6.1883839655294537</v>
      </c>
      <c r="O120">
        <v>47.090047574765983</v>
      </c>
      <c r="P120">
        <v>42.01254254568908</v>
      </c>
      <c r="Q120">
        <v>66.67298777322145</v>
      </c>
      <c r="R120">
        <v>39.096532418024552</v>
      </c>
      <c r="S120">
        <v>66.313446911398188</v>
      </c>
      <c r="T120">
        <v>74.333258627561676</v>
      </c>
      <c r="U120">
        <v>73.858755816915618</v>
      </c>
      <c r="V120">
        <v>79.546620427416983</v>
      </c>
      <c r="W120">
        <v>59.730250661013706</v>
      </c>
      <c r="X120">
        <v>36.917985349646727</v>
      </c>
      <c r="Y120">
        <v>48.362715813810354</v>
      </c>
      <c r="Z120">
        <v>48.515053121813111</v>
      </c>
      <c r="AA120">
        <v>49.308958982155893</v>
      </c>
      <c r="AB120">
        <v>48.975585304198241</v>
      </c>
      <c r="AC120">
        <v>31.458463415447888</v>
      </c>
      <c r="AD120">
        <v>10.75</v>
      </c>
      <c r="AE120">
        <v>25.242364729720624</v>
      </c>
      <c r="AF120">
        <v>69.661742055808162</v>
      </c>
      <c r="AG120">
        <v>-11.848313599999999</v>
      </c>
      <c r="AH120">
        <v>349.50295360000001</v>
      </c>
      <c r="AI120">
        <v>337.65463999999997</v>
      </c>
    </row>
    <row r="121" spans="1:35">
      <c r="A121" t="s">
        <v>227</v>
      </c>
      <c r="B121">
        <v>115.34526830882677</v>
      </c>
      <c r="C121">
        <v>119.68072291000782</v>
      </c>
      <c r="D121">
        <v>66.43422386171278</v>
      </c>
      <c r="E121">
        <v>80.666062318519366</v>
      </c>
      <c r="F121">
        <v>4.4351016191515615</v>
      </c>
      <c r="G121">
        <v>6.0039843906582977</v>
      </c>
      <c r="H121">
        <v>65.422298723769998</v>
      </c>
      <c r="I121">
        <v>39.899844542839922</v>
      </c>
      <c r="J121">
        <v>37.857432597483871</v>
      </c>
      <c r="K121">
        <v>62.717816740846757</v>
      </c>
      <c r="L121">
        <v>69.250892844955246</v>
      </c>
      <c r="M121">
        <v>89.165585082915499</v>
      </c>
      <c r="N121">
        <v>6.1876084198933947</v>
      </c>
      <c r="O121">
        <v>47.707037530023101</v>
      </c>
      <c r="P121">
        <v>42.982701293428725</v>
      </c>
      <c r="Q121">
        <v>64.271210700394704</v>
      </c>
      <c r="R121">
        <v>38.064222665020864</v>
      </c>
      <c r="S121">
        <v>66.562387945549887</v>
      </c>
      <c r="T121">
        <v>74.491015719898385</v>
      </c>
      <c r="U121">
        <v>74.078709707731775</v>
      </c>
      <c r="V121">
        <v>79.7077583119666</v>
      </c>
      <c r="W121">
        <v>57.937052288626049</v>
      </c>
      <c r="X121">
        <v>37.299843026900334</v>
      </c>
      <c r="Y121">
        <v>49.116680363969074</v>
      </c>
      <c r="Z121">
        <v>49.365102334687549</v>
      </c>
      <c r="AA121">
        <v>48.513971660027231</v>
      </c>
      <c r="AB121">
        <v>49.124725045833578</v>
      </c>
      <c r="AC121">
        <v>34.98186065499236</v>
      </c>
      <c r="AD121">
        <v>12.86</v>
      </c>
      <c r="AE121">
        <v>30.593839079722443</v>
      </c>
      <c r="AF121">
        <v>70.578529801104779</v>
      </c>
      <c r="AG121">
        <v>-7.2159452999999996</v>
      </c>
      <c r="AH121">
        <v>353.75933209999999</v>
      </c>
      <c r="AI121">
        <v>346.54338680000001</v>
      </c>
    </row>
    <row r="122" spans="1:35">
      <c r="A122" t="s">
        <v>228</v>
      </c>
      <c r="B122">
        <v>115.93221614507577</v>
      </c>
      <c r="C122">
        <v>120.19432635791381</v>
      </c>
      <c r="D122">
        <v>66.654923621893118</v>
      </c>
      <c r="E122">
        <v>80.642631539418858</v>
      </c>
      <c r="F122">
        <v>4.3134967727367783</v>
      </c>
      <c r="G122">
        <v>5.3779157693909232</v>
      </c>
      <c r="H122">
        <v>70.635751516765552</v>
      </c>
      <c r="I122">
        <v>40.191138330377839</v>
      </c>
      <c r="J122">
        <v>38.150450470126671</v>
      </c>
      <c r="K122">
        <v>66.810278397392437</v>
      </c>
      <c r="L122">
        <v>73.99210735494303</v>
      </c>
      <c r="M122">
        <v>89.227906370072844</v>
      </c>
      <c r="N122">
        <v>6.1780132808932953</v>
      </c>
      <c r="O122">
        <v>47.641380966100897</v>
      </c>
      <c r="P122">
        <v>45.675819154705465</v>
      </c>
      <c r="Q122">
        <v>61.189758361241267</v>
      </c>
      <c r="R122">
        <v>38.064222665020864</v>
      </c>
      <c r="S122">
        <v>66.86561436181259</v>
      </c>
      <c r="T122">
        <v>74.775949925729662</v>
      </c>
      <c r="U122">
        <v>74.312236895387528</v>
      </c>
      <c r="V122">
        <v>79.890023006222975</v>
      </c>
      <c r="W122">
        <v>59.170833708037776</v>
      </c>
      <c r="X122">
        <v>38.769808792548517</v>
      </c>
      <c r="Y122">
        <v>49.691733028259485</v>
      </c>
      <c r="Z122">
        <v>49.917611940410936</v>
      </c>
      <c r="AA122">
        <v>49.095825562694472</v>
      </c>
      <c r="AB122">
        <v>53.013736634877112</v>
      </c>
      <c r="AC122">
        <v>40.728867651848724</v>
      </c>
      <c r="AD122">
        <v>15.73</v>
      </c>
      <c r="AE122">
        <v>37.660441545449466</v>
      </c>
      <c r="AF122">
        <v>69.408325759711758</v>
      </c>
      <c r="AG122">
        <v>-6.5048583000000004</v>
      </c>
      <c r="AH122">
        <v>351.52123940000001</v>
      </c>
      <c r="AI122">
        <v>345.01638109999999</v>
      </c>
    </row>
    <row r="123" spans="1:35">
      <c r="A123" t="s">
        <v>229</v>
      </c>
      <c r="B123">
        <v>116.49738830328849</v>
      </c>
      <c r="C123">
        <v>120.78991487126702</v>
      </c>
      <c r="D123">
        <v>67.105888620242254</v>
      </c>
      <c r="E123">
        <v>81.29010267432254</v>
      </c>
      <c r="F123">
        <v>4.5002013486923396</v>
      </c>
      <c r="G123">
        <v>4.9514130245425667</v>
      </c>
      <c r="H123">
        <v>69.423084181441013</v>
      </c>
      <c r="I123">
        <v>40.504874327916099</v>
      </c>
      <c r="J123">
        <v>38.54267214129262</v>
      </c>
      <c r="K123">
        <v>64.62170470124839</v>
      </c>
      <c r="L123">
        <v>72.287067334957129</v>
      </c>
      <c r="M123">
        <v>89.2485742759837</v>
      </c>
      <c r="N123">
        <v>6.1298479439274596</v>
      </c>
      <c r="O123">
        <v>47.958598176404536</v>
      </c>
      <c r="P123">
        <v>46.513152685500174</v>
      </c>
      <c r="Q123">
        <v>61.129961095397903</v>
      </c>
      <c r="R123">
        <v>38.064222665020864</v>
      </c>
      <c r="S123">
        <v>67.067633567807476</v>
      </c>
      <c r="T123">
        <v>74.862190131231259</v>
      </c>
      <c r="U123">
        <v>74.522795112337832</v>
      </c>
      <c r="V123">
        <v>80.011264210625626</v>
      </c>
      <c r="W123">
        <v>59.728118426114939</v>
      </c>
      <c r="X123">
        <v>39.986860379655461</v>
      </c>
      <c r="Y123">
        <v>50.824988183079256</v>
      </c>
      <c r="Z123">
        <v>51.00099108127732</v>
      </c>
      <c r="AA123">
        <v>49.601792856042294</v>
      </c>
      <c r="AB123">
        <v>56.537975319149325</v>
      </c>
      <c r="AC123">
        <v>42.045513941387</v>
      </c>
      <c r="AD123">
        <v>16.12</v>
      </c>
      <c r="AE123">
        <v>38.766826974170378</v>
      </c>
      <c r="AF123">
        <v>71.430793997935353</v>
      </c>
      <c r="AG123">
        <v>-9.8105876999999992</v>
      </c>
      <c r="AH123">
        <v>357.45037020000001</v>
      </c>
      <c r="AI123">
        <v>347.63978250000002</v>
      </c>
    </row>
    <row r="124" spans="1:35">
      <c r="A124" t="s">
        <v>230</v>
      </c>
      <c r="B124">
        <v>117.15403832904681</v>
      </c>
      <c r="C124">
        <v>121.36047172786137</v>
      </c>
      <c r="D124">
        <v>67.334546349770164</v>
      </c>
      <c r="E124">
        <v>81.466165193214991</v>
      </c>
      <c r="F124">
        <v>4.8231277346130277</v>
      </c>
      <c r="G124">
        <v>4.8854793550902427</v>
      </c>
      <c r="H124">
        <v>73.682984182880048</v>
      </c>
      <c r="I124">
        <v>40.754547194617153</v>
      </c>
      <c r="J124">
        <v>38.776596825756357</v>
      </c>
      <c r="K124">
        <v>69.086703095835873</v>
      </c>
      <c r="L124">
        <v>77.351934430921972</v>
      </c>
      <c r="M124">
        <v>89.275001332981091</v>
      </c>
      <c r="N124">
        <v>6.1282811295626702</v>
      </c>
      <c r="O124">
        <v>48.265373414279409</v>
      </c>
      <c r="P124">
        <v>45.981520588685875</v>
      </c>
      <c r="Q124">
        <v>60.055667583300419</v>
      </c>
      <c r="R124">
        <v>38.219457214344722</v>
      </c>
      <c r="S124">
        <v>67.242941551071894</v>
      </c>
      <c r="T124">
        <v>74.962489573905117</v>
      </c>
      <c r="U124">
        <v>74.660822923219058</v>
      </c>
      <c r="V124">
        <v>80.122050311214394</v>
      </c>
      <c r="W124">
        <v>57.970115270052368</v>
      </c>
      <c r="X124">
        <v>39.018172612183527</v>
      </c>
      <c r="Y124">
        <v>52.032200404064511</v>
      </c>
      <c r="Z124">
        <v>52.140731552023233</v>
      </c>
      <c r="AA124">
        <v>48.23643045385753</v>
      </c>
      <c r="AB124">
        <v>57.950026685029798</v>
      </c>
      <c r="AC124">
        <v>42.719851335593297</v>
      </c>
      <c r="AD124">
        <v>16.239999999999998</v>
      </c>
      <c r="AE124">
        <v>39.307789969652184</v>
      </c>
      <c r="AF124">
        <v>71.122847966749106</v>
      </c>
      <c r="AG124">
        <v>-16.479502</v>
      </c>
      <c r="AH124">
        <v>366.78817930000002</v>
      </c>
      <c r="AI124">
        <v>350.3086773</v>
      </c>
    </row>
    <row r="125" spans="1:35">
      <c r="A125" t="s">
        <v>231</v>
      </c>
      <c r="B125">
        <v>116.6556204016985</v>
      </c>
      <c r="C125">
        <v>120.75109343015363</v>
      </c>
      <c r="D125">
        <v>67.702661486105114</v>
      </c>
      <c r="E125">
        <v>81.929643576458474</v>
      </c>
      <c r="F125">
        <v>4.9035408046605751</v>
      </c>
      <c r="G125">
        <v>4.7492709504624582</v>
      </c>
      <c r="H125">
        <v>72.186004584321864</v>
      </c>
      <c r="I125">
        <v>41.041341887793934</v>
      </c>
      <c r="J125">
        <v>39.17322682237549</v>
      </c>
      <c r="K125">
        <v>68.877882641851926</v>
      </c>
      <c r="L125">
        <v>75.773933063259662</v>
      </c>
      <c r="M125">
        <v>89.313083950226584</v>
      </c>
      <c r="N125">
        <v>6.1016193855637333</v>
      </c>
      <c r="O125">
        <v>48.568560853445938</v>
      </c>
      <c r="P125">
        <v>47.504032013175809</v>
      </c>
      <c r="Q125">
        <v>55.63784686345916</v>
      </c>
      <c r="R125">
        <v>37.078483276814332</v>
      </c>
      <c r="S125">
        <v>67.55326843716287</v>
      </c>
      <c r="T125">
        <v>75.212716285737528</v>
      </c>
      <c r="U125">
        <v>74.864613334507695</v>
      </c>
      <c r="V125">
        <v>80.27497696979421</v>
      </c>
      <c r="W125">
        <v>56.29503328733967</v>
      </c>
      <c r="X125">
        <v>41.904732519579028</v>
      </c>
      <c r="Y125">
        <v>51.893403015755837</v>
      </c>
      <c r="Z125">
        <v>52.047392129525335</v>
      </c>
      <c r="AA125">
        <v>47.644857366654676</v>
      </c>
      <c r="AB125">
        <v>58.470649561335392</v>
      </c>
      <c r="AC125">
        <v>47.300331753315085</v>
      </c>
      <c r="AD125">
        <v>18.75</v>
      </c>
      <c r="AE125">
        <v>45.405163646989998</v>
      </c>
      <c r="AF125">
        <v>70.073576389296093</v>
      </c>
      <c r="AG125">
        <v>-7.9880972000000003</v>
      </c>
      <c r="AH125">
        <v>368.14641560000001</v>
      </c>
      <c r="AI125">
        <v>360.15831839999998</v>
      </c>
    </row>
    <row r="126" spans="1:35">
      <c r="A126" t="s">
        <v>232</v>
      </c>
      <c r="B126">
        <v>116.68556848863926</v>
      </c>
      <c r="C126">
        <v>120.74855738488583</v>
      </c>
      <c r="D126">
        <v>68.116441365115392</v>
      </c>
      <c r="E126">
        <v>82.315338938342137</v>
      </c>
      <c r="F126">
        <v>5.0666090862079551</v>
      </c>
      <c r="G126">
        <v>4.8159679803874837</v>
      </c>
      <c r="H126">
        <v>72.784124899731722</v>
      </c>
      <c r="I126">
        <v>41.270251450147825</v>
      </c>
      <c r="J126">
        <v>39.360491083691748</v>
      </c>
      <c r="K126">
        <v>68.595096528961719</v>
      </c>
      <c r="L126">
        <v>75.482030978454546</v>
      </c>
      <c r="M126">
        <v>89.392837112191373</v>
      </c>
      <c r="N126">
        <v>6.0777222214601485</v>
      </c>
      <c r="O126">
        <v>48.865229834918779</v>
      </c>
      <c r="P126">
        <v>49.754481718219353</v>
      </c>
      <c r="Q126">
        <v>54.596111364265575</v>
      </c>
      <c r="R126">
        <v>36.581732718977975</v>
      </c>
      <c r="S126">
        <v>67.821584785100413</v>
      </c>
      <c r="T126">
        <v>75.426541585084976</v>
      </c>
      <c r="U126">
        <v>74.988187549803186</v>
      </c>
      <c r="V126">
        <v>80.379334042959158</v>
      </c>
      <c r="W126">
        <v>57.952559231891115</v>
      </c>
      <c r="X126">
        <v>43.136453665573299</v>
      </c>
      <c r="Y126">
        <v>52.673360557743038</v>
      </c>
      <c r="Z126">
        <v>52.80396782448144</v>
      </c>
      <c r="AA126">
        <v>48.616017787206438</v>
      </c>
      <c r="AB126">
        <v>66.285956695619078</v>
      </c>
      <c r="AC126">
        <v>51.401240578470784</v>
      </c>
      <c r="AD126">
        <v>20.21</v>
      </c>
      <c r="AE126">
        <v>48.04610833319979</v>
      </c>
      <c r="AF126">
        <v>69.962439091912813</v>
      </c>
      <c r="AG126">
        <v>-10.682559899999999</v>
      </c>
      <c r="AH126">
        <v>376.04072430000002</v>
      </c>
      <c r="AI126">
        <v>365.35816440000002</v>
      </c>
    </row>
    <row r="127" spans="1:35">
      <c r="A127" t="s">
        <v>233</v>
      </c>
      <c r="B127">
        <v>116.3431674010106</v>
      </c>
      <c r="C127">
        <v>120.32738586016698</v>
      </c>
      <c r="D127">
        <v>68.54255527447279</v>
      </c>
      <c r="E127">
        <v>82.763318591995031</v>
      </c>
      <c r="F127">
        <v>5.1061159801848701</v>
      </c>
      <c r="G127">
        <v>4.8967154750392874</v>
      </c>
      <c r="H127">
        <v>71.104662511466927</v>
      </c>
      <c r="I127">
        <v>41.495209817959527</v>
      </c>
      <c r="J127">
        <v>39.509312340328883</v>
      </c>
      <c r="K127">
        <v>68.023688174422247</v>
      </c>
      <c r="L127">
        <v>74.385674934831073</v>
      </c>
      <c r="M127">
        <v>89.435381207792545</v>
      </c>
      <c r="N127">
        <v>6.0471354183894936</v>
      </c>
      <c r="O127">
        <v>48.872985904346507</v>
      </c>
      <c r="P127">
        <v>51.773463767410021</v>
      </c>
      <c r="Q127">
        <v>53.718179161002212</v>
      </c>
      <c r="R127">
        <v>36.084982161141617</v>
      </c>
      <c r="S127">
        <v>68.093175038786896</v>
      </c>
      <c r="T127">
        <v>75.658392659337053</v>
      </c>
      <c r="U127">
        <v>75.331044180817969</v>
      </c>
      <c r="V127">
        <v>80.595117872646497</v>
      </c>
      <c r="W127">
        <v>58.694530675097809</v>
      </c>
      <c r="X127">
        <v>45.284138699606771</v>
      </c>
      <c r="Y127">
        <v>54.109032625336326</v>
      </c>
      <c r="Z127">
        <v>54.223762627766028</v>
      </c>
      <c r="AA127">
        <v>49.635083283236881</v>
      </c>
      <c r="AB127">
        <v>65.150633239337225</v>
      </c>
      <c r="AC127">
        <v>54.866576261336569</v>
      </c>
      <c r="AD127">
        <v>22.37</v>
      </c>
      <c r="AE127">
        <v>52.726411352146272</v>
      </c>
      <c r="AF127">
        <v>72.03333081164061</v>
      </c>
      <c r="AG127">
        <v>-12.869750700000001</v>
      </c>
      <c r="AH127">
        <v>385.98611349999999</v>
      </c>
      <c r="AI127">
        <v>373.11636279999999</v>
      </c>
    </row>
    <row r="128" spans="1:35">
      <c r="A128" t="s">
        <v>234</v>
      </c>
      <c r="B128">
        <v>115.90084529216179</v>
      </c>
      <c r="C128">
        <v>119.63202141973076</v>
      </c>
      <c r="D128">
        <v>68.798137546052885</v>
      </c>
      <c r="E128">
        <v>83.313972240389006</v>
      </c>
      <c r="F128">
        <v>5.2651836083199495</v>
      </c>
      <c r="G128">
        <v>4.8662165251130425</v>
      </c>
      <c r="H128">
        <v>73.689118889704062</v>
      </c>
      <c r="I128">
        <v>41.774542245100697</v>
      </c>
      <c r="J128">
        <v>39.95018022422834</v>
      </c>
      <c r="K128">
        <v>71.081360557424446</v>
      </c>
      <c r="L128">
        <v>77.733053934766673</v>
      </c>
      <c r="M128">
        <v>89.495666154204642</v>
      </c>
      <c r="N128">
        <v>6.0298892164748432</v>
      </c>
      <c r="O128">
        <v>49.519842273867134</v>
      </c>
      <c r="P128">
        <v>52.531908599555827</v>
      </c>
      <c r="Q128">
        <v>56.430081400129559</v>
      </c>
      <c r="R128">
        <v>35.728256196348376</v>
      </c>
      <c r="S128">
        <v>68.36326157825475</v>
      </c>
      <c r="T128">
        <v>75.844546119322658</v>
      </c>
      <c r="U128">
        <v>75.541003283073678</v>
      </c>
      <c r="V128">
        <v>80.763693197715256</v>
      </c>
      <c r="W128">
        <v>58.351762532984615</v>
      </c>
      <c r="X128">
        <v>45.088045415045457</v>
      </c>
      <c r="Y128">
        <v>55.074167524458225</v>
      </c>
      <c r="Z128">
        <v>55.15141536696715</v>
      </c>
      <c r="AA128">
        <v>50.364372580357191</v>
      </c>
      <c r="AB128">
        <v>70.133244273637217</v>
      </c>
      <c r="AC128">
        <v>55.667193826689548</v>
      </c>
      <c r="AD128">
        <v>22.19</v>
      </c>
      <c r="AE128">
        <v>51.797967647149669</v>
      </c>
      <c r="AF128">
        <v>73.127539393792844</v>
      </c>
      <c r="AG128">
        <v>-9.4640202000000002</v>
      </c>
      <c r="AH128">
        <v>391.70971159999999</v>
      </c>
      <c r="AI128">
        <v>382.2456914</v>
      </c>
    </row>
    <row r="129" spans="1:35">
      <c r="A129" t="s">
        <v>235</v>
      </c>
      <c r="B129">
        <v>117.37254756310389</v>
      </c>
      <c r="C129">
        <v>121.30927995803867</v>
      </c>
      <c r="D129">
        <v>69.639348473369353</v>
      </c>
      <c r="E129">
        <v>84.086356554988811</v>
      </c>
      <c r="F129">
        <v>5.1110626808310338</v>
      </c>
      <c r="G129">
        <v>5.0130161473956756</v>
      </c>
      <c r="H129">
        <v>77.449483923067191</v>
      </c>
      <c r="I129">
        <v>42.071551523296549</v>
      </c>
      <c r="J129">
        <v>40.321561052641734</v>
      </c>
      <c r="K129">
        <v>74.140765344179414</v>
      </c>
      <c r="L129">
        <v>81.910528374847786</v>
      </c>
      <c r="M129">
        <v>89.560401268815852</v>
      </c>
      <c r="N129">
        <v>5.9864186489489519</v>
      </c>
      <c r="O129">
        <v>49.685401683813666</v>
      </c>
      <c r="P129">
        <v>53.283696650811649</v>
      </c>
      <c r="Q129">
        <v>61.363640936504382</v>
      </c>
      <c r="R129">
        <v>36.147702978174451</v>
      </c>
      <c r="S129">
        <v>68.539106642218599</v>
      </c>
      <c r="T129">
        <v>75.998944823886092</v>
      </c>
      <c r="U129">
        <v>75.743752376085482</v>
      </c>
      <c r="V129">
        <v>80.906541262936031</v>
      </c>
      <c r="W129">
        <v>57.35641925721108</v>
      </c>
      <c r="X129">
        <v>45.822383153690524</v>
      </c>
      <c r="Y129">
        <v>55.326583698098922</v>
      </c>
      <c r="Z129">
        <v>55.361068680425923</v>
      </c>
      <c r="AA129">
        <v>49.98795505033852</v>
      </c>
      <c r="AB129">
        <v>65.856914581102885</v>
      </c>
      <c r="AC129">
        <v>58.050902298556217</v>
      </c>
      <c r="AD129">
        <v>24.22</v>
      </c>
      <c r="AE129">
        <v>57.073001873884316</v>
      </c>
      <c r="AF129">
        <v>72.918189242999745</v>
      </c>
      <c r="AG129">
        <v>-11.840646100000001</v>
      </c>
      <c r="AH129">
        <v>397.601945</v>
      </c>
      <c r="AI129">
        <v>385.76129889999999</v>
      </c>
    </row>
    <row r="130" spans="1:35">
      <c r="A130" t="s">
        <v>236</v>
      </c>
      <c r="B130">
        <v>118.53544575553759</v>
      </c>
      <c r="C130">
        <v>122.63390274118539</v>
      </c>
      <c r="D130">
        <v>70.082023178796632</v>
      </c>
      <c r="E130">
        <v>84.377231300565143</v>
      </c>
      <c r="F130">
        <v>5.23610500196693</v>
      </c>
      <c r="G130">
        <v>5.0392185081433034</v>
      </c>
      <c r="H130">
        <v>84.788142949582294</v>
      </c>
      <c r="I130">
        <v>42.398471513337576</v>
      </c>
      <c r="J130">
        <v>40.983033420826899</v>
      </c>
      <c r="K130">
        <v>81.84851199956816</v>
      </c>
      <c r="L130">
        <v>90.212153727580528</v>
      </c>
      <c r="M130">
        <v>89.634241699643141</v>
      </c>
      <c r="N130">
        <v>5.9072491241550846</v>
      </c>
      <c r="O130">
        <v>50.34993426153472</v>
      </c>
      <c r="P130">
        <v>54.006932850482215</v>
      </c>
      <c r="Q130">
        <v>62.25786421217235</v>
      </c>
      <c r="R130">
        <v>35.433624051284674</v>
      </c>
      <c r="S130">
        <v>68.71929086171275</v>
      </c>
      <c r="T130">
        <v>76.159788233536688</v>
      </c>
      <c r="U130">
        <v>75.972899377369004</v>
      </c>
      <c r="V130">
        <v>81.055869537185472</v>
      </c>
      <c r="W130">
        <v>57.648097166439925</v>
      </c>
      <c r="X130">
        <v>47.04800328592129</v>
      </c>
      <c r="Y130">
        <v>55.318843196989491</v>
      </c>
      <c r="Z130">
        <v>55.330841803426026</v>
      </c>
      <c r="AA130">
        <v>50.265339849970438</v>
      </c>
      <c r="AB130">
        <v>66.925589572968093</v>
      </c>
      <c r="AC130">
        <v>59.419051106670949</v>
      </c>
      <c r="AD130">
        <v>25.01</v>
      </c>
      <c r="AE130">
        <v>59.061798480263207</v>
      </c>
      <c r="AF130">
        <v>72.298998920841896</v>
      </c>
      <c r="AG130">
        <v>-11.768197300000001</v>
      </c>
      <c r="AH130">
        <v>402.24120119999998</v>
      </c>
      <c r="AI130">
        <v>390.47300389999998</v>
      </c>
    </row>
    <row r="131" spans="1:35">
      <c r="A131" t="s">
        <v>237</v>
      </c>
      <c r="B131">
        <v>119.29550228484968</v>
      </c>
      <c r="C131">
        <v>124.73363224811497</v>
      </c>
      <c r="D131">
        <v>69.95623901773105</v>
      </c>
      <c r="E131">
        <v>84.388514529733854</v>
      </c>
      <c r="F131">
        <v>5.558914224046803</v>
      </c>
      <c r="G131">
        <v>4.9952789454530935</v>
      </c>
      <c r="H131">
        <v>82.826327594265223</v>
      </c>
      <c r="I131">
        <v>42.66122643553679</v>
      </c>
      <c r="J131">
        <v>41.465864842742761</v>
      </c>
      <c r="K131">
        <v>78.107769224975826</v>
      </c>
      <c r="L131">
        <v>87.274448561751299</v>
      </c>
      <c r="M131">
        <v>89.871299316444521</v>
      </c>
      <c r="N131">
        <v>6.0451953891034096</v>
      </c>
      <c r="O131">
        <v>50.176157725046387</v>
      </c>
      <c r="P131">
        <v>55.572421245011917</v>
      </c>
      <c r="Q131">
        <v>55.149946619808375</v>
      </c>
      <c r="R131">
        <v>35.588858600608539</v>
      </c>
      <c r="S131">
        <v>68.980932125413915</v>
      </c>
      <c r="T131">
        <v>76.378344628144063</v>
      </c>
      <c r="U131">
        <v>76.249557749391954</v>
      </c>
      <c r="V131">
        <v>81.243416334549849</v>
      </c>
      <c r="W131">
        <v>58.498818810584289</v>
      </c>
      <c r="X131">
        <v>49.224077495374594</v>
      </c>
      <c r="Y131">
        <v>53.80074980833691</v>
      </c>
      <c r="Z131">
        <v>53.948524868248334</v>
      </c>
      <c r="AA131">
        <v>50.838291121055818</v>
      </c>
      <c r="AB131">
        <v>75.873773148580412</v>
      </c>
      <c r="AC131">
        <v>62.420218979167238</v>
      </c>
      <c r="AD131">
        <v>25.21</v>
      </c>
      <c r="AE131">
        <v>59.634458799828764</v>
      </c>
      <c r="AF131">
        <v>71.264287755895111</v>
      </c>
      <c r="AG131">
        <v>-16.313897999999998</v>
      </c>
      <c r="AH131">
        <v>410.72766639999998</v>
      </c>
      <c r="AI131">
        <v>394.41376839999998</v>
      </c>
    </row>
    <row r="132" spans="1:35">
      <c r="A132" t="s">
        <v>238</v>
      </c>
      <c r="B132">
        <v>118.4043313174185</v>
      </c>
      <c r="C132">
        <v>123.57431135406101</v>
      </c>
      <c r="D132">
        <v>70.745572043367417</v>
      </c>
      <c r="E132">
        <v>84.957413889820671</v>
      </c>
      <c r="F132">
        <v>5.4797378310308362</v>
      </c>
      <c r="G132">
        <v>5.1302965389122033</v>
      </c>
      <c r="H132">
        <v>84.143992342416396</v>
      </c>
      <c r="I132">
        <v>42.847331847193836</v>
      </c>
      <c r="J132">
        <v>41.307334821368315</v>
      </c>
      <c r="K132">
        <v>78.95503546488591</v>
      </c>
      <c r="L132">
        <v>89.067040056550809</v>
      </c>
      <c r="M132">
        <v>89.912739733245488</v>
      </c>
      <c r="N132">
        <v>6.083588634448664</v>
      </c>
      <c r="O132">
        <v>50.781313345224014</v>
      </c>
      <c r="P132">
        <v>58.042724064283043</v>
      </c>
      <c r="Q132">
        <v>52.011160212009287</v>
      </c>
      <c r="R132">
        <v>36.240843707768768</v>
      </c>
      <c r="S132">
        <v>69.248598517450745</v>
      </c>
      <c r="T132">
        <v>76.604845462414346</v>
      </c>
      <c r="U132">
        <v>76.407820137430818</v>
      </c>
      <c r="V132">
        <v>81.364570541800674</v>
      </c>
      <c r="W132">
        <v>59.247223439211645</v>
      </c>
      <c r="X132">
        <v>50.275821050008574</v>
      </c>
      <c r="Y132">
        <v>53.886664477494335</v>
      </c>
      <c r="Z132">
        <v>54.122574193231785</v>
      </c>
      <c r="AA132">
        <v>52.118854874395275</v>
      </c>
      <c r="AB132">
        <v>79.458393746019581</v>
      </c>
      <c r="AC132">
        <v>66.611448825495813</v>
      </c>
      <c r="AD132">
        <v>27.15</v>
      </c>
      <c r="AE132">
        <v>65.42133302641021</v>
      </c>
      <c r="AF132">
        <v>74.784892988185163</v>
      </c>
      <c r="AG132">
        <v>-19.285405699999998</v>
      </c>
      <c r="AH132">
        <v>418.8282974</v>
      </c>
      <c r="AI132">
        <v>399.54289169999998</v>
      </c>
    </row>
    <row r="133" spans="1:35">
      <c r="A133" t="s">
        <v>239</v>
      </c>
      <c r="B133">
        <v>117.50170830002587</v>
      </c>
      <c r="C133">
        <v>122.47530717747711</v>
      </c>
      <c r="D133">
        <v>71.046080369119935</v>
      </c>
      <c r="E133">
        <v>85.45778088911274</v>
      </c>
      <c r="F133">
        <v>5.3142500908567003</v>
      </c>
      <c r="G133">
        <v>5.1971473214833237</v>
      </c>
      <c r="H133">
        <v>87.156983186050468</v>
      </c>
      <c r="I133">
        <v>43.151065232107157</v>
      </c>
      <c r="J133">
        <v>41.564799893435691</v>
      </c>
      <c r="K133">
        <v>83.006066069244028</v>
      </c>
      <c r="L133">
        <v>92.735521371446225</v>
      </c>
      <c r="M133">
        <v>89.987486171225811</v>
      </c>
      <c r="N133">
        <v>6.0242388960359357</v>
      </c>
      <c r="O133">
        <v>50.944051700770821</v>
      </c>
      <c r="P133">
        <v>58.487300099091016</v>
      </c>
      <c r="Q133">
        <v>51.697598938935656</v>
      </c>
      <c r="R133">
        <v>36.846258450131828</v>
      </c>
      <c r="S133">
        <v>69.489409048242905</v>
      </c>
      <c r="T133">
        <v>76.829986625417035</v>
      </c>
      <c r="U133">
        <v>76.638412126726209</v>
      </c>
      <c r="V133">
        <v>81.525813819219323</v>
      </c>
      <c r="W133">
        <v>60.339641997151617</v>
      </c>
      <c r="X133">
        <v>49.805626333407126</v>
      </c>
      <c r="Y133">
        <v>54.32405904253239</v>
      </c>
      <c r="Z133">
        <v>54.595981937578316</v>
      </c>
      <c r="AA133">
        <v>52.446592213825163</v>
      </c>
      <c r="AB133">
        <v>82.777687420374846</v>
      </c>
      <c r="AC133">
        <v>67.225029034782025</v>
      </c>
      <c r="AD133">
        <v>27.49</v>
      </c>
      <c r="AE133">
        <v>66.343978526152924</v>
      </c>
      <c r="AF133">
        <v>75.959245341329066</v>
      </c>
      <c r="AG133">
        <v>-21.622865099999999</v>
      </c>
      <c r="AH133">
        <v>421.39759229999999</v>
      </c>
      <c r="AI133">
        <v>399.77472719999997</v>
      </c>
    </row>
    <row r="134" spans="1:35">
      <c r="A134" t="s">
        <v>240</v>
      </c>
      <c r="B134">
        <v>117.54222231945805</v>
      </c>
      <c r="C134">
        <v>122.47920301411702</v>
      </c>
      <c r="D134">
        <v>71.603872517311942</v>
      </c>
      <c r="E134">
        <v>86.080752625474105</v>
      </c>
      <c r="F134">
        <v>5.1670629349288939</v>
      </c>
      <c r="G134">
        <v>5.2911187210462405</v>
      </c>
      <c r="H134">
        <v>84.429458993011579</v>
      </c>
      <c r="I134">
        <v>43.567713164006072</v>
      </c>
      <c r="J134">
        <v>42.014161561397522</v>
      </c>
      <c r="K134">
        <v>78.998460391525143</v>
      </c>
      <c r="L134">
        <v>90.506160483655989</v>
      </c>
      <c r="M134">
        <v>90.090366235296514</v>
      </c>
      <c r="N134">
        <v>5.8905387291573907</v>
      </c>
      <c r="O134">
        <v>51.089471559556557</v>
      </c>
      <c r="P134">
        <v>56.455139929054596</v>
      </c>
      <c r="Q134">
        <v>49.753135290682962</v>
      </c>
      <c r="R134">
        <v>37.265391733306259</v>
      </c>
      <c r="S134">
        <v>69.557577303667443</v>
      </c>
      <c r="T134">
        <v>76.810268966074503</v>
      </c>
      <c r="U134">
        <v>76.769195596940691</v>
      </c>
      <c r="V134">
        <v>81.613218652700183</v>
      </c>
      <c r="W134">
        <v>63.093430607026008</v>
      </c>
      <c r="X134">
        <v>47.738663306084497</v>
      </c>
      <c r="Y134">
        <v>54.699864915494018</v>
      </c>
      <c r="Z134">
        <v>54.928472412343375</v>
      </c>
      <c r="AA134">
        <v>53.032225679968008</v>
      </c>
      <c r="AB134">
        <v>88.165000372991173</v>
      </c>
      <c r="AC134">
        <v>61.406297549436132</v>
      </c>
      <c r="AD134">
        <v>23.45</v>
      </c>
      <c r="AE134">
        <v>56.789453672420414</v>
      </c>
      <c r="AF134">
        <v>75.442087185241533</v>
      </c>
      <c r="AG134">
        <v>-21.298087899999999</v>
      </c>
      <c r="AH134">
        <v>419.03334669999998</v>
      </c>
      <c r="AI134">
        <v>397.7352588</v>
      </c>
    </row>
    <row r="135" spans="1:35">
      <c r="A135" t="s">
        <v>241</v>
      </c>
      <c r="B135">
        <v>119.05836535751874</v>
      </c>
      <c r="C135">
        <v>124.37239451428535</v>
      </c>
      <c r="D135">
        <v>72.267812044977461</v>
      </c>
      <c r="E135">
        <v>86.710372321944106</v>
      </c>
      <c r="F135">
        <v>5.3815595443601847</v>
      </c>
      <c r="G135">
        <v>5.4390043341990904</v>
      </c>
      <c r="H135">
        <v>81.561743754723182</v>
      </c>
      <c r="I135">
        <v>43.616946952326934</v>
      </c>
      <c r="J135">
        <v>41.884424672966865</v>
      </c>
      <c r="K135">
        <v>76.566228466281785</v>
      </c>
      <c r="L135">
        <v>87.756458850786203</v>
      </c>
      <c r="M135">
        <v>90.158358610114206</v>
      </c>
      <c r="N135">
        <v>5.8705113599552776</v>
      </c>
      <c r="O135">
        <v>51.364140158341932</v>
      </c>
      <c r="P135">
        <v>59.404059590312833</v>
      </c>
      <c r="Q135">
        <v>49.645811925401098</v>
      </c>
      <c r="R135">
        <v>38.483669446846939</v>
      </c>
      <c r="S135">
        <v>69.787415650402593</v>
      </c>
      <c r="T135">
        <v>76.950422084341554</v>
      </c>
      <c r="U135">
        <v>76.928839937593878</v>
      </c>
      <c r="V135">
        <v>81.757796598068296</v>
      </c>
      <c r="W135">
        <v>62.17224723328048</v>
      </c>
      <c r="X135">
        <v>48.8968798629259</v>
      </c>
      <c r="Y135">
        <v>53.842218413287213</v>
      </c>
      <c r="Z135">
        <v>54.141896693461007</v>
      </c>
      <c r="AA135">
        <v>52.797742495150771</v>
      </c>
      <c r="AB135">
        <v>93.337652178699017</v>
      </c>
      <c r="AC135">
        <v>68.9599277331086</v>
      </c>
      <c r="AD135">
        <v>27.23</v>
      </c>
      <c r="AE135">
        <v>67.346607409949783</v>
      </c>
      <c r="AF135">
        <v>76.366215153486493</v>
      </c>
      <c r="AG135">
        <v>-22.132813899999999</v>
      </c>
      <c r="AH135">
        <v>429.03423750000002</v>
      </c>
      <c r="AI135">
        <v>406.90142359999999</v>
      </c>
    </row>
    <row r="136" spans="1:35">
      <c r="A136" t="s">
        <v>242</v>
      </c>
      <c r="B136">
        <v>117.81708634391548</v>
      </c>
      <c r="C136">
        <v>122.82767825645332</v>
      </c>
      <c r="D136">
        <v>72.409276890508124</v>
      </c>
      <c r="E136">
        <v>86.829059024319704</v>
      </c>
      <c r="F136">
        <v>5.1788500636736936</v>
      </c>
      <c r="G136">
        <v>5.5837763581222042</v>
      </c>
      <c r="H136">
        <v>83.071566621355714</v>
      </c>
      <c r="I136">
        <v>43.847010686994828</v>
      </c>
      <c r="J136">
        <v>42.036892786696896</v>
      </c>
      <c r="K136">
        <v>79.743716431455212</v>
      </c>
      <c r="L136">
        <v>90.238298170251795</v>
      </c>
      <c r="M136">
        <v>90.245803274758089</v>
      </c>
      <c r="N136">
        <v>5.850090328301742</v>
      </c>
      <c r="O136">
        <v>51.733944663386147</v>
      </c>
      <c r="P136">
        <v>61.322121760203203</v>
      </c>
      <c r="Q136">
        <v>47.670845546830336</v>
      </c>
      <c r="R136">
        <v>39.221033556135289</v>
      </c>
      <c r="S136">
        <v>70.186815061954647</v>
      </c>
      <c r="T136">
        <v>77.297686611978662</v>
      </c>
      <c r="U136">
        <v>77.186606895498372</v>
      </c>
      <c r="V136">
        <v>81.926245742799026</v>
      </c>
      <c r="W136">
        <v>59.982856209854766</v>
      </c>
      <c r="X136">
        <v>46.758788632418309</v>
      </c>
      <c r="Y136">
        <v>52.960200228370795</v>
      </c>
      <c r="Z136">
        <v>53.421769291994487</v>
      </c>
      <c r="AA136">
        <v>51.520794134738871</v>
      </c>
      <c r="AB136">
        <v>105.17839234066724</v>
      </c>
      <c r="AC136">
        <v>75.499490642763945</v>
      </c>
      <c r="AD136">
        <v>29.62</v>
      </c>
      <c r="AE136">
        <v>72.152930994819584</v>
      </c>
      <c r="AF136">
        <v>75.144639402345135</v>
      </c>
      <c r="AG136">
        <v>-23.7380423</v>
      </c>
      <c r="AH136">
        <v>439.59744089999998</v>
      </c>
      <c r="AI136">
        <v>415.85939860000002</v>
      </c>
    </row>
    <row r="137" spans="1:35">
      <c r="A137" t="s">
        <v>243</v>
      </c>
      <c r="B137">
        <v>118.75884737421548</v>
      </c>
      <c r="C137">
        <v>123.97266236427406</v>
      </c>
      <c r="D137">
        <v>72.624944211665436</v>
      </c>
      <c r="E137">
        <v>86.997207048884533</v>
      </c>
      <c r="F137">
        <v>5.1949881802606335</v>
      </c>
      <c r="G137">
        <v>5.4866402691263492</v>
      </c>
      <c r="H137">
        <v>82.352317827802693</v>
      </c>
      <c r="I137">
        <v>44.044821464130592</v>
      </c>
      <c r="J137">
        <v>42.32080746325267</v>
      </c>
      <c r="K137">
        <v>76.796869922840443</v>
      </c>
      <c r="L137">
        <v>88.215184413422207</v>
      </c>
      <c r="M137">
        <v>90.287456727158471</v>
      </c>
      <c r="N137">
        <v>5.8257867672410475</v>
      </c>
      <c r="O137">
        <v>51.988910564590341</v>
      </c>
      <c r="P137">
        <v>59.845570214637576</v>
      </c>
      <c r="Q137">
        <v>47.570722594804288</v>
      </c>
      <c r="R137">
        <v>39.221033556135289</v>
      </c>
      <c r="S137">
        <v>70.527163828111171</v>
      </c>
      <c r="T137">
        <v>77.564952611231945</v>
      </c>
      <c r="U137">
        <v>77.329359488784334</v>
      </c>
      <c r="V137">
        <v>82.044022886953229</v>
      </c>
      <c r="W137">
        <v>58.090686754699227</v>
      </c>
      <c r="X137">
        <v>47.341899375489525</v>
      </c>
      <c r="Y137">
        <v>53.373974126602988</v>
      </c>
      <c r="Z137">
        <v>53.829939105509702</v>
      </c>
      <c r="AA137">
        <v>50.722671404324942</v>
      </c>
      <c r="AB137">
        <v>104.95126777665313</v>
      </c>
      <c r="AC137">
        <v>73.041609226337144</v>
      </c>
      <c r="AD137">
        <v>28.16</v>
      </c>
      <c r="AE137">
        <v>68.971892401487921</v>
      </c>
      <c r="AF137">
        <v>73.574182770330964</v>
      </c>
      <c r="AG137">
        <v>-27.3547735</v>
      </c>
      <c r="AH137">
        <v>440.56234649999999</v>
      </c>
      <c r="AI137">
        <v>413.20757300000002</v>
      </c>
    </row>
    <row r="138" spans="1:35">
      <c r="A138" t="s">
        <v>244</v>
      </c>
      <c r="B138">
        <v>118.36634320569769</v>
      </c>
      <c r="C138">
        <v>123.48507397818506</v>
      </c>
      <c r="D138">
        <v>73.043338882301398</v>
      </c>
      <c r="E138">
        <v>87.391145376687049</v>
      </c>
      <c r="F138">
        <v>5.109367017263355</v>
      </c>
      <c r="G138">
        <v>5.6640234927088615</v>
      </c>
      <c r="H138">
        <v>86.001615507108468</v>
      </c>
      <c r="I138">
        <v>44.303223996165812</v>
      </c>
      <c r="J138">
        <v>42.431090753180065</v>
      </c>
      <c r="K138">
        <v>78.506413145358522</v>
      </c>
      <c r="L138">
        <v>90.947601802098916</v>
      </c>
      <c r="M138">
        <v>90.383718015058548</v>
      </c>
      <c r="N138">
        <v>5.8237091451403646</v>
      </c>
      <c r="O138">
        <v>52.172915768322461</v>
      </c>
      <c r="P138">
        <v>60.751760401179176</v>
      </c>
      <c r="Q138">
        <v>44.222882389615904</v>
      </c>
      <c r="R138">
        <v>39.221033556135289</v>
      </c>
      <c r="S138">
        <v>70.720474203089069</v>
      </c>
      <c r="T138">
        <v>77.688729317103608</v>
      </c>
      <c r="U138">
        <v>77.507740990794446</v>
      </c>
      <c r="V138">
        <v>82.200556188643631</v>
      </c>
      <c r="W138">
        <v>57.046077473042409</v>
      </c>
      <c r="X138">
        <v>47.330524088619761</v>
      </c>
      <c r="Y138">
        <v>51.958690411633683</v>
      </c>
      <c r="Z138">
        <v>52.51820038032816</v>
      </c>
      <c r="AA138">
        <v>49.823974558639293</v>
      </c>
      <c r="AB138">
        <v>111.37855790789135</v>
      </c>
      <c r="AC138">
        <v>76.558522186878918</v>
      </c>
      <c r="AD138">
        <v>29.41</v>
      </c>
      <c r="AE138">
        <v>72.866485009546921</v>
      </c>
      <c r="AF138">
        <v>71.061273667622018</v>
      </c>
      <c r="AG138">
        <v>-25.5088917</v>
      </c>
      <c r="AH138">
        <v>447.25166159999998</v>
      </c>
      <c r="AI138">
        <v>421.74276989999998</v>
      </c>
    </row>
    <row r="139" spans="1:35">
      <c r="A139" t="s">
        <v>245</v>
      </c>
      <c r="B139">
        <v>118.38725742398505</v>
      </c>
      <c r="C139">
        <v>123.52879329374804</v>
      </c>
      <c r="D139">
        <v>72.96554490479987</v>
      </c>
      <c r="E139">
        <v>87.174370514029704</v>
      </c>
      <c r="F139">
        <v>5.1486397217251412</v>
      </c>
      <c r="G139">
        <v>5.6747450260811831</v>
      </c>
      <c r="H139">
        <v>81.200007102864518</v>
      </c>
      <c r="I139">
        <v>44.549333913450894</v>
      </c>
      <c r="J139">
        <v>42.592663658815439</v>
      </c>
      <c r="K139">
        <v>73.566144355094139</v>
      </c>
      <c r="L139">
        <v>85.794640756482636</v>
      </c>
      <c r="M139">
        <v>90.508050000854794</v>
      </c>
      <c r="N139">
        <v>5.7514554204036612</v>
      </c>
      <c r="O139">
        <v>52.686412185944164</v>
      </c>
      <c r="P139">
        <v>63.581800343973732</v>
      </c>
      <c r="Q139">
        <v>44.348933789460439</v>
      </c>
      <c r="R139">
        <v>40.326884046994323</v>
      </c>
      <c r="S139">
        <v>71.040773203174339</v>
      </c>
      <c r="T139">
        <v>77.981047285001907</v>
      </c>
      <c r="U139">
        <v>77.811158101731209</v>
      </c>
      <c r="V139">
        <v>82.394057623181951</v>
      </c>
      <c r="W139">
        <v>56.554046795306341</v>
      </c>
      <c r="X139">
        <v>49.503901130914166</v>
      </c>
      <c r="Y139">
        <v>51.385881526598581</v>
      </c>
      <c r="Z139">
        <v>51.996823350793733</v>
      </c>
      <c r="AA139">
        <v>50.073044501221425</v>
      </c>
      <c r="AB139">
        <v>120.13500455037857</v>
      </c>
      <c r="AC139">
        <v>83.121869000547534</v>
      </c>
      <c r="AD139">
        <v>32.08</v>
      </c>
      <c r="AE139">
        <v>80.359116568879941</v>
      </c>
      <c r="AF139">
        <v>72.716941035724716</v>
      </c>
      <c r="AG139">
        <v>-25.459188099999999</v>
      </c>
      <c r="AH139">
        <v>443.67022370000001</v>
      </c>
      <c r="AI139">
        <v>418.2110356</v>
      </c>
    </row>
    <row r="140" spans="1:35">
      <c r="A140" t="s">
        <v>246</v>
      </c>
      <c r="B140">
        <v>117.2018222111368</v>
      </c>
      <c r="C140">
        <v>121.97587149632726</v>
      </c>
      <c r="D140">
        <v>73.155888158681151</v>
      </c>
      <c r="E140">
        <v>87.430271358138995</v>
      </c>
      <c r="F140">
        <v>5.1470009681102802</v>
      </c>
      <c r="G140">
        <v>5.7516998177014322</v>
      </c>
      <c r="H140">
        <v>80.926647455517738</v>
      </c>
      <c r="I140">
        <v>44.793936128876396</v>
      </c>
      <c r="J140">
        <v>42.734561421637892</v>
      </c>
      <c r="K140">
        <v>71.41744697364318</v>
      </c>
      <c r="L140">
        <v>84.756919697399169</v>
      </c>
      <c r="M140">
        <v>90.595677496809685</v>
      </c>
      <c r="N140">
        <v>5.7037174678093976</v>
      </c>
      <c r="O140">
        <v>52.824041214941353</v>
      </c>
      <c r="P140">
        <v>62.862487781064189</v>
      </c>
      <c r="Q140">
        <v>43.308810218682169</v>
      </c>
      <c r="R140">
        <v>41.242767888005112</v>
      </c>
      <c r="S140">
        <v>71.253645680625965</v>
      </c>
      <c r="T140">
        <v>78.111604621698191</v>
      </c>
      <c r="U140">
        <v>77.950833454355163</v>
      </c>
      <c r="V140">
        <v>82.514801424032541</v>
      </c>
      <c r="W140">
        <v>56.219321083768186</v>
      </c>
      <c r="X140">
        <v>46.642271360561843</v>
      </c>
      <c r="Y140">
        <v>50.374562542290754</v>
      </c>
      <c r="Z140">
        <v>50.985287165803413</v>
      </c>
      <c r="AA140">
        <v>49.192621520674436</v>
      </c>
      <c r="AB140">
        <v>123.77454597708093</v>
      </c>
      <c r="AC140">
        <v>82.635598522236336</v>
      </c>
      <c r="AD140">
        <v>31.4</v>
      </c>
      <c r="AE140">
        <v>79.171231311045844</v>
      </c>
      <c r="AF140">
        <v>71.511904693526958</v>
      </c>
      <c r="AG140">
        <v>-26.757406700000001</v>
      </c>
      <c r="AH140">
        <v>444.74975799999999</v>
      </c>
      <c r="AI140">
        <v>417.9923513</v>
      </c>
    </row>
    <row r="141" spans="1:35">
      <c r="A141" t="s">
        <v>247</v>
      </c>
      <c r="B141">
        <v>116.48274430811307</v>
      </c>
      <c r="C141">
        <v>121.10394007936104</v>
      </c>
      <c r="D141">
        <v>73.505122326966159</v>
      </c>
      <c r="E141">
        <v>87.781038687249605</v>
      </c>
      <c r="F141">
        <v>5.0784777722416941</v>
      </c>
      <c r="G141">
        <v>5.7833266178510554</v>
      </c>
      <c r="H141">
        <v>77.458393656413563</v>
      </c>
      <c r="I141">
        <v>45.092468799861258</v>
      </c>
      <c r="J141">
        <v>42.801539305516002</v>
      </c>
      <c r="K141">
        <v>66.88190529762295</v>
      </c>
      <c r="L141">
        <v>79.227502039763309</v>
      </c>
      <c r="M141">
        <v>90.694086237687301</v>
      </c>
      <c r="N141">
        <v>5.6488893730500873</v>
      </c>
      <c r="O141">
        <v>53.185491076573108</v>
      </c>
      <c r="P141">
        <v>63.932729778261745</v>
      </c>
      <c r="Q141">
        <v>41.176869831229958</v>
      </c>
      <c r="R141">
        <v>39.68266066730029</v>
      </c>
      <c r="S141">
        <v>71.536196747591163</v>
      </c>
      <c r="T141">
        <v>78.343168414831482</v>
      </c>
      <c r="U141">
        <v>78.195092505696735</v>
      </c>
      <c r="V141">
        <v>82.71185003267307</v>
      </c>
      <c r="W141">
        <v>56.8741265500244</v>
      </c>
      <c r="X141">
        <v>45.256695942638892</v>
      </c>
      <c r="Y141">
        <v>49.865615326283731</v>
      </c>
      <c r="Z141">
        <v>50.422610491053852</v>
      </c>
      <c r="AA141">
        <v>49.264049995646076</v>
      </c>
      <c r="AB141">
        <v>130.20127683556191</v>
      </c>
      <c r="AC141">
        <v>85.150598647169275</v>
      </c>
      <c r="AD141">
        <v>32.33</v>
      </c>
      <c r="AE141">
        <v>81.702648637759964</v>
      </c>
      <c r="AF141">
        <v>73.199227656368848</v>
      </c>
      <c r="AG141">
        <v>-29.533221300000001</v>
      </c>
      <c r="AH141">
        <v>445.89884760000001</v>
      </c>
      <c r="AI141">
        <v>416.36562629999997</v>
      </c>
    </row>
    <row r="142" spans="1:35">
      <c r="A142" t="s">
        <v>248</v>
      </c>
      <c r="B142">
        <v>115.63431580610938</v>
      </c>
      <c r="C142">
        <v>120.07656998655253</v>
      </c>
      <c r="D142">
        <v>73.620411588182307</v>
      </c>
      <c r="E142">
        <v>88.022794524332539</v>
      </c>
      <c r="F142">
        <v>4.752148587958021</v>
      </c>
      <c r="G142">
        <v>5.7562082093901372</v>
      </c>
      <c r="H142">
        <v>78.048338107212672</v>
      </c>
      <c r="I142">
        <v>45.424538191589129</v>
      </c>
      <c r="J142">
        <v>42.992971983099224</v>
      </c>
      <c r="K142">
        <v>68.181293633795789</v>
      </c>
      <c r="L142">
        <v>79.137250112732644</v>
      </c>
      <c r="M142">
        <v>90.792957135607836</v>
      </c>
      <c r="N142">
        <v>5.5596626527149855</v>
      </c>
      <c r="O142">
        <v>53.302243724130982</v>
      </c>
      <c r="P142">
        <v>64.43627420256081</v>
      </c>
      <c r="Q142">
        <v>39.263661257284411</v>
      </c>
      <c r="R142">
        <v>48.871841142474359</v>
      </c>
      <c r="S142">
        <v>71.742693890969406</v>
      </c>
      <c r="T142">
        <v>78.522684037577662</v>
      </c>
      <c r="U142">
        <v>78.255521284942347</v>
      </c>
      <c r="V142">
        <v>82.763050624590633</v>
      </c>
      <c r="W142">
        <v>60.217217729259467</v>
      </c>
      <c r="X142">
        <v>46.413624824466183</v>
      </c>
      <c r="Y142">
        <v>47.481908001370748</v>
      </c>
      <c r="Z142">
        <v>48.209168280863963</v>
      </c>
      <c r="AA142">
        <v>50.823979052738558</v>
      </c>
      <c r="AB142">
        <v>174.93234432657954</v>
      </c>
      <c r="AC142">
        <v>84.12610980972218</v>
      </c>
      <c r="AD142">
        <v>25.28</v>
      </c>
      <c r="AE142">
        <v>63.259155690995982</v>
      </c>
      <c r="AF142">
        <v>68.309322595027851</v>
      </c>
      <c r="AG142">
        <v>-23.9534983</v>
      </c>
      <c r="AH142">
        <v>444.42846739999999</v>
      </c>
      <c r="AI142">
        <v>420.47496910000001</v>
      </c>
    </row>
    <row r="143" spans="1:35">
      <c r="A143" t="s">
        <v>249</v>
      </c>
      <c r="B143">
        <v>112.47104317645093</v>
      </c>
      <c r="C143">
        <v>117.10012312295625</v>
      </c>
      <c r="D143">
        <v>72.974549015733231</v>
      </c>
      <c r="E143">
        <v>86.956063484177676</v>
      </c>
      <c r="F143">
        <v>4.6486254243776015</v>
      </c>
      <c r="G143">
        <v>5.3621466290186977</v>
      </c>
      <c r="H143">
        <v>80.235890843358661</v>
      </c>
      <c r="I143">
        <v>46.075233013707425</v>
      </c>
      <c r="J143">
        <v>43.540192695924688</v>
      </c>
      <c r="K143">
        <v>71.061836407134038</v>
      </c>
      <c r="L143">
        <v>82.98606030914155</v>
      </c>
      <c r="M143">
        <v>90.909836375891757</v>
      </c>
      <c r="N143">
        <v>5.7207861258320412</v>
      </c>
      <c r="O143">
        <v>53.76457883455187</v>
      </c>
      <c r="P143">
        <v>63.945196494789045</v>
      </c>
      <c r="Q143">
        <v>40.384133973754409</v>
      </c>
      <c r="R143">
        <v>50.02904443407094</v>
      </c>
      <c r="S143">
        <v>71.899865914681385</v>
      </c>
      <c r="T143">
        <v>78.697527195336747</v>
      </c>
      <c r="U143">
        <v>78.435122126528142</v>
      </c>
      <c r="V143">
        <v>82.930413363379671</v>
      </c>
      <c r="W143">
        <v>58.583314942456084</v>
      </c>
      <c r="X143">
        <v>46.202092619295478</v>
      </c>
      <c r="Y143">
        <v>46.359788947326436</v>
      </c>
      <c r="Z143">
        <v>47.423658535249729</v>
      </c>
      <c r="AA143">
        <v>50.64648006864271</v>
      </c>
      <c r="AB143">
        <v>163.93162405686948</v>
      </c>
      <c r="AC143">
        <v>83.181448525402473</v>
      </c>
      <c r="AD143">
        <v>25.95</v>
      </c>
      <c r="AE143">
        <v>64.557623762957448</v>
      </c>
      <c r="AF143">
        <v>71.442514138328974</v>
      </c>
      <c r="AG143">
        <v>-25.855354800000001</v>
      </c>
      <c r="AH143">
        <v>446.70429919999998</v>
      </c>
      <c r="AI143">
        <v>420.84894439999999</v>
      </c>
    </row>
    <row r="144" spans="1:35">
      <c r="A144" t="s">
        <v>250</v>
      </c>
      <c r="B144">
        <v>111.05479674887702</v>
      </c>
      <c r="C144">
        <v>115.25608911004137</v>
      </c>
      <c r="D144">
        <v>73.165996831136994</v>
      </c>
      <c r="E144">
        <v>87.043562450842686</v>
      </c>
      <c r="F144">
        <v>4.5837044590513907</v>
      </c>
      <c r="G144">
        <v>5.3748198011211121</v>
      </c>
      <c r="H144">
        <v>75.285189821462055</v>
      </c>
      <c r="I144">
        <v>46.372035575334586</v>
      </c>
      <c r="J144">
        <v>43.775206583248035</v>
      </c>
      <c r="K144">
        <v>64.803845981370458</v>
      </c>
      <c r="L144">
        <v>76.415343000450278</v>
      </c>
      <c r="M144">
        <v>90.991309150179688</v>
      </c>
      <c r="N144">
        <v>5.7360372625126201</v>
      </c>
      <c r="O144">
        <v>54.065869604545028</v>
      </c>
      <c r="P144">
        <v>60.983646199212465</v>
      </c>
      <c r="Q144">
        <v>42.02491797509068</v>
      </c>
      <c r="R144">
        <v>49.563340786099353</v>
      </c>
      <c r="S144">
        <v>72.102857557561833</v>
      </c>
      <c r="T144">
        <v>78.830266369742617</v>
      </c>
      <c r="U144">
        <v>78.645323202350298</v>
      </c>
      <c r="V144">
        <v>83.071763990041731</v>
      </c>
      <c r="W144">
        <v>57.566907993219026</v>
      </c>
      <c r="X144">
        <v>45.481200397885409</v>
      </c>
      <c r="Y144">
        <v>45.913527880779547</v>
      </c>
      <c r="Z144">
        <v>46.991333019732274</v>
      </c>
      <c r="AA144">
        <v>49.968086670947322</v>
      </c>
      <c r="AB144">
        <v>127.44044399179896</v>
      </c>
      <c r="AC144">
        <v>76.917370368811646</v>
      </c>
      <c r="AD144">
        <v>27.24</v>
      </c>
      <c r="AE144">
        <v>68.241037205036761</v>
      </c>
      <c r="AF144">
        <v>70.969655262219106</v>
      </c>
      <c r="AG144">
        <v>-18.981970700000002</v>
      </c>
      <c r="AH144">
        <v>435.01891970000003</v>
      </c>
      <c r="AI144">
        <v>416.03694899999999</v>
      </c>
    </row>
    <row r="145" spans="1:35">
      <c r="A145" t="s">
        <v>251</v>
      </c>
      <c r="B145">
        <v>112.36771017327808</v>
      </c>
      <c r="C145">
        <v>117.01929756804975</v>
      </c>
      <c r="D145">
        <v>72.829264684243313</v>
      </c>
      <c r="E145">
        <v>86.572371459421234</v>
      </c>
      <c r="F145">
        <v>4.447699028540721</v>
      </c>
      <c r="G145">
        <v>5.1112704364522328</v>
      </c>
      <c r="H145">
        <v>72.241774821891994</v>
      </c>
      <c r="I145">
        <v>46.765678960981809</v>
      </c>
      <c r="J145">
        <v>44.048580646059804</v>
      </c>
      <c r="K145">
        <v>60.016451935674063</v>
      </c>
      <c r="L145">
        <v>72.648925737096192</v>
      </c>
      <c r="M145">
        <v>91.045008458946455</v>
      </c>
      <c r="N145">
        <v>5.8012310624962318</v>
      </c>
      <c r="O145">
        <v>54.10285585455442</v>
      </c>
      <c r="P145">
        <v>59.033493733351129</v>
      </c>
      <c r="Q145">
        <v>41.011183413293153</v>
      </c>
      <c r="R145">
        <v>50.812665409504795</v>
      </c>
      <c r="S145">
        <v>72.354843681573684</v>
      </c>
      <c r="T145">
        <v>78.965662732245534</v>
      </c>
      <c r="U145">
        <v>78.904316903729466</v>
      </c>
      <c r="V145">
        <v>83.252309222788639</v>
      </c>
      <c r="W145">
        <v>58.986931821439022</v>
      </c>
      <c r="X145">
        <v>43.998091610539547</v>
      </c>
      <c r="Y145">
        <v>45.807192509466994</v>
      </c>
      <c r="Z145">
        <v>46.921252952161744</v>
      </c>
      <c r="AA145">
        <v>49.819342359104702</v>
      </c>
      <c r="AB145">
        <v>123.29185116319928</v>
      </c>
      <c r="AC145">
        <v>72.361527237001766</v>
      </c>
      <c r="AD145">
        <v>25.02</v>
      </c>
      <c r="AE145">
        <v>63.39852807569946</v>
      </c>
      <c r="AF145">
        <v>67.420781525008067</v>
      </c>
      <c r="AG145">
        <v>-23.334939500000001</v>
      </c>
      <c r="AH145">
        <v>430.79794199999998</v>
      </c>
      <c r="AI145">
        <v>407.46300250000002</v>
      </c>
    </row>
    <row r="146" spans="1:35">
      <c r="A146" t="s">
        <v>252</v>
      </c>
      <c r="B146">
        <v>110.50256188522752</v>
      </c>
      <c r="C146">
        <v>114.67679887692242</v>
      </c>
      <c r="D146">
        <v>72.40377672550396</v>
      </c>
      <c r="E146">
        <v>86.002153719245072</v>
      </c>
      <c r="F146">
        <v>4.6581413890981107</v>
      </c>
      <c r="G146">
        <v>4.9050426905703874</v>
      </c>
      <c r="H146">
        <v>77.328999828396221</v>
      </c>
      <c r="I146">
        <v>47.189608744082804</v>
      </c>
      <c r="J146">
        <v>44.420552336311097</v>
      </c>
      <c r="K146">
        <v>64.457041846754549</v>
      </c>
      <c r="L146">
        <v>77.770716109755881</v>
      </c>
      <c r="M146">
        <v>91.108908326697801</v>
      </c>
      <c r="N146">
        <v>5.7580678967326877</v>
      </c>
      <c r="O146">
        <v>54.30076253684912</v>
      </c>
      <c r="P146">
        <v>59.394886237193965</v>
      </c>
      <c r="Q146">
        <v>39.353756592378545</v>
      </c>
      <c r="R146">
        <v>51.4780573285312</v>
      </c>
      <c r="S146">
        <v>72.725628084363805</v>
      </c>
      <c r="T146">
        <v>79.233714951764881</v>
      </c>
      <c r="U146">
        <v>79.162981690787561</v>
      </c>
      <c r="V146">
        <v>83.457663096934425</v>
      </c>
      <c r="W146">
        <v>59.415533502641416</v>
      </c>
      <c r="X146">
        <v>43.58306291515796</v>
      </c>
      <c r="Y146">
        <v>44.614258006041666</v>
      </c>
      <c r="Z146">
        <v>45.765961955597845</v>
      </c>
      <c r="AA146">
        <v>49.729304642598656</v>
      </c>
      <c r="AB146">
        <v>123.39311366397544</v>
      </c>
      <c r="AC146">
        <v>73.375901969700465</v>
      </c>
      <c r="AD146">
        <v>25.66</v>
      </c>
      <c r="AE146">
        <v>65.630559457302425</v>
      </c>
      <c r="AF146">
        <v>68.901251253942021</v>
      </c>
      <c r="AG146">
        <v>-23.037016900000001</v>
      </c>
      <c r="AH146">
        <v>420.24987270000003</v>
      </c>
      <c r="AI146">
        <v>397.2128558</v>
      </c>
    </row>
    <row r="147" spans="1:35">
      <c r="A147" t="s">
        <v>253</v>
      </c>
      <c r="B147">
        <v>111.55288031926406</v>
      </c>
      <c r="C147">
        <v>116.13958100481729</v>
      </c>
      <c r="D147">
        <v>72.572161819520034</v>
      </c>
      <c r="E147">
        <v>85.75847937921597</v>
      </c>
      <c r="F147">
        <v>4.8067437586568262</v>
      </c>
      <c r="G147">
        <v>4.6025302615003385</v>
      </c>
      <c r="H147">
        <v>77.105348110779829</v>
      </c>
      <c r="I147">
        <v>47.362138215920233</v>
      </c>
      <c r="J147">
        <v>44.634957426853639</v>
      </c>
      <c r="K147">
        <v>63.618302020935516</v>
      </c>
      <c r="L147">
        <v>77.329629456197935</v>
      </c>
      <c r="M147">
        <v>91.158767765076362</v>
      </c>
      <c r="N147">
        <v>5.8111764779527402</v>
      </c>
      <c r="O147">
        <v>54.783730257013289</v>
      </c>
      <c r="P147">
        <v>59.98114721131757</v>
      </c>
      <c r="Q147">
        <v>39.781161913371271</v>
      </c>
      <c r="R147">
        <v>51.086678165044084</v>
      </c>
      <c r="S147">
        <v>73.110028908748035</v>
      </c>
      <c r="T147">
        <v>79.554538907854322</v>
      </c>
      <c r="U147">
        <v>79.403353443326651</v>
      </c>
      <c r="V147">
        <v>83.626744267820612</v>
      </c>
      <c r="W147">
        <v>60.901621755655661</v>
      </c>
      <c r="X147">
        <v>44.887396514958262</v>
      </c>
      <c r="Y147">
        <v>43.710698801572327</v>
      </c>
      <c r="Z147">
        <v>44.922423738416526</v>
      </c>
      <c r="AA147">
        <v>50.456501875677461</v>
      </c>
      <c r="AB147">
        <v>110.90308180850602</v>
      </c>
      <c r="AC147">
        <v>73.758302262037844</v>
      </c>
      <c r="AD147">
        <v>27.55</v>
      </c>
      <c r="AE147">
        <v>70.735050264340899</v>
      </c>
      <c r="AF147">
        <v>67.967113841161492</v>
      </c>
      <c r="AG147">
        <v>-19.519183900000002</v>
      </c>
      <c r="AH147">
        <v>415.64725909999999</v>
      </c>
      <c r="AI147">
        <v>396.12807520000001</v>
      </c>
    </row>
    <row r="148" spans="1:35">
      <c r="A148" t="s">
        <v>254</v>
      </c>
      <c r="B148">
        <v>111.72894328374035</v>
      </c>
      <c r="C148">
        <v>116.65422352225083</v>
      </c>
      <c r="D148">
        <v>72.368831532221336</v>
      </c>
      <c r="E148">
        <v>85.390465627115972</v>
      </c>
      <c r="F148">
        <v>4.7156117646731355</v>
      </c>
      <c r="G148">
        <v>4.5418522440703368</v>
      </c>
      <c r="H148">
        <v>74.828605208304126</v>
      </c>
      <c r="I148">
        <v>47.813681727013247</v>
      </c>
      <c r="J148">
        <v>45.03741857729284</v>
      </c>
      <c r="K148">
        <v>61.577891561074473</v>
      </c>
      <c r="L148">
        <v>75.451712598738467</v>
      </c>
      <c r="M148">
        <v>91.216691262939904</v>
      </c>
      <c r="N148">
        <v>5.7769905511894715</v>
      </c>
      <c r="O148">
        <v>55.04230443585012</v>
      </c>
      <c r="P148">
        <v>58.427839818111337</v>
      </c>
      <c r="Q148">
        <v>37.505180878991382</v>
      </c>
      <c r="R148">
        <v>51.158023358002723</v>
      </c>
      <c r="S148">
        <v>73.382533649396919</v>
      </c>
      <c r="T148">
        <v>79.742390695164758</v>
      </c>
      <c r="U148">
        <v>79.662063169783977</v>
      </c>
      <c r="V148">
        <v>83.860781527757595</v>
      </c>
      <c r="W148">
        <v>60.678317200713607</v>
      </c>
      <c r="X148">
        <v>43.086933179923328</v>
      </c>
      <c r="Y148">
        <v>44.503690415571256</v>
      </c>
      <c r="Z148">
        <v>45.576551399347196</v>
      </c>
      <c r="AA148">
        <v>49.629597609396413</v>
      </c>
      <c r="AB148">
        <v>105.36282354587092</v>
      </c>
      <c r="AC148">
        <v>71.154271387136404</v>
      </c>
      <c r="AD148">
        <v>26.97</v>
      </c>
      <c r="AE148">
        <v>69.920647449138826</v>
      </c>
      <c r="AF148">
        <v>68.563413156989114</v>
      </c>
      <c r="AG148">
        <v>-19.881674400000001</v>
      </c>
      <c r="AH148">
        <v>409.56113160000001</v>
      </c>
      <c r="AI148">
        <v>389.6794572</v>
      </c>
    </row>
    <row r="149" spans="1:35">
      <c r="A149" t="s">
        <v>255</v>
      </c>
      <c r="B149">
        <v>111.28499554087874</v>
      </c>
      <c r="C149">
        <v>115.91215751522543</v>
      </c>
      <c r="D149">
        <v>71.744908997826542</v>
      </c>
      <c r="E149">
        <v>84.546575884093912</v>
      </c>
      <c r="F149">
        <v>4.8644393465846854</v>
      </c>
      <c r="G149">
        <v>4.491154051162777</v>
      </c>
      <c r="H149">
        <v>72.256637654201185</v>
      </c>
      <c r="I149">
        <v>48.029721961007233</v>
      </c>
      <c r="J149">
        <v>45.324154823943502</v>
      </c>
      <c r="K149">
        <v>59.750185251670295</v>
      </c>
      <c r="L149">
        <v>72.665587045948598</v>
      </c>
      <c r="M149">
        <v>91.269676267635575</v>
      </c>
      <c r="N149">
        <v>5.9736200206851002</v>
      </c>
      <c r="O149">
        <v>54.932279943511965</v>
      </c>
      <c r="P149">
        <v>55.898913532468576</v>
      </c>
      <c r="Q149">
        <v>36.009047355825139</v>
      </c>
      <c r="R149">
        <v>50.918899452313653</v>
      </c>
      <c r="S149">
        <v>73.501772756614358</v>
      </c>
      <c r="T149">
        <v>79.763199657834448</v>
      </c>
      <c r="U149">
        <v>79.894990095848172</v>
      </c>
      <c r="V149">
        <v>84.044723048150118</v>
      </c>
      <c r="W149">
        <v>62.228078515987619</v>
      </c>
      <c r="X149">
        <v>41.076991493233095</v>
      </c>
      <c r="Y149">
        <v>44.147110964871722</v>
      </c>
      <c r="Z149">
        <v>45.185085625567645</v>
      </c>
      <c r="AA149">
        <v>49.630124619789228</v>
      </c>
      <c r="AB149">
        <v>93.126668139746542</v>
      </c>
      <c r="AC149">
        <v>64.966555821158138</v>
      </c>
      <c r="AD149">
        <v>24.8</v>
      </c>
      <c r="AE149">
        <v>64.280784471577064</v>
      </c>
      <c r="AF149">
        <v>66.219001513779062</v>
      </c>
      <c r="AG149">
        <v>-21.7567491</v>
      </c>
      <c r="AH149">
        <v>402.89239099999998</v>
      </c>
      <c r="AI149">
        <v>381.1356419</v>
      </c>
    </row>
    <row r="150" spans="1:35">
      <c r="A150" t="s">
        <v>256</v>
      </c>
      <c r="B150">
        <v>110.64605810446281</v>
      </c>
      <c r="C150">
        <v>115.11301086075949</v>
      </c>
      <c r="D150">
        <v>72.347955604619301</v>
      </c>
      <c r="E150">
        <v>85.092475572697396</v>
      </c>
      <c r="F150">
        <v>4.5464799375764766</v>
      </c>
      <c r="G150">
        <v>4.2914439771581234</v>
      </c>
      <c r="H150">
        <v>68.122814480143163</v>
      </c>
      <c r="I150">
        <v>48.387928430008834</v>
      </c>
      <c r="J150">
        <v>45.815782122313578</v>
      </c>
      <c r="K150">
        <v>56.943327436587865</v>
      </c>
      <c r="L150">
        <v>68.08411135030282</v>
      </c>
      <c r="M150">
        <v>91.30416918079311</v>
      </c>
      <c r="N150">
        <v>5.9925185557466527</v>
      </c>
      <c r="O150">
        <v>55.183507712573274</v>
      </c>
      <c r="P150">
        <v>56.129081326551933</v>
      </c>
      <c r="Q150">
        <v>36.345491518414129</v>
      </c>
      <c r="R150">
        <v>50.620974517072497</v>
      </c>
      <c r="S150">
        <v>73.664428156726331</v>
      </c>
      <c r="T150">
        <v>79.868881146530796</v>
      </c>
      <c r="U150">
        <v>80.103485021869972</v>
      </c>
      <c r="V150">
        <v>84.210301529117913</v>
      </c>
      <c r="W150">
        <v>62.275000448874053</v>
      </c>
      <c r="X150">
        <v>39.745043683848856</v>
      </c>
      <c r="Y150">
        <v>45.441816697613639</v>
      </c>
      <c r="Z150">
        <v>46.289209928370497</v>
      </c>
      <c r="AA150">
        <v>49.234080546226494</v>
      </c>
      <c r="AB150">
        <v>89.649314421620332</v>
      </c>
      <c r="AC150">
        <v>66.102523011559015</v>
      </c>
      <c r="AD150">
        <v>25.81</v>
      </c>
      <c r="AE150">
        <v>65.642331510324695</v>
      </c>
      <c r="AF150">
        <v>64.80168918360846</v>
      </c>
      <c r="AG150">
        <v>-17.3936472</v>
      </c>
      <c r="AH150">
        <v>407.99096680000002</v>
      </c>
      <c r="AI150">
        <v>390.59731959999999</v>
      </c>
    </row>
    <row r="151" spans="1:35">
      <c r="A151" t="s">
        <v>257</v>
      </c>
      <c r="B151">
        <v>107.13966476859265</v>
      </c>
      <c r="C151">
        <v>110.54523434732505</v>
      </c>
      <c r="D151">
        <v>71.789706523490437</v>
      </c>
      <c r="E151">
        <v>84.276873130706917</v>
      </c>
      <c r="F151">
        <v>4.4446166348034888</v>
      </c>
      <c r="G151">
        <v>3.9867143033988492</v>
      </c>
      <c r="H151">
        <v>60.506853699679262</v>
      </c>
      <c r="I151">
        <v>48.994996317381286</v>
      </c>
      <c r="J151">
        <v>46.942047962721858</v>
      </c>
      <c r="K151">
        <v>50.951939174328842</v>
      </c>
      <c r="L151">
        <v>61.170154180948998</v>
      </c>
      <c r="M151">
        <v>91.304984186055023</v>
      </c>
      <c r="N151">
        <v>6.0461030222441847</v>
      </c>
      <c r="O151">
        <v>55.054173998551292</v>
      </c>
      <c r="P151">
        <v>54.040797402358756</v>
      </c>
      <c r="Q151">
        <v>34.986782057580442</v>
      </c>
      <c r="R151">
        <v>49.061494293670954</v>
      </c>
      <c r="S151">
        <v>73.867617364449885</v>
      </c>
      <c r="T151">
        <v>80.038760118848643</v>
      </c>
      <c r="U151">
        <v>80.317431763296753</v>
      </c>
      <c r="V151">
        <v>84.382675785749839</v>
      </c>
      <c r="W151">
        <v>60.202419997114177</v>
      </c>
      <c r="X151">
        <v>38.523537525596758</v>
      </c>
      <c r="Y151">
        <v>44.804079762769483</v>
      </c>
      <c r="Z151">
        <v>45.626079994482829</v>
      </c>
      <c r="AA151">
        <v>48.041024680717129</v>
      </c>
      <c r="AB151">
        <v>78.985783795289947</v>
      </c>
      <c r="AC151">
        <v>62.719314674370558</v>
      </c>
      <c r="AD151">
        <v>25.03</v>
      </c>
      <c r="AE151">
        <v>63.119648519623674</v>
      </c>
      <c r="AF151">
        <v>63.115045785899575</v>
      </c>
      <c r="AG151">
        <v>-16.476565000000001</v>
      </c>
      <c r="AH151">
        <v>396.78410739999998</v>
      </c>
      <c r="AI151">
        <v>380.30754239999999</v>
      </c>
    </row>
    <row r="152" spans="1:35">
      <c r="A152" t="s">
        <v>258</v>
      </c>
      <c r="B152">
        <v>104.51663479056535</v>
      </c>
      <c r="C152">
        <v>107.1302837912702</v>
      </c>
      <c r="D152">
        <v>71.581039306982774</v>
      </c>
      <c r="E152">
        <v>83.854456260517125</v>
      </c>
      <c r="F152">
        <v>4.4424701499107782</v>
      </c>
      <c r="G152">
        <v>3.7493930573220622</v>
      </c>
      <c r="H152">
        <v>62.947832072393815</v>
      </c>
      <c r="I152">
        <v>49.158698226321498</v>
      </c>
      <c r="J152">
        <v>46.533719017757655</v>
      </c>
      <c r="K152">
        <v>52.393336432084844</v>
      </c>
      <c r="L152">
        <v>63.3423207376986</v>
      </c>
      <c r="M152">
        <v>91.345714018505831</v>
      </c>
      <c r="N152">
        <v>6.1776572787911945</v>
      </c>
      <c r="O152">
        <v>55.244763111812389</v>
      </c>
      <c r="P152">
        <v>50.394672067582555</v>
      </c>
      <c r="Q152">
        <v>34.017411824740627</v>
      </c>
      <c r="R152">
        <v>48.752828339437784</v>
      </c>
      <c r="S152">
        <v>73.973149617056592</v>
      </c>
      <c r="T152">
        <v>80.038920331537994</v>
      </c>
      <c r="U152">
        <v>80.535977387646597</v>
      </c>
      <c r="V152">
        <v>84.547318060227241</v>
      </c>
      <c r="W152">
        <v>59.030629487333833</v>
      </c>
      <c r="X152">
        <v>37.289398705461515</v>
      </c>
      <c r="Y152">
        <v>40.751303664605771</v>
      </c>
      <c r="Z152">
        <v>41.936117837587624</v>
      </c>
      <c r="AA152">
        <v>46.912667008693681</v>
      </c>
      <c r="AB152">
        <v>78.684170475705912</v>
      </c>
      <c r="AC152">
        <v>55.431303027918567</v>
      </c>
      <c r="AD152">
        <v>20.73</v>
      </c>
      <c r="AE152">
        <v>52.573031473054492</v>
      </c>
      <c r="AF152">
        <v>60.097596004119623</v>
      </c>
      <c r="AG152">
        <v>-15.432604100000001</v>
      </c>
      <c r="AH152">
        <v>399.77566739999997</v>
      </c>
      <c r="AI152">
        <v>384.34306329999998</v>
      </c>
    </row>
    <row r="153" spans="1:35">
      <c r="A153" t="s">
        <v>259</v>
      </c>
      <c r="B153">
        <v>103.10256960188426</v>
      </c>
      <c r="C153">
        <v>106.3062111132764</v>
      </c>
      <c r="D153">
        <v>71.542998047918246</v>
      </c>
      <c r="E153">
        <v>83.510012177665345</v>
      </c>
      <c r="F153">
        <v>4.2352468703977495</v>
      </c>
      <c r="G153">
        <v>3.4608157014497274</v>
      </c>
      <c r="H153">
        <v>67.033690644039297</v>
      </c>
      <c r="I153">
        <v>49.466480104981692</v>
      </c>
      <c r="J153">
        <v>46.851573409900574</v>
      </c>
      <c r="K153">
        <v>55.573744792546385</v>
      </c>
      <c r="L153">
        <v>67.211089501657085</v>
      </c>
      <c r="M153">
        <v>91.507780785794452</v>
      </c>
      <c r="N153">
        <v>6.2087357064759328</v>
      </c>
      <c r="O153">
        <v>55.692319072684541</v>
      </c>
      <c r="P153">
        <v>48.172844383348604</v>
      </c>
      <c r="Q153">
        <v>35.632326201799245</v>
      </c>
      <c r="R153">
        <v>45.424928248350803</v>
      </c>
      <c r="S153">
        <v>74.118230958950377</v>
      </c>
      <c r="T153">
        <v>80.08896885657748</v>
      </c>
      <c r="U153">
        <v>80.703107227536236</v>
      </c>
      <c r="V153">
        <v>84.718991372925643</v>
      </c>
      <c r="W153">
        <v>57.812665291316186</v>
      </c>
      <c r="X153">
        <v>38.560568329420541</v>
      </c>
      <c r="Y153">
        <v>42.615231257148189</v>
      </c>
      <c r="Z153">
        <v>43.604451217263339</v>
      </c>
      <c r="AA153">
        <v>46.587496385830256</v>
      </c>
      <c r="AB153">
        <v>74.010465177556455</v>
      </c>
      <c r="AC153">
        <v>50.466009577587407</v>
      </c>
      <c r="AD153">
        <v>18.690000000000001</v>
      </c>
      <c r="AE153">
        <v>47.766393924383408</v>
      </c>
      <c r="AF153">
        <v>61.003304571282897</v>
      </c>
      <c r="AG153">
        <v>-14.554338100000001</v>
      </c>
      <c r="AH153">
        <v>390.98356139999999</v>
      </c>
      <c r="AI153">
        <v>376.42922329999999</v>
      </c>
    </row>
    <row r="154" spans="1:35">
      <c r="A154" t="s">
        <v>260</v>
      </c>
      <c r="B154">
        <v>105.43894014460716</v>
      </c>
      <c r="C154">
        <v>109.22368181050979</v>
      </c>
      <c r="D154">
        <v>71.27997555992313</v>
      </c>
      <c r="E154">
        <v>83.586065487063451</v>
      </c>
      <c r="F154">
        <v>4.6676497881427936</v>
      </c>
      <c r="G154">
        <v>3.4042566069559048</v>
      </c>
      <c r="H154">
        <v>68.938215202341866</v>
      </c>
      <c r="I154">
        <v>49.787598302489386</v>
      </c>
      <c r="J154">
        <v>47.373830696507717</v>
      </c>
      <c r="K154">
        <v>56.590192026152216</v>
      </c>
      <c r="L154">
        <v>68.982226836555455</v>
      </c>
      <c r="M154">
        <v>91.202044529924891</v>
      </c>
      <c r="N154">
        <v>6.221134504715665</v>
      </c>
      <c r="O154">
        <v>55.778345630608108</v>
      </c>
      <c r="P154">
        <v>47.897347429038959</v>
      </c>
      <c r="Q154">
        <v>36.609286719489774</v>
      </c>
      <c r="R154">
        <v>43.147370408748259</v>
      </c>
      <c r="S154">
        <v>74.270523163601823</v>
      </c>
      <c r="T154">
        <v>80.172158296483417</v>
      </c>
      <c r="U154">
        <v>80.968012963022062</v>
      </c>
      <c r="V154">
        <v>84.888043072680404</v>
      </c>
      <c r="W154">
        <v>57.541376357772663</v>
      </c>
      <c r="X154">
        <v>39.096092038061094</v>
      </c>
      <c r="Y154">
        <v>43.10070313289674</v>
      </c>
      <c r="Z154">
        <v>44.141994176187957</v>
      </c>
      <c r="AA154">
        <v>46.640600062189655</v>
      </c>
      <c r="AB154">
        <v>73.541440166961948</v>
      </c>
      <c r="AC154">
        <v>49.715200243765658</v>
      </c>
      <c r="AD154">
        <v>18.52</v>
      </c>
      <c r="AE154">
        <v>47.550580310706955</v>
      </c>
      <c r="AF154">
        <v>60.474277669806725</v>
      </c>
      <c r="AG154">
        <v>-9.1865643000000006</v>
      </c>
      <c r="AH154">
        <v>381.4952773</v>
      </c>
      <c r="AI154">
        <v>372.30871300000001</v>
      </c>
    </row>
    <row r="155" spans="1:35">
      <c r="A155" t="s">
        <v>261</v>
      </c>
      <c r="B155">
        <v>106.27942685294325</v>
      </c>
      <c r="C155">
        <v>110.89383777679936</v>
      </c>
      <c r="D155">
        <v>72.069058992185191</v>
      </c>
      <c r="E155">
        <v>83.976893892079104</v>
      </c>
      <c r="F155">
        <v>4.6756696029169316</v>
      </c>
      <c r="G155">
        <v>3.1959601388731524</v>
      </c>
      <c r="H155">
        <v>68.164460621577646</v>
      </c>
      <c r="I155">
        <v>50.059456168265029</v>
      </c>
      <c r="J155">
        <v>48.183463333323132</v>
      </c>
      <c r="K155">
        <v>54.875309144996884</v>
      </c>
      <c r="L155">
        <v>68.234213361694358</v>
      </c>
      <c r="M155">
        <v>91.30317755580441</v>
      </c>
      <c r="N155">
        <v>6.4098082003438792</v>
      </c>
      <c r="O155">
        <v>56.463258670146367</v>
      </c>
      <c r="P155">
        <v>48.532129882995406</v>
      </c>
      <c r="Q155">
        <v>37.408980715894742</v>
      </c>
      <c r="R155">
        <v>43.813781725560105</v>
      </c>
      <c r="S155">
        <v>74.58388924371738</v>
      </c>
      <c r="T155">
        <v>80.424411761710743</v>
      </c>
      <c r="U155">
        <v>81.19596776789011</v>
      </c>
      <c r="V155">
        <v>85.086322444576538</v>
      </c>
      <c r="W155">
        <v>59.197918833502982</v>
      </c>
      <c r="X155">
        <v>40.402698044035411</v>
      </c>
      <c r="Y155">
        <v>45.387781436507694</v>
      </c>
      <c r="Z155">
        <v>46.276636302902808</v>
      </c>
      <c r="AA155">
        <v>47.805931252235517</v>
      </c>
      <c r="AB155">
        <v>67.559425565618596</v>
      </c>
      <c r="AC155">
        <v>49.582557566235444</v>
      </c>
      <c r="AD155">
        <v>19.149999999999999</v>
      </c>
      <c r="AE155">
        <v>49.577972722353536</v>
      </c>
      <c r="AF155">
        <v>60.919209447255589</v>
      </c>
      <c r="AG155">
        <v>-8.4611985999999995</v>
      </c>
      <c r="AH155">
        <v>387.0044168</v>
      </c>
      <c r="AI155">
        <v>378.54321820000001</v>
      </c>
    </row>
    <row r="156" spans="1:35">
      <c r="A156" t="s">
        <v>262</v>
      </c>
      <c r="B156">
        <v>105.63059468546197</v>
      </c>
      <c r="C156">
        <v>110.08289001713968</v>
      </c>
      <c r="D156">
        <v>72.344982712129791</v>
      </c>
      <c r="E156">
        <v>84.391852828417896</v>
      </c>
      <c r="F156">
        <v>4.6552395450590698</v>
      </c>
      <c r="G156">
        <v>3.6475843802302936</v>
      </c>
      <c r="H156">
        <v>69.252029646828177</v>
      </c>
      <c r="I156">
        <v>50.290869159409745</v>
      </c>
      <c r="J156">
        <v>48.555077037422151</v>
      </c>
      <c r="K156">
        <v>54.764152436618431</v>
      </c>
      <c r="L156">
        <v>68.131685550243333</v>
      </c>
      <c r="M156">
        <v>91.426695303298118</v>
      </c>
      <c r="N156">
        <v>6.4162599004691243</v>
      </c>
      <c r="O156">
        <v>56.364703790386542</v>
      </c>
      <c r="P156">
        <v>49.549359235783854</v>
      </c>
      <c r="Q156">
        <v>39.437222077411676</v>
      </c>
      <c r="R156">
        <v>43.766741112785475</v>
      </c>
      <c r="S156">
        <v>74.73619870283602</v>
      </c>
      <c r="T156">
        <v>80.515494729458155</v>
      </c>
      <c r="U156">
        <v>81.439382569339273</v>
      </c>
      <c r="V156">
        <v>85.260041991944618</v>
      </c>
      <c r="W156">
        <v>59.467522190379647</v>
      </c>
      <c r="X156">
        <v>40.60334212956996</v>
      </c>
      <c r="Y156">
        <v>47.554274746251039</v>
      </c>
      <c r="Z156">
        <v>48.271401333819519</v>
      </c>
      <c r="AA156">
        <v>48.359474831474891</v>
      </c>
      <c r="AB156">
        <v>68.574301066568211</v>
      </c>
      <c r="AC156">
        <v>51.270496491074283</v>
      </c>
      <c r="AD156">
        <v>19.98</v>
      </c>
      <c r="AE156">
        <v>52.03086093754434</v>
      </c>
      <c r="AF156">
        <v>63.197900934249603</v>
      </c>
      <c r="AG156">
        <v>-16.836027600000001</v>
      </c>
      <c r="AH156">
        <v>396.59662250000002</v>
      </c>
      <c r="AI156">
        <v>379.7605949</v>
      </c>
    </row>
    <row r="157" spans="1:35">
      <c r="A157" t="s">
        <v>263</v>
      </c>
      <c r="B157">
        <v>108.84331625547637</v>
      </c>
      <c r="C157">
        <v>114.46145216727106</v>
      </c>
      <c r="D157">
        <v>72.816525707722192</v>
      </c>
      <c r="E157">
        <v>85.008791511332788</v>
      </c>
      <c r="F157">
        <v>4.886247514296632</v>
      </c>
      <c r="G157">
        <v>3.6055888496422335</v>
      </c>
      <c r="H157">
        <v>72.009074685539247</v>
      </c>
      <c r="I157">
        <v>50.535872114181593</v>
      </c>
      <c r="J157">
        <v>48.650578657880168</v>
      </c>
      <c r="K157">
        <v>57.230940963019009</v>
      </c>
      <c r="L157">
        <v>70.96351040687297</v>
      </c>
      <c r="M157">
        <v>92.230404547254878</v>
      </c>
      <c r="N157">
        <v>6.4339669302472835</v>
      </c>
      <c r="O157">
        <v>56.745052492900292</v>
      </c>
      <c r="P157">
        <v>53.973066550186815</v>
      </c>
      <c r="Q157">
        <v>44.134315740426374</v>
      </c>
      <c r="R157">
        <v>43.087001885937944</v>
      </c>
      <c r="S157">
        <v>74.956075499018951</v>
      </c>
      <c r="T157">
        <v>80.712187634366614</v>
      </c>
      <c r="U157">
        <v>81.505008924093886</v>
      </c>
      <c r="V157">
        <v>85.321664506660767</v>
      </c>
      <c r="W157">
        <v>62.297234582993049</v>
      </c>
      <c r="X157">
        <v>41.968438995019568</v>
      </c>
      <c r="Y157">
        <v>49.284771440343768</v>
      </c>
      <c r="Z157">
        <v>49.803400125963819</v>
      </c>
      <c r="AA157">
        <v>50.073605950140951</v>
      </c>
      <c r="AB157">
        <v>78.440739678015845</v>
      </c>
      <c r="AC157">
        <v>59.613536237806585</v>
      </c>
      <c r="AD157">
        <v>23.64</v>
      </c>
      <c r="AE157">
        <v>61.3385598405902</v>
      </c>
      <c r="AF157">
        <v>62.177913175310771</v>
      </c>
      <c r="AG157">
        <v>-10.833163000000001</v>
      </c>
      <c r="AH157">
        <v>400.09177799999998</v>
      </c>
      <c r="AI157">
        <v>389.25861500000002</v>
      </c>
    </row>
    <row r="158" spans="1:35">
      <c r="A158" t="s">
        <v>264</v>
      </c>
      <c r="B158">
        <v>107.73214537486592</v>
      </c>
      <c r="C158">
        <v>113.49484986713948</v>
      </c>
      <c r="D158">
        <v>73.489110957261772</v>
      </c>
      <c r="E158">
        <v>85.374280634350555</v>
      </c>
      <c r="F158">
        <v>4.8559381452327628</v>
      </c>
      <c r="G158">
        <v>3.5308731827230546</v>
      </c>
      <c r="H158">
        <v>70.549473188782841</v>
      </c>
      <c r="I158">
        <v>50.680122110597445</v>
      </c>
      <c r="J158">
        <v>49.056633397829806</v>
      </c>
      <c r="K158">
        <v>56.216690824447056</v>
      </c>
      <c r="L158">
        <v>68.660808078760851</v>
      </c>
      <c r="M158">
        <v>92.268262716329801</v>
      </c>
      <c r="N158">
        <v>6.5028248922611676</v>
      </c>
      <c r="O158">
        <v>57.240503674922479</v>
      </c>
      <c r="P158">
        <v>55.780683891944044</v>
      </c>
      <c r="Q158">
        <v>43.679581355013219</v>
      </c>
      <c r="R158">
        <v>41.400668441070188</v>
      </c>
      <c r="S158">
        <v>75.308834949017694</v>
      </c>
      <c r="T158">
        <v>81.078545242742067</v>
      </c>
      <c r="U158">
        <v>81.744728364704343</v>
      </c>
      <c r="V158">
        <v>85.522961879734254</v>
      </c>
      <c r="W158">
        <v>62.47134494285983</v>
      </c>
      <c r="X158">
        <v>41.988457907499409</v>
      </c>
      <c r="Y158">
        <v>50.260700126202401</v>
      </c>
      <c r="Z158">
        <v>50.631278715754462</v>
      </c>
      <c r="AA158">
        <v>50.32380461158958</v>
      </c>
      <c r="AB158">
        <v>83.681533667616577</v>
      </c>
      <c r="AC158">
        <v>63.673919733197934</v>
      </c>
      <c r="AD158">
        <v>25.43</v>
      </c>
      <c r="AE158">
        <v>65.635461322392302</v>
      </c>
      <c r="AF158">
        <v>62.959154408948962</v>
      </c>
      <c r="AG158">
        <v>-16.676366999999999</v>
      </c>
      <c r="AH158">
        <v>417.90756929999998</v>
      </c>
      <c r="AI158">
        <v>401.23120230000001</v>
      </c>
    </row>
    <row r="159" spans="1:35">
      <c r="A159" t="s">
        <v>265</v>
      </c>
      <c r="B159">
        <v>108.36235922697946</v>
      </c>
      <c r="C159">
        <v>114.1123092319278</v>
      </c>
      <c r="D159">
        <v>73.882792774890817</v>
      </c>
      <c r="E159">
        <v>86.180740276528411</v>
      </c>
      <c r="F159">
        <v>4.8118495459924144</v>
      </c>
      <c r="G159">
        <v>3.5310490626784645</v>
      </c>
      <c r="H159">
        <v>69.254732842456889</v>
      </c>
      <c r="I159">
        <v>50.969787705674406</v>
      </c>
      <c r="J159">
        <v>49.418920287582843</v>
      </c>
      <c r="K159">
        <v>56.027893102607763</v>
      </c>
      <c r="L159">
        <v>67.581826909353154</v>
      </c>
      <c r="M159">
        <v>92.31935857945497</v>
      </c>
      <c r="N159">
        <v>6.4713231744078747</v>
      </c>
      <c r="O159">
        <v>57.459068315116383</v>
      </c>
      <c r="P159">
        <v>55.938491184883318</v>
      </c>
      <c r="Q159">
        <v>41.597386889572071</v>
      </c>
      <c r="R159">
        <v>40.412576969508173</v>
      </c>
      <c r="S159">
        <v>75.512139022625163</v>
      </c>
      <c r="T159">
        <v>81.217565972586797</v>
      </c>
      <c r="U159">
        <v>81.907598489959881</v>
      </c>
      <c r="V159">
        <v>85.646570484437007</v>
      </c>
      <c r="W159">
        <v>61.743797620409666</v>
      </c>
      <c r="X159">
        <v>41.470369989130496</v>
      </c>
      <c r="Y159">
        <v>51.195157769048329</v>
      </c>
      <c r="Z159">
        <v>51.307569991836608</v>
      </c>
      <c r="AA159">
        <v>50.042962370604336</v>
      </c>
      <c r="AB159">
        <v>86.36680218929871</v>
      </c>
      <c r="AC159">
        <v>64.466222320066009</v>
      </c>
      <c r="AD159">
        <v>25.69</v>
      </c>
      <c r="AE159">
        <v>65.23381204026407</v>
      </c>
      <c r="AF159">
        <v>63.342584778621841</v>
      </c>
      <c r="AG159">
        <v>-15.3056842</v>
      </c>
      <c r="AH159">
        <v>422.68851719999998</v>
      </c>
      <c r="AI159">
        <v>407.38283300000001</v>
      </c>
    </row>
    <row r="160" spans="1:35">
      <c r="A160" t="s">
        <v>266</v>
      </c>
      <c r="B160">
        <v>107.87551532705318</v>
      </c>
      <c r="C160">
        <v>113.11138474430128</v>
      </c>
      <c r="D160">
        <v>73.917864175025002</v>
      </c>
      <c r="E160">
        <v>86.156230803024059</v>
      </c>
      <c r="F160">
        <v>4.6975142774212753</v>
      </c>
      <c r="G160">
        <v>3.5788517254141259</v>
      </c>
      <c r="H160">
        <v>64.566884360442685</v>
      </c>
      <c r="I160">
        <v>51.187905507256303</v>
      </c>
      <c r="J160">
        <v>49.741732315845901</v>
      </c>
      <c r="K160">
        <v>52.765594884215552</v>
      </c>
      <c r="L160">
        <v>62.603720215293201</v>
      </c>
      <c r="M160">
        <v>92.423247495240275</v>
      </c>
      <c r="N160">
        <v>6.4839313965729888</v>
      </c>
      <c r="O160">
        <v>57.353694184226001</v>
      </c>
      <c r="P160">
        <v>54.935387472317402</v>
      </c>
      <c r="Q160">
        <v>41.538024207973066</v>
      </c>
      <c r="R160">
        <v>37.93658548605849</v>
      </c>
      <c r="S160">
        <v>75.693104293662756</v>
      </c>
      <c r="T160">
        <v>81.347467051632165</v>
      </c>
      <c r="U160">
        <v>82.124380799626735</v>
      </c>
      <c r="V160">
        <v>85.801016667821031</v>
      </c>
      <c r="W160">
        <v>61.145856655787199</v>
      </c>
      <c r="X160">
        <v>42.379223669207192</v>
      </c>
      <c r="Y160">
        <v>51.319542697394624</v>
      </c>
      <c r="Z160">
        <v>51.303219003857819</v>
      </c>
      <c r="AA160">
        <v>50.415631105205414</v>
      </c>
      <c r="AB160">
        <v>83.03139458245775</v>
      </c>
      <c r="AC160">
        <v>61.473099068588311</v>
      </c>
      <c r="AD160">
        <v>24.49</v>
      </c>
      <c r="AE160">
        <v>61.088994555133787</v>
      </c>
      <c r="AF160">
        <v>66.593378120132385</v>
      </c>
      <c r="AG160">
        <v>-16.210254599999999</v>
      </c>
      <c r="AH160">
        <v>426.44707629999999</v>
      </c>
      <c r="AI160">
        <v>410.23682170000001</v>
      </c>
    </row>
    <row r="161" spans="1:35">
      <c r="A161" t="s">
        <v>267</v>
      </c>
      <c r="B161">
        <v>105.95306485609363</v>
      </c>
      <c r="C161">
        <v>110.49767841246884</v>
      </c>
      <c r="D161">
        <v>74.336177742523361</v>
      </c>
      <c r="E161">
        <v>86.357150442461943</v>
      </c>
      <c r="F161">
        <v>4.522182646025521</v>
      </c>
      <c r="G161">
        <v>3.6720712753646203</v>
      </c>
      <c r="H161">
        <v>59.786399517506204</v>
      </c>
      <c r="I161">
        <v>51.532846477989622</v>
      </c>
      <c r="J161">
        <v>50.117782756334194</v>
      </c>
      <c r="K161">
        <v>48.037591551993373</v>
      </c>
      <c r="L161">
        <v>57.341131678799528</v>
      </c>
      <c r="M161">
        <v>92.566539144644594</v>
      </c>
      <c r="N161">
        <v>6.5041020298923469</v>
      </c>
      <c r="O161">
        <v>57.728608919467106</v>
      </c>
      <c r="P161">
        <v>56.43252603121077</v>
      </c>
      <c r="Q161">
        <v>43.404324365087525</v>
      </c>
      <c r="R161">
        <v>35.407359577360282</v>
      </c>
      <c r="S161">
        <v>75.927164248793929</v>
      </c>
      <c r="T161">
        <v>81.542634183484978</v>
      </c>
      <c r="U161">
        <v>82.271477004634221</v>
      </c>
      <c r="V161">
        <v>85.935671833742717</v>
      </c>
      <c r="W161">
        <v>63.147708652120329</v>
      </c>
      <c r="X161">
        <v>41.884457708849808</v>
      </c>
      <c r="Y161">
        <v>49.537561417968156</v>
      </c>
      <c r="Z161">
        <v>49.758365035304557</v>
      </c>
      <c r="AA161">
        <v>51.403709387875487</v>
      </c>
      <c r="AB161">
        <v>85.093564211110987</v>
      </c>
      <c r="AC161">
        <v>63.706580253222107</v>
      </c>
      <c r="AD161">
        <v>25.75</v>
      </c>
      <c r="AE161">
        <v>62.780296766974949</v>
      </c>
      <c r="AF161">
        <v>69.519529620504031</v>
      </c>
      <c r="AG161">
        <v>-15.4360634</v>
      </c>
      <c r="AH161">
        <v>441.517762</v>
      </c>
      <c r="AI161">
        <v>426.08169859999998</v>
      </c>
    </row>
    <row r="162" spans="1:35">
      <c r="A162" t="s">
        <v>268</v>
      </c>
      <c r="B162">
        <v>105.49346088302394</v>
      </c>
      <c r="C162">
        <v>109.697462221809</v>
      </c>
      <c r="D162">
        <v>74.46989117483551</v>
      </c>
      <c r="E162">
        <v>86.517663586990921</v>
      </c>
      <c r="F162">
        <v>4.2583486087089204</v>
      </c>
      <c r="G162">
        <v>3.5586230456457293</v>
      </c>
      <c r="H162">
        <v>59.707529501311676</v>
      </c>
      <c r="I162">
        <v>51.931061252287492</v>
      </c>
      <c r="J162">
        <v>50.268737861234769</v>
      </c>
      <c r="K162">
        <v>48.317277126833311</v>
      </c>
      <c r="L162">
        <v>57.392857943506058</v>
      </c>
      <c r="M162">
        <v>92.687275173264666</v>
      </c>
      <c r="N162">
        <v>6.4760522810764476</v>
      </c>
      <c r="O162">
        <v>58.038038361698376</v>
      </c>
      <c r="P162">
        <v>56.680580848711287</v>
      </c>
      <c r="Q162">
        <v>44.039139987426182</v>
      </c>
      <c r="R162">
        <v>33.616517175735872</v>
      </c>
      <c r="S162">
        <v>76.171012756923403</v>
      </c>
      <c r="T162">
        <v>81.747032238812878</v>
      </c>
      <c r="U162">
        <v>82.518219751729077</v>
      </c>
      <c r="V162">
        <v>86.142657148305005</v>
      </c>
      <c r="W162">
        <v>62.971954640688999</v>
      </c>
      <c r="X162">
        <v>40.128030496745197</v>
      </c>
      <c r="Y162">
        <v>49.269824788528119</v>
      </c>
      <c r="Z162">
        <v>49.584080882007171</v>
      </c>
      <c r="AA162">
        <v>51.105376822440022</v>
      </c>
      <c r="AB162">
        <v>80.838324889534704</v>
      </c>
      <c r="AC162">
        <v>64.74497039841178</v>
      </c>
      <c r="AD162">
        <v>26.78</v>
      </c>
      <c r="AE162">
        <v>65.719212283640644</v>
      </c>
      <c r="AF162">
        <v>70.977620881011475</v>
      </c>
      <c r="AG162">
        <v>-16.289079699999998</v>
      </c>
      <c r="AH162">
        <v>436.74668630000002</v>
      </c>
      <c r="AI162">
        <v>420.45760660000002</v>
      </c>
    </row>
    <row r="163" spans="1:35">
      <c r="A163" t="s">
        <v>269</v>
      </c>
      <c r="B163">
        <v>105.50223872644463</v>
      </c>
      <c r="C163">
        <v>109.64022585083659</v>
      </c>
      <c r="D163">
        <v>74.718859798517926</v>
      </c>
      <c r="E163">
        <v>86.816432453457637</v>
      </c>
      <c r="F163">
        <v>4.0152367028831897</v>
      </c>
      <c r="G163">
        <v>3.5220570354818386</v>
      </c>
      <c r="H163">
        <v>53.24566600726731</v>
      </c>
      <c r="I163">
        <v>52.260089502269146</v>
      </c>
      <c r="J163">
        <v>50.729186091204426</v>
      </c>
      <c r="K163">
        <v>42.893538950772076</v>
      </c>
      <c r="L163">
        <v>51.405839387889053</v>
      </c>
      <c r="M163">
        <v>92.729595621892059</v>
      </c>
      <c r="N163">
        <v>6.4939172321155496</v>
      </c>
      <c r="O163">
        <v>58.214833550505929</v>
      </c>
      <c r="P163">
        <v>58.926202341575554</v>
      </c>
      <c r="Q163">
        <v>48.980390113952225</v>
      </c>
      <c r="R163">
        <v>35.357966670363126</v>
      </c>
      <c r="S163">
        <v>76.373598836141994</v>
      </c>
      <c r="T163">
        <v>81.890802288361684</v>
      </c>
      <c r="U163">
        <v>82.598485166614637</v>
      </c>
      <c r="V163">
        <v>86.219069601806567</v>
      </c>
      <c r="W163">
        <v>63.556123879622596</v>
      </c>
      <c r="X163">
        <v>40.108176019804731</v>
      </c>
      <c r="Y163">
        <v>48.344516965819906</v>
      </c>
      <c r="Z163">
        <v>48.737647049251059</v>
      </c>
      <c r="AA163">
        <v>51.920505552562766</v>
      </c>
      <c r="AB163">
        <v>87.654711472580743</v>
      </c>
      <c r="AC163">
        <v>69.059762962400072</v>
      </c>
      <c r="AD163">
        <v>28.28</v>
      </c>
      <c r="AE163">
        <v>69.384654872760223</v>
      </c>
      <c r="AF163">
        <v>74.079897916913794</v>
      </c>
      <c r="AG163">
        <v>-15.344943000000001</v>
      </c>
      <c r="AH163">
        <v>441.23789729999999</v>
      </c>
      <c r="AI163">
        <v>425.89295429999999</v>
      </c>
    </row>
    <row r="164" spans="1:35">
      <c r="A164" t="s">
        <v>270</v>
      </c>
      <c r="B164">
        <v>102.7130981705116</v>
      </c>
      <c r="C164">
        <v>105.69984330053994</v>
      </c>
      <c r="D164">
        <v>74.873381436718006</v>
      </c>
      <c r="E164">
        <v>86.734764612453716</v>
      </c>
      <c r="F164">
        <v>4.096152085953837</v>
      </c>
      <c r="G164">
        <v>3.5556168274818125</v>
      </c>
      <c r="H164">
        <v>56.837459966457146</v>
      </c>
      <c r="I164">
        <v>52.604638527125417</v>
      </c>
      <c r="J164">
        <v>51.143261301777109</v>
      </c>
      <c r="K164">
        <v>45.871755948588508</v>
      </c>
      <c r="L164">
        <v>54.802435670557593</v>
      </c>
      <c r="M164">
        <v>92.776281480185062</v>
      </c>
      <c r="N164">
        <v>6.5220664716071068</v>
      </c>
      <c r="O164">
        <v>58.593967153872242</v>
      </c>
      <c r="P164">
        <v>60.104252707809451</v>
      </c>
      <c r="Q164">
        <v>50.532672146445542</v>
      </c>
      <c r="R164">
        <v>39.956437771683255</v>
      </c>
      <c r="S164">
        <v>76.589351710708925</v>
      </c>
      <c r="T164">
        <v>82.040429502829355</v>
      </c>
      <c r="U164">
        <v>82.800423045239555</v>
      </c>
      <c r="V164">
        <v>86.354299290292829</v>
      </c>
      <c r="W164">
        <v>66.07938924868526</v>
      </c>
      <c r="X164">
        <v>40.439486266554624</v>
      </c>
      <c r="Y164">
        <v>47.86790251641397</v>
      </c>
      <c r="Z164">
        <v>48.350591560026771</v>
      </c>
      <c r="AA164">
        <v>53.131844241732651</v>
      </c>
      <c r="AB164">
        <v>97.890804691759598</v>
      </c>
      <c r="AC164">
        <v>70.189662623772421</v>
      </c>
      <c r="AD164">
        <v>27.53</v>
      </c>
      <c r="AE164">
        <v>67.744915013456392</v>
      </c>
      <c r="AF164">
        <v>73.634414889292458</v>
      </c>
      <c r="AG164">
        <v>-16.355142099999998</v>
      </c>
      <c r="AH164">
        <v>442.19645850000001</v>
      </c>
      <c r="AI164">
        <v>425.84131639999998</v>
      </c>
    </row>
    <row r="165" spans="1:35">
      <c r="A165" t="s">
        <v>271</v>
      </c>
      <c r="B165">
        <v>103.69211076952693</v>
      </c>
      <c r="C165">
        <v>107.11779463543144</v>
      </c>
      <c r="D165">
        <v>75.210808107601594</v>
      </c>
      <c r="E165">
        <v>87.019428956967161</v>
      </c>
      <c r="F165">
        <v>4.0796778401340497</v>
      </c>
      <c r="G165">
        <v>3.3366643101586244</v>
      </c>
      <c r="H165">
        <v>59.901877508552616</v>
      </c>
      <c r="I165">
        <v>53.068494913804201</v>
      </c>
      <c r="J165">
        <v>51.614597635397644</v>
      </c>
      <c r="K165">
        <v>48.468931963760312</v>
      </c>
      <c r="L165">
        <v>57.750738868920507</v>
      </c>
      <c r="M165">
        <v>92.76633256864757</v>
      </c>
      <c r="N165">
        <v>6.5543122716278583</v>
      </c>
      <c r="O165">
        <v>59.010804084201041</v>
      </c>
      <c r="P165">
        <v>58.025543595115906</v>
      </c>
      <c r="Q165">
        <v>49.74452810233371</v>
      </c>
      <c r="R165">
        <v>39.591636580772175</v>
      </c>
      <c r="S165">
        <v>76.881480501263127</v>
      </c>
      <c r="T165">
        <v>82.277567512150085</v>
      </c>
      <c r="U165">
        <v>83.020422705781428</v>
      </c>
      <c r="V165">
        <v>86.529860747751059</v>
      </c>
      <c r="W165">
        <v>64.738061782533762</v>
      </c>
      <c r="X165">
        <v>42.267609234232033</v>
      </c>
      <c r="Y165">
        <v>47.821176974749839</v>
      </c>
      <c r="Z165">
        <v>48.316302761552535</v>
      </c>
      <c r="AA165">
        <v>52.858651395634524</v>
      </c>
      <c r="AB165">
        <v>97.1212990072747</v>
      </c>
      <c r="AC165">
        <v>65.499320565713063</v>
      </c>
      <c r="AD165">
        <v>24.79</v>
      </c>
      <c r="AE165">
        <v>60.396898354274164</v>
      </c>
      <c r="AF165">
        <v>73.466009570691881</v>
      </c>
      <c r="AG165">
        <v>-21.195862300000002</v>
      </c>
      <c r="AH165">
        <v>452.25130100000001</v>
      </c>
      <c r="AI165">
        <v>431.05543870000002</v>
      </c>
    </row>
    <row r="166" spans="1:35">
      <c r="A166" t="s">
        <v>272</v>
      </c>
      <c r="B166">
        <v>102.72488817737568</v>
      </c>
      <c r="C166">
        <v>105.76373579559584</v>
      </c>
      <c r="D166">
        <v>74.50680371819746</v>
      </c>
      <c r="E166">
        <v>86.432161805979561</v>
      </c>
      <c r="F166">
        <v>3.9701216573525393</v>
      </c>
      <c r="G166">
        <v>3.2713877607461348</v>
      </c>
      <c r="H166">
        <v>56.418601279360558</v>
      </c>
      <c r="I166">
        <v>53.298221691737083</v>
      </c>
      <c r="J166">
        <v>52.040311835982408</v>
      </c>
      <c r="K166">
        <v>46.512469698048108</v>
      </c>
      <c r="L166">
        <v>54.296421884143534</v>
      </c>
      <c r="M166">
        <v>92.778369306139467</v>
      </c>
      <c r="N166">
        <v>6.6091258337829588</v>
      </c>
      <c r="O166">
        <v>58.887084212191134</v>
      </c>
      <c r="P166">
        <v>61.332141880027926</v>
      </c>
      <c r="Q166">
        <v>50.301013837144097</v>
      </c>
      <c r="R166">
        <v>39.591636580772175</v>
      </c>
      <c r="S166">
        <v>77.127425215575016</v>
      </c>
      <c r="T166">
        <v>82.468468753223121</v>
      </c>
      <c r="U166">
        <v>83.196733113382308</v>
      </c>
      <c r="V166">
        <v>86.677116811284236</v>
      </c>
      <c r="W166">
        <v>65.685024286277041</v>
      </c>
      <c r="X166">
        <v>42.317468675725458</v>
      </c>
      <c r="Y166">
        <v>48.631452851142811</v>
      </c>
      <c r="Z166">
        <v>48.975410555785828</v>
      </c>
      <c r="AA166">
        <v>53.512971338364252</v>
      </c>
      <c r="AB166">
        <v>106.14373427588542</v>
      </c>
      <c r="AC166">
        <v>72.642371408200219</v>
      </c>
      <c r="AD166">
        <v>27.89</v>
      </c>
      <c r="AE166">
        <v>67.454409835253799</v>
      </c>
      <c r="AF166">
        <v>73.89028160570787</v>
      </c>
      <c r="AG166">
        <v>-22.685402199999999</v>
      </c>
      <c r="AH166">
        <v>450.80743239999998</v>
      </c>
      <c r="AI166">
        <v>428.12203019999998</v>
      </c>
    </row>
    <row r="167" spans="1:35">
      <c r="A167" t="s">
        <v>273</v>
      </c>
      <c r="B167">
        <v>101.82145327053112</v>
      </c>
      <c r="C167">
        <v>105.11393577855746</v>
      </c>
      <c r="D167">
        <v>75.854377122947554</v>
      </c>
      <c r="E167">
        <v>87.39938720463762</v>
      </c>
      <c r="F167">
        <v>3.9001177801981073</v>
      </c>
      <c r="G167">
        <v>3.3171992749347377</v>
      </c>
      <c r="H167">
        <v>54.604767168106825</v>
      </c>
      <c r="I167">
        <v>53.641260906945142</v>
      </c>
      <c r="J167">
        <v>52.351834540610845</v>
      </c>
      <c r="K167">
        <v>45.253209361045322</v>
      </c>
      <c r="L167">
        <v>52.592406984819583</v>
      </c>
      <c r="M167">
        <v>92.925124275578327</v>
      </c>
      <c r="N167">
        <v>6.6352404336461461</v>
      </c>
      <c r="O167">
        <v>59.679075471019004</v>
      </c>
      <c r="P167">
        <v>65.339345388398627</v>
      </c>
      <c r="Q167">
        <v>53.490733739408462</v>
      </c>
      <c r="R167">
        <v>40.347581886491277</v>
      </c>
      <c r="S167">
        <v>77.519737256501585</v>
      </c>
      <c r="T167">
        <v>82.793253133615451</v>
      </c>
      <c r="U167">
        <v>83.429947122496529</v>
      </c>
      <c r="V167">
        <v>86.823809140636357</v>
      </c>
      <c r="W167">
        <v>65.987927054122096</v>
      </c>
      <c r="X167">
        <v>44.545786588216103</v>
      </c>
      <c r="Y167">
        <v>48.649629888418957</v>
      </c>
      <c r="Z167">
        <v>49.238773625849376</v>
      </c>
      <c r="AA167">
        <v>54.864975709722074</v>
      </c>
      <c r="AB167">
        <v>119.61008114800748</v>
      </c>
      <c r="AC167">
        <v>80.490252328913371</v>
      </c>
      <c r="AD167">
        <v>30.71057971014493</v>
      </c>
      <c r="AE167">
        <v>72.887892457809329</v>
      </c>
      <c r="AF167">
        <v>75.81852390486425</v>
      </c>
      <c r="AG167">
        <v>-24.497183799999998</v>
      </c>
      <c r="AH167">
        <v>474.5765384</v>
      </c>
      <c r="AI167">
        <v>450.07935459999999</v>
      </c>
    </row>
    <row r="168" spans="1:35">
      <c r="A168" t="s">
        <v>274</v>
      </c>
      <c r="B168">
        <v>99.300208983677663</v>
      </c>
      <c r="C168">
        <v>101.21541954222653</v>
      </c>
      <c r="D168">
        <v>76.302766461631705</v>
      </c>
      <c r="E168">
        <v>87.707760340887944</v>
      </c>
      <c r="F168">
        <v>3.7650620681053915</v>
      </c>
      <c r="G168">
        <v>3.296568451644994</v>
      </c>
      <c r="H168">
        <v>53.662416057455886</v>
      </c>
      <c r="I168">
        <v>54.014257518250211</v>
      </c>
      <c r="J168">
        <v>52.894903412103545</v>
      </c>
      <c r="K168">
        <v>44.461775769657848</v>
      </c>
      <c r="L168">
        <v>51.580973853101732</v>
      </c>
      <c r="M168">
        <v>92.9498827474671</v>
      </c>
      <c r="N168">
        <v>6.6484253586540705</v>
      </c>
      <c r="O168">
        <v>60.042110897073172</v>
      </c>
      <c r="P168">
        <v>70.345482082631449</v>
      </c>
      <c r="Q168">
        <v>54.513241477862977</v>
      </c>
      <c r="R168">
        <v>40.375688805126217</v>
      </c>
      <c r="S168">
        <v>77.858368207087594</v>
      </c>
      <c r="T168">
        <v>83.088308183293563</v>
      </c>
      <c r="U168">
        <v>83.590227878519741</v>
      </c>
      <c r="V168">
        <v>86.94282098310795</v>
      </c>
      <c r="W168">
        <v>66.252295599339561</v>
      </c>
      <c r="X168">
        <v>45.921225005375405</v>
      </c>
      <c r="Y168">
        <v>47.816070311863392</v>
      </c>
      <c r="Z168">
        <v>48.488047209838122</v>
      </c>
      <c r="AA168">
        <v>55.53944861581649</v>
      </c>
      <c r="AB168">
        <v>153.06833024256866</v>
      </c>
      <c r="AC168">
        <v>91.762029530878777</v>
      </c>
      <c r="AD168">
        <v>32.899999999999991</v>
      </c>
      <c r="AE168">
        <v>77.812541335576952</v>
      </c>
      <c r="AF168">
        <v>76.401556570750671</v>
      </c>
      <c r="AG168">
        <v>-20.502074700000001</v>
      </c>
      <c r="AH168">
        <v>475.2887771</v>
      </c>
      <c r="AI168">
        <v>454.78670240000002</v>
      </c>
    </row>
    <row r="169" spans="1:35">
      <c r="A169" t="s">
        <v>275</v>
      </c>
      <c r="B169">
        <v>98.652988194735201</v>
      </c>
      <c r="C169">
        <v>100.25273680830877</v>
      </c>
      <c r="D169">
        <v>76.333102853482032</v>
      </c>
      <c r="E169">
        <v>87.613579984417399</v>
      </c>
      <c r="F169">
        <v>3.7792156229500322</v>
      </c>
      <c r="G169">
        <v>3.2263635665160977</v>
      </c>
      <c r="H169">
        <v>52.834175612779191</v>
      </c>
      <c r="I169">
        <v>54.247238167659361</v>
      </c>
      <c r="J169">
        <v>53.155108434129616</v>
      </c>
      <c r="K169">
        <v>43.728375964168144</v>
      </c>
      <c r="L169">
        <v>50.540783376603393</v>
      </c>
      <c r="M169">
        <v>93.019753047589603</v>
      </c>
      <c r="N169">
        <v>6.6712259817519062</v>
      </c>
      <c r="O169">
        <v>60.289677285865672</v>
      </c>
      <c r="P169">
        <v>65.827640913316955</v>
      </c>
      <c r="Q169">
        <v>49.792198575758952</v>
      </c>
      <c r="R169">
        <v>37.147868425413257</v>
      </c>
      <c r="S169">
        <v>78.127528147760898</v>
      </c>
      <c r="T169">
        <v>83.298462777649178</v>
      </c>
      <c r="U169">
        <v>83.724085838111549</v>
      </c>
      <c r="V169">
        <v>87.029916055106654</v>
      </c>
      <c r="W169">
        <v>66.016238797048061</v>
      </c>
      <c r="X169">
        <v>45.151396578331223</v>
      </c>
      <c r="Y169">
        <v>46.316655609462927</v>
      </c>
      <c r="Z169">
        <v>46.978357986224978</v>
      </c>
      <c r="AA169">
        <v>55.027279059657502</v>
      </c>
      <c r="AB169">
        <v>128.1505920032609</v>
      </c>
      <c r="AC169">
        <v>81.450087169133624</v>
      </c>
      <c r="AD169">
        <v>30.359206349206353</v>
      </c>
      <c r="AE169">
        <v>71.806319120298667</v>
      </c>
      <c r="AF169">
        <v>75.98905926646168</v>
      </c>
      <c r="AG169">
        <v>-31.136198199999999</v>
      </c>
      <c r="AH169">
        <v>480.85999670000001</v>
      </c>
      <c r="AI169">
        <v>449.72379849999999</v>
      </c>
    </row>
    <row r="170" spans="1:35">
      <c r="A170" t="s">
        <v>276</v>
      </c>
      <c r="B170">
        <v>101.93936957213465</v>
      </c>
      <c r="C170">
        <v>105.57217162019408</v>
      </c>
      <c r="D170">
        <v>76.193918476329941</v>
      </c>
      <c r="E170">
        <v>87.307135207884215</v>
      </c>
      <c r="F170">
        <v>3.8272806953480449</v>
      </c>
      <c r="G170">
        <v>3.1845969415980018</v>
      </c>
      <c r="H170">
        <v>56.436432928376234</v>
      </c>
      <c r="I170">
        <v>54.691993000425285</v>
      </c>
      <c r="J170">
        <v>53.685350201556915</v>
      </c>
      <c r="K170">
        <v>47.619151768140597</v>
      </c>
      <c r="L170">
        <v>54.301025158832815</v>
      </c>
      <c r="M170">
        <v>93.035860359616933</v>
      </c>
      <c r="N170">
        <v>6.6739163740524425</v>
      </c>
      <c r="O170">
        <v>60.274668627486115</v>
      </c>
      <c r="P170">
        <v>61.866212481553376</v>
      </c>
      <c r="Q170">
        <v>49.908341179075315</v>
      </c>
      <c r="R170">
        <v>36.421676282798479</v>
      </c>
      <c r="S170">
        <v>78.169351629299811</v>
      </c>
      <c r="T170">
        <v>83.204593225054111</v>
      </c>
      <c r="U170">
        <v>83.90193915451195</v>
      </c>
      <c r="V170">
        <v>87.13745858973266</v>
      </c>
      <c r="W170">
        <v>67.563603641649607</v>
      </c>
      <c r="X170">
        <v>43.642008262189478</v>
      </c>
      <c r="Y170">
        <v>46.451513691722127</v>
      </c>
      <c r="Z170">
        <v>47.066797573928525</v>
      </c>
      <c r="AA170">
        <v>55.22221731800046</v>
      </c>
      <c r="AB170">
        <v>121.17626529550404</v>
      </c>
      <c r="AC170">
        <v>71.4765809833589</v>
      </c>
      <c r="AD170">
        <v>25.630909090909089</v>
      </c>
      <c r="AE170">
        <v>60.683693857126208</v>
      </c>
      <c r="AF170">
        <v>77.515071831200615</v>
      </c>
      <c r="AG170">
        <v>-21.892741000000001</v>
      </c>
      <c r="AH170">
        <v>474.66358259999998</v>
      </c>
      <c r="AI170">
        <v>452.77084159999998</v>
      </c>
    </row>
    <row r="171" spans="1:35">
      <c r="A171" t="s">
        <v>277</v>
      </c>
      <c r="B171">
        <v>102.77462925165001</v>
      </c>
      <c r="C171">
        <v>106.50461726977368</v>
      </c>
      <c r="D171">
        <v>76.0000276956806</v>
      </c>
      <c r="E171">
        <v>87.150366949564244</v>
      </c>
      <c r="F171">
        <v>3.5054517556927607</v>
      </c>
      <c r="G171">
        <v>3.0856249953267509</v>
      </c>
      <c r="H171">
        <v>58.818596418404375</v>
      </c>
      <c r="I171">
        <v>55.141570995890113</v>
      </c>
      <c r="J171">
        <v>54.314597924521316</v>
      </c>
      <c r="K171">
        <v>50.537788925040651</v>
      </c>
      <c r="L171">
        <v>56.754846502492526</v>
      </c>
      <c r="M171">
        <v>93.113206866017748</v>
      </c>
      <c r="N171">
        <v>6.7209206232659549</v>
      </c>
      <c r="O171">
        <v>60.231469120477541</v>
      </c>
      <c r="P171">
        <v>63.061043287896659</v>
      </c>
      <c r="Q171">
        <v>48.091208979426781</v>
      </c>
      <c r="R171">
        <v>35.973260084497198</v>
      </c>
      <c r="S171">
        <v>78.174968931946651</v>
      </c>
      <c r="T171">
        <v>83.145461440217247</v>
      </c>
      <c r="U171">
        <v>84.094687651284843</v>
      </c>
      <c r="V171">
        <v>87.269929950573783</v>
      </c>
      <c r="W171">
        <v>68.001437219843851</v>
      </c>
      <c r="X171">
        <v>45.382969847686063</v>
      </c>
      <c r="Y171">
        <v>46.977249008748004</v>
      </c>
      <c r="Z171">
        <v>47.424661712197484</v>
      </c>
      <c r="AA171">
        <v>55.799033334694364</v>
      </c>
      <c r="AB171">
        <v>126.9646731225825</v>
      </c>
      <c r="AC171">
        <v>73.565354323055885</v>
      </c>
      <c r="AD171">
        <v>26.075151515151518</v>
      </c>
      <c r="AE171">
        <v>60.031044267637149</v>
      </c>
      <c r="AF171">
        <v>74.86464160855769</v>
      </c>
      <c r="AG171">
        <v>-21.3217718</v>
      </c>
      <c r="AH171">
        <v>481.37156399999998</v>
      </c>
      <c r="AI171">
        <v>460.04979220000001</v>
      </c>
    </row>
    <row r="172" spans="1:35">
      <c r="A172" t="s">
        <v>278</v>
      </c>
      <c r="B172">
        <v>103.45184534174825</v>
      </c>
      <c r="C172">
        <v>106.94939852389135</v>
      </c>
      <c r="D172">
        <v>76.390893141464204</v>
      </c>
      <c r="E172">
        <v>87.343212886266969</v>
      </c>
      <c r="F172">
        <v>3.3193436639390179</v>
      </c>
      <c r="G172">
        <v>2.837151081723801</v>
      </c>
      <c r="H172">
        <v>60.567044241818813</v>
      </c>
      <c r="I172">
        <v>55.460930282615237</v>
      </c>
      <c r="J172">
        <v>54.746077896155576</v>
      </c>
      <c r="K172">
        <v>51.974843771963108</v>
      </c>
      <c r="L172">
        <v>58.650758351457924</v>
      </c>
      <c r="M172">
        <v>93.225404414546318</v>
      </c>
      <c r="N172">
        <v>6.7820797096531127</v>
      </c>
      <c r="O172">
        <v>60.857315105932273</v>
      </c>
      <c r="P172">
        <v>64.359330156815076</v>
      </c>
      <c r="Q172">
        <v>44.968859495374055</v>
      </c>
      <c r="R172">
        <v>39.184969011031761</v>
      </c>
      <c r="S172">
        <v>78.270403357914063</v>
      </c>
      <c r="T172">
        <v>83.212081529533819</v>
      </c>
      <c r="U172">
        <v>84.205914441120584</v>
      </c>
      <c r="V172">
        <v>87.354287562939675</v>
      </c>
      <c r="W172">
        <v>67.562137279515881</v>
      </c>
      <c r="X172">
        <v>46.380451132767568</v>
      </c>
      <c r="Y172">
        <v>47.141333982923328</v>
      </c>
      <c r="Z172">
        <v>47.42040172396522</v>
      </c>
      <c r="AA172">
        <v>55.755256742036153</v>
      </c>
      <c r="AB172">
        <v>126.4301195156248</v>
      </c>
      <c r="AC172">
        <v>76.804901548290232</v>
      </c>
      <c r="AD172">
        <v>27.90920634920635</v>
      </c>
      <c r="AE172">
        <v>63.936055146979015</v>
      </c>
      <c r="AF172">
        <v>76.3508113968836</v>
      </c>
      <c r="AG172">
        <v>-20.560164700000001</v>
      </c>
      <c r="AH172">
        <v>482.82714249999998</v>
      </c>
      <c r="AI172">
        <v>462.26697780000001</v>
      </c>
    </row>
    <row r="173" spans="1:35">
      <c r="A173" t="s">
        <v>279</v>
      </c>
      <c r="B173">
        <v>102.46597860926855</v>
      </c>
      <c r="C173">
        <v>105.35856966105682</v>
      </c>
      <c r="D173">
        <v>77.149130995883453</v>
      </c>
      <c r="E173">
        <v>88.06703197973647</v>
      </c>
      <c r="F173">
        <v>3.7921648965407351</v>
      </c>
      <c r="G173">
        <v>2.7521746369207785</v>
      </c>
      <c r="H173">
        <v>62.843121778933074</v>
      </c>
      <c r="I173">
        <v>55.861009734728071</v>
      </c>
      <c r="J173">
        <v>55.179856201819511</v>
      </c>
      <c r="K173">
        <v>53.405786002199143</v>
      </c>
      <c r="L173">
        <v>60.804409605232479</v>
      </c>
      <c r="M173">
        <v>93.254790200390815</v>
      </c>
      <c r="N173">
        <v>6.7621865239642371</v>
      </c>
      <c r="O173">
        <v>61.260018692980097</v>
      </c>
      <c r="P173">
        <v>63.284879755601949</v>
      </c>
      <c r="Q173">
        <v>45.692721050725787</v>
      </c>
      <c r="R173">
        <v>41.510547259659802</v>
      </c>
      <c r="S173">
        <v>78.436793085880851</v>
      </c>
      <c r="T173">
        <v>83.385082073505217</v>
      </c>
      <c r="U173">
        <v>84.381960101418159</v>
      </c>
      <c r="V173">
        <v>87.504070092106119</v>
      </c>
      <c r="W173">
        <v>64.700086464893687</v>
      </c>
      <c r="X173">
        <v>47.005522875793268</v>
      </c>
      <c r="Y173">
        <v>48.542249520735481</v>
      </c>
      <c r="Z173">
        <v>48.643488808380283</v>
      </c>
      <c r="AA173">
        <v>54.606696242477604</v>
      </c>
      <c r="AB173">
        <v>115.80235947580867</v>
      </c>
      <c r="AC173">
        <v>75.837649502475045</v>
      </c>
      <c r="AD173">
        <v>28.586521739130436</v>
      </c>
      <c r="AE173">
        <v>66.277428103933275</v>
      </c>
      <c r="AF173">
        <v>76.820275767352285</v>
      </c>
      <c r="AG173">
        <v>-18.889776099999999</v>
      </c>
      <c r="AH173">
        <v>486.61866739999999</v>
      </c>
      <c r="AI173">
        <v>467.72889129999999</v>
      </c>
    </row>
    <row r="174" spans="1:35">
      <c r="A174" t="s">
        <v>280</v>
      </c>
      <c r="B174">
        <v>103.58151729282778</v>
      </c>
      <c r="C174">
        <v>106.75779238554725</v>
      </c>
      <c r="D174">
        <v>77.104932035434331</v>
      </c>
      <c r="E174">
        <v>87.835736189613201</v>
      </c>
      <c r="F174">
        <v>4.0673842342229909</v>
      </c>
      <c r="G174">
        <v>2.656724826716891</v>
      </c>
      <c r="H174">
        <v>65.008684939514694</v>
      </c>
      <c r="I174">
        <v>56.286015359965688</v>
      </c>
      <c r="J174">
        <v>55.719419203084897</v>
      </c>
      <c r="K174">
        <v>55.181679985080414</v>
      </c>
      <c r="L174">
        <v>62.99065242432664</v>
      </c>
      <c r="M174">
        <v>93.38944757337228</v>
      </c>
      <c r="N174">
        <v>6.7599051824543377</v>
      </c>
      <c r="O174">
        <v>61.849184358357547</v>
      </c>
      <c r="P174">
        <v>64.43682375815645</v>
      </c>
      <c r="Q174">
        <v>45.985989650380269</v>
      </c>
      <c r="R174">
        <v>42.789468485117908</v>
      </c>
      <c r="S174">
        <v>78.639755469593467</v>
      </c>
      <c r="T174">
        <v>83.593968185495669</v>
      </c>
      <c r="U174">
        <v>84.50486613370461</v>
      </c>
      <c r="V174">
        <v>87.597592012066087</v>
      </c>
      <c r="W174">
        <v>65.127403484444173</v>
      </c>
      <c r="X174">
        <v>48.042890920574095</v>
      </c>
      <c r="Y174">
        <v>50.067846781533547</v>
      </c>
      <c r="Z174">
        <v>50.072210927412499</v>
      </c>
      <c r="AA174">
        <v>55.198134815452711</v>
      </c>
      <c r="AB174">
        <v>115.61138300480093</v>
      </c>
      <c r="AC174">
        <v>77.800350224882465</v>
      </c>
      <c r="AD174">
        <v>29.675555555555555</v>
      </c>
      <c r="AE174">
        <v>69.461267632224761</v>
      </c>
      <c r="AF174">
        <v>77.650757576730896</v>
      </c>
      <c r="AG174">
        <v>-11.911967199999999</v>
      </c>
      <c r="AH174">
        <v>472.64444780000002</v>
      </c>
      <c r="AI174">
        <v>460.73248059999997</v>
      </c>
    </row>
    <row r="175" spans="1:35">
      <c r="A175" t="s">
        <v>281</v>
      </c>
      <c r="B175">
        <v>102.81274033437367</v>
      </c>
      <c r="C175">
        <v>105.55092660349166</v>
      </c>
      <c r="D175">
        <v>77.809616993790215</v>
      </c>
      <c r="E175">
        <v>88.573872144808092</v>
      </c>
      <c r="F175">
        <v>4.0405585983201728</v>
      </c>
      <c r="G175">
        <v>2.5921010111413159</v>
      </c>
      <c r="H175">
        <v>63.838956033326646</v>
      </c>
      <c r="I175">
        <v>56.50175382764202</v>
      </c>
      <c r="J175">
        <v>55.995599903975922</v>
      </c>
      <c r="K175">
        <v>55.858272682186275</v>
      </c>
      <c r="L175">
        <v>62.111338569569085</v>
      </c>
      <c r="M175">
        <v>93.546066983383525</v>
      </c>
      <c r="N175">
        <v>6.7587702922928372</v>
      </c>
      <c r="O175">
        <v>62.301659024831224</v>
      </c>
      <c r="P175">
        <v>64.499129021476435</v>
      </c>
      <c r="Q175">
        <v>47.310006808574641</v>
      </c>
      <c r="R175">
        <v>46.906418409101434</v>
      </c>
      <c r="S175">
        <v>78.89599655613101</v>
      </c>
      <c r="T175">
        <v>83.805835269610668</v>
      </c>
      <c r="U175">
        <v>84.676568628246599</v>
      </c>
      <c r="V175">
        <v>87.710279038273086</v>
      </c>
      <c r="W175">
        <v>71.488981937453687</v>
      </c>
      <c r="X175">
        <v>48.749950088929019</v>
      </c>
      <c r="Y175">
        <v>50.324095375559537</v>
      </c>
      <c r="Z175">
        <v>50.405618313185656</v>
      </c>
      <c r="AA175">
        <v>58.874605912062293</v>
      </c>
      <c r="AB175">
        <v>111.53318146615719</v>
      </c>
      <c r="AC175">
        <v>72.634857359286585</v>
      </c>
      <c r="AD175">
        <v>26.932121212121206</v>
      </c>
      <c r="AE175">
        <v>62.538034380845694</v>
      </c>
      <c r="AF175">
        <v>79.225377567080287</v>
      </c>
      <c r="AG175">
        <v>-17.7576517</v>
      </c>
      <c r="AH175">
        <v>497.90351559999999</v>
      </c>
      <c r="AI175">
        <v>480.14586389999999</v>
      </c>
    </row>
    <row r="176" spans="1:35">
      <c r="A176" t="s">
        <v>282</v>
      </c>
      <c r="B176">
        <v>103.89439313688796</v>
      </c>
      <c r="C176">
        <v>106.95174798727435</v>
      </c>
      <c r="D176">
        <v>78.717925777667347</v>
      </c>
      <c r="E176">
        <v>89.604934430409998</v>
      </c>
      <c r="F176">
        <v>4.0744179379380219</v>
      </c>
      <c r="G176">
        <v>2.5548831982764311</v>
      </c>
      <c r="H176">
        <v>67.474217142000953</v>
      </c>
      <c r="I176">
        <v>56.752648181755362</v>
      </c>
      <c r="J176">
        <v>56.709926822438263</v>
      </c>
      <c r="K176">
        <v>59.494615158089779</v>
      </c>
      <c r="L176">
        <v>65.953379116008662</v>
      </c>
      <c r="M176">
        <v>93.642991502000001</v>
      </c>
      <c r="N176">
        <v>6.7191190522697264</v>
      </c>
      <c r="O176">
        <v>62.766191694499007</v>
      </c>
      <c r="P176">
        <v>67.454702821394164</v>
      </c>
      <c r="Q176">
        <v>45.077184975694095</v>
      </c>
      <c r="R176">
        <v>49.497189138340481</v>
      </c>
      <c r="S176">
        <v>79.045654926197031</v>
      </c>
      <c r="T176">
        <v>83.858469875300642</v>
      </c>
      <c r="U176">
        <v>84.828355208020682</v>
      </c>
      <c r="V176">
        <v>87.820485456962999</v>
      </c>
      <c r="W176">
        <v>74.891508438380001</v>
      </c>
      <c r="X176">
        <v>51.909958114232822</v>
      </c>
      <c r="Y176">
        <v>52.30917971021676</v>
      </c>
      <c r="Z176">
        <v>52.259996687382007</v>
      </c>
      <c r="AA176">
        <v>61.277774264295545</v>
      </c>
      <c r="AB176">
        <v>111.1370626863438</v>
      </c>
      <c r="AC176">
        <v>76.389471463112855</v>
      </c>
      <c r="AD176">
        <v>29.014492753623184</v>
      </c>
      <c r="AE176">
        <v>65.680892729278256</v>
      </c>
      <c r="AF176">
        <v>83.039186356629656</v>
      </c>
      <c r="AG176">
        <v>-16.9058095</v>
      </c>
      <c r="AH176">
        <v>514.84739390000004</v>
      </c>
      <c r="AI176">
        <v>497.94158440000001</v>
      </c>
    </row>
    <row r="177" spans="1:35">
      <c r="A177" t="s">
        <v>283</v>
      </c>
      <c r="B177">
        <v>105.90866652373114</v>
      </c>
      <c r="C177">
        <v>109.90479410270565</v>
      </c>
      <c r="D177">
        <v>78.630024405315311</v>
      </c>
      <c r="E177">
        <v>89.692069107034413</v>
      </c>
      <c r="F177">
        <v>4.1460693916314844</v>
      </c>
      <c r="G177">
        <v>2.5307875261152941</v>
      </c>
      <c r="H177">
        <v>67.756394013320659</v>
      </c>
      <c r="I177">
        <v>57.001435687312764</v>
      </c>
      <c r="J177">
        <v>56.977934801473708</v>
      </c>
      <c r="K177">
        <v>60.278997351643284</v>
      </c>
      <c r="L177">
        <v>66.369763997559645</v>
      </c>
      <c r="M177">
        <v>93.805042695971267</v>
      </c>
      <c r="N177">
        <v>6.6643165699489977</v>
      </c>
      <c r="O177">
        <v>62.76627764044904</v>
      </c>
      <c r="P177">
        <v>67.381914623776552</v>
      </c>
      <c r="Q177">
        <v>44.858141326473401</v>
      </c>
      <c r="R177">
        <v>53.281766840739508</v>
      </c>
      <c r="S177">
        <v>79.278908633530918</v>
      </c>
      <c r="T177">
        <v>84.005241886415121</v>
      </c>
      <c r="U177">
        <v>84.959766829720735</v>
      </c>
      <c r="V177">
        <v>87.894847991614029</v>
      </c>
      <c r="W177">
        <v>72.546460364963039</v>
      </c>
      <c r="X177">
        <v>54.64529583837232</v>
      </c>
      <c r="Y177">
        <v>54.010452582192841</v>
      </c>
      <c r="Z177">
        <v>53.850729547205162</v>
      </c>
      <c r="AA177">
        <v>61.002445033143395</v>
      </c>
      <c r="AB177">
        <v>110.26522186197636</v>
      </c>
      <c r="AC177">
        <v>76.609653672770932</v>
      </c>
      <c r="AD177">
        <v>29.099999999999994</v>
      </c>
      <c r="AE177">
        <v>65.810033714486849</v>
      </c>
      <c r="AF177">
        <v>83.453040696402155</v>
      </c>
      <c r="AG177">
        <v>-17.892974200000001</v>
      </c>
      <c r="AH177">
        <v>514.68907869999998</v>
      </c>
      <c r="AI177">
        <v>496.79610450000001</v>
      </c>
    </row>
    <row r="178" spans="1:35">
      <c r="A178" t="s">
        <v>284</v>
      </c>
      <c r="B178">
        <v>106.57511104646306</v>
      </c>
      <c r="C178">
        <v>110.64727474128965</v>
      </c>
      <c r="D178">
        <v>79.677375258113187</v>
      </c>
      <c r="E178">
        <v>90.223585155581347</v>
      </c>
      <c r="F178">
        <v>4.0863220776190241</v>
      </c>
      <c r="G178">
        <v>2.5330181301233048</v>
      </c>
      <c r="H178">
        <v>71.686184421805706</v>
      </c>
      <c r="I178">
        <v>57.219737253975509</v>
      </c>
      <c r="J178">
        <v>57.29826683130711</v>
      </c>
      <c r="K178">
        <v>64.877491718362222</v>
      </c>
      <c r="L178">
        <v>70.061401273941868</v>
      </c>
      <c r="M178">
        <v>93.939962740930142</v>
      </c>
      <c r="N178">
        <v>6.6240618122075885</v>
      </c>
      <c r="O178">
        <v>62.887522451551149</v>
      </c>
      <c r="P178">
        <v>70.506307864989296</v>
      </c>
      <c r="Q178">
        <v>47.158729952717408</v>
      </c>
      <c r="R178">
        <v>56.018217712627781</v>
      </c>
      <c r="S178">
        <v>79.530520708025747</v>
      </c>
      <c r="T178">
        <v>84.205191175944606</v>
      </c>
      <c r="U178">
        <v>85.130414876342044</v>
      </c>
      <c r="V178">
        <v>87.991234749020634</v>
      </c>
      <c r="W178">
        <v>71.890856095193257</v>
      </c>
      <c r="X178">
        <v>59.217721876671931</v>
      </c>
      <c r="Y178">
        <v>54.664340996596763</v>
      </c>
      <c r="Z178">
        <v>54.400303271278332</v>
      </c>
      <c r="AA178">
        <v>61.868452697958155</v>
      </c>
      <c r="AB178">
        <v>132.26544603671272</v>
      </c>
      <c r="AC178">
        <v>83.000743694169302</v>
      </c>
      <c r="AD178">
        <v>29.945797101449276</v>
      </c>
      <c r="AE178">
        <v>66.156399835148576</v>
      </c>
      <c r="AF178">
        <v>81.470135531143981</v>
      </c>
      <c r="AG178">
        <v>-16.647660800000001</v>
      </c>
      <c r="AH178">
        <v>542.65254540000001</v>
      </c>
      <c r="AI178">
        <v>526.00488459999997</v>
      </c>
    </row>
    <row r="179" spans="1:35">
      <c r="A179" t="s">
        <v>285</v>
      </c>
      <c r="B179">
        <v>107.72499213057203</v>
      </c>
      <c r="C179">
        <v>111.46647429907759</v>
      </c>
      <c r="D179">
        <v>80.060546290389595</v>
      </c>
      <c r="E179">
        <v>90.616584017025843</v>
      </c>
      <c r="F179">
        <v>4.050307731126602</v>
      </c>
      <c r="G179">
        <v>2.5519027762997553</v>
      </c>
      <c r="H179">
        <v>72.971806345773274</v>
      </c>
      <c r="I179">
        <v>57.575377628922418</v>
      </c>
      <c r="J179">
        <v>57.787459473758233</v>
      </c>
      <c r="K179">
        <v>66.050631181642444</v>
      </c>
      <c r="L179">
        <v>71.473253848373346</v>
      </c>
      <c r="M179">
        <v>94.189410374892262</v>
      </c>
      <c r="N179">
        <v>6.6858455005963595</v>
      </c>
      <c r="O179">
        <v>64.259200999182454</v>
      </c>
      <c r="P179">
        <v>73.123356583902293</v>
      </c>
      <c r="Q179">
        <v>50.110458886729766</v>
      </c>
      <c r="R179">
        <v>60.873708307214045</v>
      </c>
      <c r="S179">
        <v>79.717739929661548</v>
      </c>
      <c r="T179">
        <v>84.415222862900308</v>
      </c>
      <c r="U179">
        <v>85.300030336290249</v>
      </c>
      <c r="V179">
        <v>88.149931293226956</v>
      </c>
      <c r="W179">
        <v>73.40397925304022</v>
      </c>
      <c r="X179">
        <v>64.337302948235347</v>
      </c>
      <c r="Y179">
        <v>54.927807043344487</v>
      </c>
      <c r="Z179">
        <v>54.766431257251384</v>
      </c>
      <c r="AA179">
        <v>64.052029361105511</v>
      </c>
      <c r="AB179">
        <v>131.24634201749552</v>
      </c>
      <c r="AC179">
        <v>86.244798617721912</v>
      </c>
      <c r="AD179">
        <v>31.305606060606067</v>
      </c>
      <c r="AE179">
        <v>68.048035123955117</v>
      </c>
      <c r="AF179">
        <v>83.777162968253037</v>
      </c>
      <c r="AG179">
        <v>-22.7777818</v>
      </c>
      <c r="AH179">
        <v>550.4398175</v>
      </c>
      <c r="AI179">
        <v>527.66203570000005</v>
      </c>
    </row>
    <row r="180" spans="1:35">
      <c r="A180" t="s">
        <v>286</v>
      </c>
      <c r="B180">
        <v>106.00111645098637</v>
      </c>
      <c r="C180">
        <v>109.08942813876318</v>
      </c>
      <c r="D180">
        <v>80.45022908028416</v>
      </c>
      <c r="E180">
        <v>91.014131793686133</v>
      </c>
      <c r="F180">
        <v>3.9920508552352767</v>
      </c>
      <c r="G180">
        <v>2.5526152548249179</v>
      </c>
      <c r="H180">
        <v>74.837700067287287</v>
      </c>
      <c r="I180">
        <v>57.964853108039961</v>
      </c>
      <c r="J180">
        <v>58.372209715985356</v>
      </c>
      <c r="K180">
        <v>67.409625643011466</v>
      </c>
      <c r="L180">
        <v>73.161529145623092</v>
      </c>
      <c r="M180">
        <v>94.302499382832949</v>
      </c>
      <c r="N180">
        <v>6.6634620788949777</v>
      </c>
      <c r="O180">
        <v>64.790067675166824</v>
      </c>
      <c r="P180">
        <v>72.879843902980284</v>
      </c>
      <c r="Q180">
        <v>49.271357969383494</v>
      </c>
      <c r="R180">
        <v>64.707532180632555</v>
      </c>
      <c r="S180">
        <v>79.914656722089475</v>
      </c>
      <c r="T180">
        <v>84.58695446387766</v>
      </c>
      <c r="U180">
        <v>85.432768214592869</v>
      </c>
      <c r="V180">
        <v>88.271879184444856</v>
      </c>
      <c r="W180">
        <v>74.04557710392335</v>
      </c>
      <c r="X180">
        <v>67.686743885248561</v>
      </c>
      <c r="Y180">
        <v>54.179986064154527</v>
      </c>
      <c r="Z180">
        <v>54.109410531289164</v>
      </c>
      <c r="AA180">
        <v>64.973046269802538</v>
      </c>
      <c r="AB180">
        <v>121.16079345522795</v>
      </c>
      <c r="AC180">
        <v>84.316823770287598</v>
      </c>
      <c r="AD180">
        <v>31.328500000000009</v>
      </c>
      <c r="AE180">
        <v>67.848450462201413</v>
      </c>
      <c r="AF180">
        <v>85.733717302084912</v>
      </c>
      <c r="AG180">
        <v>-24.186194199999999</v>
      </c>
      <c r="AH180">
        <v>566.67375479999998</v>
      </c>
      <c r="AI180">
        <v>542.48756060000005</v>
      </c>
    </row>
    <row r="181" spans="1:35">
      <c r="A181" t="s">
        <v>287</v>
      </c>
      <c r="B181">
        <v>105.48357564122104</v>
      </c>
      <c r="C181">
        <v>107.93724881620997</v>
      </c>
      <c r="D181">
        <v>80.596781273660682</v>
      </c>
      <c r="E181">
        <v>91.011946783917168</v>
      </c>
      <c r="F181">
        <v>3.8436898528326693</v>
      </c>
      <c r="G181">
        <v>2.5313002870001364</v>
      </c>
      <c r="H181">
        <v>74.600302789744461</v>
      </c>
      <c r="I181">
        <v>58.288877389911896</v>
      </c>
      <c r="J181">
        <v>58.834784822501838</v>
      </c>
      <c r="K181">
        <v>67.335977810931695</v>
      </c>
      <c r="L181">
        <v>72.657047693737965</v>
      </c>
      <c r="M181">
        <v>94.386105660326933</v>
      </c>
      <c r="N181">
        <v>6.6706842130084167</v>
      </c>
      <c r="O181">
        <v>65.17939416763457</v>
      </c>
      <c r="P181">
        <v>75.532671786665915</v>
      </c>
      <c r="Q181">
        <v>48.337531015598984</v>
      </c>
      <c r="R181">
        <v>70.395792235754627</v>
      </c>
      <c r="S181">
        <v>80.158881670397065</v>
      </c>
      <c r="T181">
        <v>84.776746038219869</v>
      </c>
      <c r="U181">
        <v>85.65091684068183</v>
      </c>
      <c r="V181">
        <v>88.452928066326393</v>
      </c>
      <c r="W181">
        <v>78.580753259058639</v>
      </c>
      <c r="X181">
        <v>67.603595916554568</v>
      </c>
      <c r="Y181">
        <v>54.877243744307975</v>
      </c>
      <c r="Z181">
        <v>54.843759586310604</v>
      </c>
      <c r="AA181">
        <v>67.076417962690925</v>
      </c>
      <c r="AB181">
        <v>121.82848668256149</v>
      </c>
      <c r="AC181">
        <v>87.764425933480155</v>
      </c>
      <c r="AD181">
        <v>33.665072463768126</v>
      </c>
      <c r="AE181">
        <v>74.057951781961677</v>
      </c>
      <c r="AF181">
        <v>85.334697969394838</v>
      </c>
      <c r="AG181">
        <v>-25.911229299999999</v>
      </c>
      <c r="AH181">
        <v>572.06431180000004</v>
      </c>
      <c r="AI181">
        <v>546.15308249999998</v>
      </c>
    </row>
    <row r="182" spans="1:35">
      <c r="A182" t="s">
        <v>288</v>
      </c>
      <c r="B182">
        <v>106.26614960956849</v>
      </c>
      <c r="C182">
        <v>109.05559910078587</v>
      </c>
      <c r="D182">
        <v>81.354819189441514</v>
      </c>
      <c r="E182">
        <v>91.726718781565125</v>
      </c>
      <c r="F182">
        <v>4.1680704136124254</v>
      </c>
      <c r="G182">
        <v>2.4990941572530678</v>
      </c>
      <c r="H182">
        <v>73.682884450183735</v>
      </c>
      <c r="I182">
        <v>58.66638123507154</v>
      </c>
      <c r="J182">
        <v>59.153428461421157</v>
      </c>
      <c r="K182">
        <v>64.809255099658543</v>
      </c>
      <c r="L182">
        <v>71.369872803658865</v>
      </c>
      <c r="M182">
        <v>94.463093015303869</v>
      </c>
      <c r="N182">
        <v>6.6718597623538836</v>
      </c>
      <c r="O182">
        <v>65.579687678335958</v>
      </c>
      <c r="P182">
        <v>76.475278060629407</v>
      </c>
      <c r="Q182">
        <v>46.431249058059102</v>
      </c>
      <c r="R182">
        <v>77.379142903276744</v>
      </c>
      <c r="S182">
        <v>80.386315678755153</v>
      </c>
      <c r="T182">
        <v>84.919668030718512</v>
      </c>
      <c r="U182">
        <v>85.838369438156008</v>
      </c>
      <c r="V182">
        <v>88.601294748616482</v>
      </c>
      <c r="W182">
        <v>80.111032102864087</v>
      </c>
      <c r="X182">
        <v>66.239980268057664</v>
      </c>
      <c r="Y182">
        <v>55.496715216522773</v>
      </c>
      <c r="Z182">
        <v>55.617002970101176</v>
      </c>
      <c r="AA182">
        <v>67.345175338863214</v>
      </c>
      <c r="AB182">
        <v>127.7269497229167</v>
      </c>
      <c r="AC182">
        <v>89.681737345375382</v>
      </c>
      <c r="AD182">
        <v>33.721818181818186</v>
      </c>
      <c r="AE182">
        <v>74.826290443547407</v>
      </c>
      <c r="AF182">
        <v>85.070455291217883</v>
      </c>
      <c r="AG182">
        <v>-26.103512000000009</v>
      </c>
      <c r="AH182">
        <v>579.93779480000001</v>
      </c>
      <c r="AI182">
        <v>553.83428279999998</v>
      </c>
    </row>
    <row r="183" spans="1:35">
      <c r="A183" t="s">
        <v>289</v>
      </c>
      <c r="B183">
        <v>106.4762240655848</v>
      </c>
      <c r="C183">
        <v>109.30793869652135</v>
      </c>
      <c r="D183">
        <v>81.642336682188883</v>
      </c>
      <c r="E183">
        <v>92.046074165162281</v>
      </c>
      <c r="F183">
        <v>4.400323784301551</v>
      </c>
      <c r="G183">
        <v>2.5298567752572856</v>
      </c>
      <c r="H183">
        <v>72.307509970582714</v>
      </c>
      <c r="I183">
        <v>59.094400112071497</v>
      </c>
      <c r="J183">
        <v>59.355588275417738</v>
      </c>
      <c r="K183">
        <v>64.67740400117998</v>
      </c>
      <c r="L183">
        <v>70.851560496264455</v>
      </c>
      <c r="M183">
        <v>94.553887908874259</v>
      </c>
      <c r="N183">
        <v>6.6040132694770612</v>
      </c>
      <c r="O183">
        <v>65.763962891270012</v>
      </c>
      <c r="P183">
        <v>79.744699167295465</v>
      </c>
      <c r="Q183">
        <v>46.738930168936122</v>
      </c>
      <c r="R183">
        <v>83.939126361359968</v>
      </c>
      <c r="S183">
        <v>80.702047977270382</v>
      </c>
      <c r="T183">
        <v>85.18824021220162</v>
      </c>
      <c r="U183">
        <v>86.010874698688809</v>
      </c>
      <c r="V183">
        <v>88.723375437497936</v>
      </c>
      <c r="W183">
        <v>81.19071912552451</v>
      </c>
      <c r="X183">
        <v>62.2859872371398</v>
      </c>
      <c r="Y183">
        <v>56.02291181367255</v>
      </c>
      <c r="Z183">
        <v>55.80609236583016</v>
      </c>
      <c r="AA183">
        <v>66.853905406129698</v>
      </c>
      <c r="AB183">
        <v>135.88130527200644</v>
      </c>
      <c r="AC183">
        <v>98.390901531375775</v>
      </c>
      <c r="AD183">
        <v>37.493015873015871</v>
      </c>
      <c r="AE183">
        <v>83.738408552012132</v>
      </c>
      <c r="AF183">
        <v>87.956892930219013</v>
      </c>
      <c r="AG183">
        <v>-20.759244600000006</v>
      </c>
      <c r="AH183">
        <v>579.98875450000003</v>
      </c>
      <c r="AI183">
        <v>559.22950990000004</v>
      </c>
    </row>
    <row r="184" spans="1:35">
      <c r="A184" t="s">
        <v>290</v>
      </c>
      <c r="B184">
        <v>107.67704153938055</v>
      </c>
      <c r="C184">
        <v>111.29110168273782</v>
      </c>
      <c r="D184">
        <v>81.680104824829854</v>
      </c>
      <c r="E184">
        <v>91.90598124703952</v>
      </c>
      <c r="F184">
        <v>4.4815777731473867</v>
      </c>
      <c r="G184">
        <v>2.6302938345928961</v>
      </c>
      <c r="H184">
        <v>73.665675427268368</v>
      </c>
      <c r="I184">
        <v>59.35508352166854</v>
      </c>
      <c r="J184">
        <v>59.771715002639212</v>
      </c>
      <c r="K184">
        <v>65.97703007363701</v>
      </c>
      <c r="L184">
        <v>72.246126974634379</v>
      </c>
      <c r="M184">
        <v>94.615648692011163</v>
      </c>
      <c r="N184">
        <v>6.6010787504154091</v>
      </c>
      <c r="O184">
        <v>66.448612716957598</v>
      </c>
      <c r="P184">
        <v>78.388236608536332</v>
      </c>
      <c r="Q184">
        <v>48.962353226496305</v>
      </c>
      <c r="R184">
        <v>94.070386451260958</v>
      </c>
      <c r="S184">
        <v>80.998308357679022</v>
      </c>
      <c r="T184">
        <v>85.441374406195052</v>
      </c>
      <c r="U184">
        <v>86.224428665261456</v>
      </c>
      <c r="V184">
        <v>88.886479595050261</v>
      </c>
      <c r="W184">
        <v>77.782201829543808</v>
      </c>
      <c r="X184">
        <v>65.540190553020039</v>
      </c>
      <c r="Y184">
        <v>54.958463812072402</v>
      </c>
      <c r="Z184">
        <v>54.810234265432456</v>
      </c>
      <c r="AA184">
        <v>66.133504016251521</v>
      </c>
      <c r="AB184">
        <v>136.81089803553209</v>
      </c>
      <c r="AC184">
        <v>96.114392814821798</v>
      </c>
      <c r="AD184">
        <v>35.549545454545459</v>
      </c>
      <c r="AE184">
        <v>78.64642038631996</v>
      </c>
      <c r="AF184">
        <v>87.237329132767485</v>
      </c>
      <c r="AG184">
        <v>-34.090345500000005</v>
      </c>
      <c r="AH184">
        <v>601.13048839999999</v>
      </c>
      <c r="AI184">
        <v>567.04014289999998</v>
      </c>
    </row>
    <row r="185" spans="1:35">
      <c r="A185" t="s">
        <v>291</v>
      </c>
      <c r="B185">
        <v>108.32130452943221</v>
      </c>
      <c r="C185">
        <v>112.17234644346128</v>
      </c>
      <c r="D185">
        <v>82.248128528842983</v>
      </c>
      <c r="E185">
        <v>92.38105913252069</v>
      </c>
      <c r="F185">
        <v>4.3463580699257971</v>
      </c>
      <c r="G185">
        <v>2.6378063292411484</v>
      </c>
      <c r="H185">
        <v>72.125238598770352</v>
      </c>
      <c r="I185">
        <v>59.691120906377215</v>
      </c>
      <c r="J185">
        <v>59.999331128947475</v>
      </c>
      <c r="K185">
        <v>64.014792555218079</v>
      </c>
      <c r="L185">
        <v>70.413800672708604</v>
      </c>
      <c r="M185">
        <v>94.753648876968214</v>
      </c>
      <c r="N185">
        <v>6.4840604033251301</v>
      </c>
      <c r="O185">
        <v>66.88224780253708</v>
      </c>
      <c r="P185">
        <v>79.723485328560187</v>
      </c>
      <c r="Q185">
        <v>47.563433331388659</v>
      </c>
      <c r="R185">
        <v>100.08366762024804</v>
      </c>
      <c r="S185">
        <v>81.199524520584916</v>
      </c>
      <c r="T185">
        <v>85.567782176495442</v>
      </c>
      <c r="U185">
        <v>86.447288796796755</v>
      </c>
      <c r="V185">
        <v>89.028991982167483</v>
      </c>
      <c r="W185">
        <v>75.185296091583126</v>
      </c>
      <c r="X185">
        <v>68.331077174839933</v>
      </c>
      <c r="Y185">
        <v>55.034458903184728</v>
      </c>
      <c r="Z185">
        <v>54.85104990565025</v>
      </c>
      <c r="AA185">
        <v>65.488511890324943</v>
      </c>
      <c r="AB185">
        <v>134.22345581295315</v>
      </c>
      <c r="AC185">
        <v>100.31400910035929</v>
      </c>
      <c r="AD185">
        <v>37.855454545454542</v>
      </c>
      <c r="AE185">
        <v>83.295592001322049</v>
      </c>
      <c r="AF185">
        <v>84.760641294366124</v>
      </c>
      <c r="AG185">
        <v>-26.223311899999999</v>
      </c>
      <c r="AH185">
        <v>599.48073890000001</v>
      </c>
      <c r="AI185">
        <v>573.25742700000001</v>
      </c>
    </row>
    <row r="186" spans="1:35">
      <c r="A186" t="s">
        <v>292</v>
      </c>
      <c r="B186">
        <v>107.04173448859369</v>
      </c>
      <c r="C186">
        <v>110.5645070024697</v>
      </c>
      <c r="D186">
        <v>82.170191325861154</v>
      </c>
      <c r="E186">
        <v>91.997077848596291</v>
      </c>
      <c r="F186">
        <v>4.1801418068631522</v>
      </c>
      <c r="G186">
        <v>2.7386543932006746</v>
      </c>
      <c r="H186">
        <v>72.055227386792836</v>
      </c>
      <c r="I186">
        <v>60.022988885518224</v>
      </c>
      <c r="J186">
        <v>60.478796281107641</v>
      </c>
      <c r="K186">
        <v>64.469004073009529</v>
      </c>
      <c r="L186">
        <v>70.600084033649338</v>
      </c>
      <c r="M186">
        <v>94.802868888316965</v>
      </c>
      <c r="N186">
        <v>6.4795048296983397</v>
      </c>
      <c r="O186">
        <v>66.939638241341697</v>
      </c>
      <c r="P186">
        <v>80.960427181324377</v>
      </c>
      <c r="Q186">
        <v>48.816908753280956</v>
      </c>
      <c r="R186">
        <v>94.675448319366822</v>
      </c>
      <c r="S186">
        <v>81.448968549951502</v>
      </c>
      <c r="T186">
        <v>85.704448737966061</v>
      </c>
      <c r="U186">
        <v>86.589278803196024</v>
      </c>
      <c r="V186">
        <v>89.13270662549769</v>
      </c>
      <c r="W186">
        <v>71.099113218796077</v>
      </c>
      <c r="X186">
        <v>66.553173028464926</v>
      </c>
      <c r="Y186">
        <v>54.030218081771039</v>
      </c>
      <c r="Z186">
        <v>54.045361305125994</v>
      </c>
      <c r="AA186">
        <v>63.43834884710202</v>
      </c>
      <c r="AB186">
        <v>127.93337339023459</v>
      </c>
      <c r="AC186">
        <v>106.30566382946945</v>
      </c>
      <c r="AD186">
        <v>42.077424242424243</v>
      </c>
      <c r="AE186">
        <v>93.069201621583659</v>
      </c>
      <c r="AF186">
        <v>84.270620016570646</v>
      </c>
      <c r="AG186">
        <v>-30.644462600000001</v>
      </c>
      <c r="AH186">
        <v>598.75324509999996</v>
      </c>
      <c r="AI186">
        <v>568.10878249999996</v>
      </c>
    </row>
    <row r="187" spans="1:35">
      <c r="A187" t="s">
        <v>293</v>
      </c>
      <c r="B187">
        <v>106.81960747142105</v>
      </c>
      <c r="C187">
        <v>110.01978635576923</v>
      </c>
      <c r="D187">
        <v>82.791261008001413</v>
      </c>
      <c r="E187">
        <v>92.595231311067991</v>
      </c>
      <c r="F187">
        <v>4.07293974327537</v>
      </c>
      <c r="G187">
        <v>2.8340000396094305</v>
      </c>
      <c r="H187">
        <v>72.945015222171236</v>
      </c>
      <c r="I187">
        <v>60.342274003265302</v>
      </c>
      <c r="J187">
        <v>60.944810122943593</v>
      </c>
      <c r="K187">
        <v>66.393211207219466</v>
      </c>
      <c r="L187">
        <v>72.1052908985355</v>
      </c>
      <c r="M187">
        <v>94.828127845437621</v>
      </c>
      <c r="N187">
        <v>6.4636463119368814</v>
      </c>
      <c r="O187">
        <v>67.624959386718643</v>
      </c>
      <c r="P187">
        <v>80.592641227070217</v>
      </c>
      <c r="Q187">
        <v>49.723309933151349</v>
      </c>
      <c r="R187">
        <v>89.675895330404373</v>
      </c>
      <c r="S187">
        <v>81.684246444183984</v>
      </c>
      <c r="T187">
        <v>85.901034430316201</v>
      </c>
      <c r="U187">
        <v>86.789758049025437</v>
      </c>
      <c r="V187">
        <v>89.288762329777825</v>
      </c>
      <c r="W187">
        <v>71.82913203891016</v>
      </c>
      <c r="X187">
        <v>67.110515687760511</v>
      </c>
      <c r="Y187">
        <v>53.134672891051842</v>
      </c>
      <c r="Z187">
        <v>53.340744332347711</v>
      </c>
      <c r="AA187">
        <v>63.978670666836891</v>
      </c>
      <c r="AB187">
        <v>127.13539085919753</v>
      </c>
      <c r="AC187">
        <v>104.6243232845581</v>
      </c>
      <c r="AD187">
        <v>41.567727272727268</v>
      </c>
      <c r="AE187">
        <v>91.875716794818985</v>
      </c>
      <c r="AF187">
        <v>84.150219584643011</v>
      </c>
      <c r="AG187">
        <v>-31.908664399999999</v>
      </c>
      <c r="AH187">
        <v>609.484196</v>
      </c>
      <c r="AI187">
        <v>577.57553159999998</v>
      </c>
    </row>
    <row r="188" spans="1:35">
      <c r="A188" t="s">
        <v>294</v>
      </c>
      <c r="B188">
        <v>106.70197141382363</v>
      </c>
      <c r="C188">
        <v>109.45420063962725</v>
      </c>
      <c r="D188">
        <v>83.156852050475251</v>
      </c>
      <c r="E188">
        <v>92.922353340899974</v>
      </c>
      <c r="F188">
        <v>4.0041491372143607</v>
      </c>
      <c r="G188">
        <v>2.8528384196307148</v>
      </c>
      <c r="H188">
        <v>73.474119800204761</v>
      </c>
      <c r="I188">
        <v>60.74393640214435</v>
      </c>
      <c r="J188">
        <v>61.356681464072658</v>
      </c>
      <c r="K188">
        <v>68.193422104512535</v>
      </c>
      <c r="L188">
        <v>72.989588494896097</v>
      </c>
      <c r="M188">
        <v>94.928874317861684</v>
      </c>
      <c r="N188">
        <v>6.4089354457929923</v>
      </c>
      <c r="O188">
        <v>68.122169258784396</v>
      </c>
      <c r="P188">
        <v>86.393911268308528</v>
      </c>
      <c r="Q188">
        <v>46.58773585392936</v>
      </c>
      <c r="R188">
        <v>89.612684577591324</v>
      </c>
      <c r="S188">
        <v>81.98844278970607</v>
      </c>
      <c r="T188">
        <v>86.233767926296622</v>
      </c>
      <c r="U188">
        <v>87.004564401684064</v>
      </c>
      <c r="V188">
        <v>89.449798726949908</v>
      </c>
      <c r="W188">
        <v>71.211963321607783</v>
      </c>
      <c r="X188">
        <v>70.176892067962427</v>
      </c>
      <c r="Y188">
        <v>52.464903506607946</v>
      </c>
      <c r="Z188">
        <v>52.630355248644129</v>
      </c>
      <c r="AA188">
        <v>64.519740727869987</v>
      </c>
      <c r="AB188">
        <v>148.38116622699687</v>
      </c>
      <c r="AC188">
        <v>118.03433760668921</v>
      </c>
      <c r="AD188">
        <v>46.865238095238098</v>
      </c>
      <c r="AE188">
        <v>102.44018853164299</v>
      </c>
      <c r="AF188">
        <v>83.675185642965459</v>
      </c>
      <c r="AG188">
        <v>-33.278943200000001</v>
      </c>
      <c r="AH188">
        <v>625.09084970000004</v>
      </c>
      <c r="AI188">
        <v>591.81190649999996</v>
      </c>
    </row>
    <row r="189" spans="1:35">
      <c r="A189" t="s">
        <v>295</v>
      </c>
      <c r="B189">
        <v>106.99694547495062</v>
      </c>
      <c r="C189">
        <v>109.56091748425645</v>
      </c>
      <c r="D189">
        <v>83.091468670248545</v>
      </c>
      <c r="E189">
        <v>92.915626746219885</v>
      </c>
      <c r="F189">
        <v>4.0104794544586255</v>
      </c>
      <c r="G189">
        <v>2.9626941059211567</v>
      </c>
      <c r="H189">
        <v>75.744008187689019</v>
      </c>
      <c r="I189">
        <v>61.05644933135018</v>
      </c>
      <c r="J189">
        <v>61.837761279319196</v>
      </c>
      <c r="K189">
        <v>72.304524682104713</v>
      </c>
      <c r="L189">
        <v>75.541888942070784</v>
      </c>
      <c r="M189">
        <v>94.979875376501226</v>
      </c>
      <c r="N189">
        <v>6.4127900184072129</v>
      </c>
      <c r="O189">
        <v>68.621727956246346</v>
      </c>
      <c r="P189">
        <v>83.725383206240551</v>
      </c>
      <c r="Q189">
        <v>50.632526581174091</v>
      </c>
      <c r="R189">
        <v>87.532599550415085</v>
      </c>
      <c r="S189">
        <v>82.213453407491727</v>
      </c>
      <c r="T189">
        <v>86.476384554712197</v>
      </c>
      <c r="U189">
        <v>87.183304293316809</v>
      </c>
      <c r="V189">
        <v>89.575481685654069</v>
      </c>
      <c r="W189">
        <v>73.097471418185108</v>
      </c>
      <c r="X189">
        <v>70.338653457472773</v>
      </c>
      <c r="Y189">
        <v>51.799385313694387</v>
      </c>
      <c r="Z189">
        <v>51.919782458880334</v>
      </c>
      <c r="AA189">
        <v>65.819458734134912</v>
      </c>
      <c r="AB189">
        <v>147.07368494633832</v>
      </c>
      <c r="AC189">
        <v>109.62584344233912</v>
      </c>
      <c r="AD189">
        <v>42.119848484848482</v>
      </c>
      <c r="AE189">
        <v>90.040382936279443</v>
      </c>
      <c r="AF189">
        <v>81.35109235425135</v>
      </c>
      <c r="AG189">
        <v>-36.348452299999998</v>
      </c>
      <c r="AH189">
        <v>647.91124960000002</v>
      </c>
      <c r="AI189">
        <v>611.56279730000006</v>
      </c>
    </row>
    <row r="190" spans="1:35">
      <c r="A190" t="s">
        <v>296</v>
      </c>
      <c r="B190">
        <v>108.37428146780847</v>
      </c>
      <c r="C190">
        <v>111.66788804912412</v>
      </c>
      <c r="D190">
        <v>83.817561719417682</v>
      </c>
      <c r="E190">
        <v>93.222577332548312</v>
      </c>
      <c r="F190">
        <v>3.9089788597830206</v>
      </c>
      <c r="G190">
        <v>3.0551802554895331</v>
      </c>
      <c r="H190">
        <v>78.292809644703254</v>
      </c>
      <c r="I190">
        <v>61.429617966456583</v>
      </c>
      <c r="J190">
        <v>61.908240322623996</v>
      </c>
      <c r="K190">
        <v>75.20069436908841</v>
      </c>
      <c r="L190">
        <v>77.920874638687181</v>
      </c>
      <c r="M190">
        <v>95.006788699117806</v>
      </c>
      <c r="N190">
        <v>6.39502690683873</v>
      </c>
      <c r="O190">
        <v>68.939466665059683</v>
      </c>
      <c r="P190">
        <v>82.567941349484101</v>
      </c>
      <c r="Q190">
        <v>55.115715943332198</v>
      </c>
      <c r="R190">
        <v>82.077045825910417</v>
      </c>
      <c r="S190">
        <v>82.327762669372589</v>
      </c>
      <c r="T190">
        <v>86.519834849649499</v>
      </c>
      <c r="U190">
        <v>87.41241209783783</v>
      </c>
      <c r="V190">
        <v>89.739693961936823</v>
      </c>
      <c r="W190">
        <v>76.94867231844853</v>
      </c>
      <c r="X190">
        <v>70.563798387445971</v>
      </c>
      <c r="Y190">
        <v>52.190975967919584</v>
      </c>
      <c r="Z190">
        <v>52.226795357127678</v>
      </c>
      <c r="AA190">
        <v>67.551273045864519</v>
      </c>
      <c r="AB190">
        <v>150.56287898549431</v>
      </c>
      <c r="AC190">
        <v>104.28916668372923</v>
      </c>
      <c r="AD190">
        <v>39.050289855072471</v>
      </c>
      <c r="AE190">
        <v>82.105591508168587</v>
      </c>
      <c r="AF190">
        <v>78.404359418996265</v>
      </c>
      <c r="AG190">
        <v>-30.484304900000001</v>
      </c>
      <c r="AH190">
        <v>652.76203350000003</v>
      </c>
      <c r="AI190">
        <v>622.27772860000005</v>
      </c>
    </row>
    <row r="191" spans="1:35">
      <c r="A191" t="s">
        <v>297</v>
      </c>
      <c r="B191">
        <v>109.02477828786851</v>
      </c>
      <c r="C191">
        <v>111.99981433720613</v>
      </c>
      <c r="D191">
        <v>84.468953106467225</v>
      </c>
      <c r="E191">
        <v>94.050760370307003</v>
      </c>
      <c r="F191">
        <v>3.9139885161144283</v>
      </c>
      <c r="G191">
        <v>3.0905098230579737</v>
      </c>
      <c r="H191">
        <v>77.717372684756597</v>
      </c>
      <c r="I191">
        <v>61.744448443346087</v>
      </c>
      <c r="J191">
        <v>62.432016699660132</v>
      </c>
      <c r="K191">
        <v>73.790427593968545</v>
      </c>
      <c r="L191">
        <v>77.63446554477737</v>
      </c>
      <c r="M191">
        <v>94.853401438851748</v>
      </c>
      <c r="N191">
        <v>6.4111335063052453</v>
      </c>
      <c r="O191">
        <v>69.46661185762062</v>
      </c>
      <c r="P191">
        <v>85.426576137206041</v>
      </c>
      <c r="Q191">
        <v>56.263983529179484</v>
      </c>
      <c r="R191">
        <v>80.457138204564302</v>
      </c>
      <c r="S191">
        <v>82.45662391819036</v>
      </c>
      <c r="T191">
        <v>86.552537879481292</v>
      </c>
      <c r="U191">
        <v>87.606005195802467</v>
      </c>
      <c r="V191">
        <v>89.878782558183559</v>
      </c>
      <c r="W191">
        <v>76.506190259974034</v>
      </c>
      <c r="X191">
        <v>77.734824823539384</v>
      </c>
      <c r="Y191">
        <v>52.366881455029386</v>
      </c>
      <c r="Z191">
        <v>52.523048747998146</v>
      </c>
      <c r="AA191">
        <v>68.654652074359134</v>
      </c>
      <c r="AB191">
        <v>147.10012382346903</v>
      </c>
      <c r="AC191">
        <v>109.68673388272489</v>
      </c>
      <c r="AD191">
        <v>43.010793650793644</v>
      </c>
      <c r="AE191">
        <v>91.388983715134017</v>
      </c>
      <c r="AF191">
        <v>82.135661650512347</v>
      </c>
      <c r="AG191">
        <v>-33.506250000000001</v>
      </c>
      <c r="AH191">
        <v>648.37892290000002</v>
      </c>
      <c r="AI191">
        <v>614.8726729</v>
      </c>
    </row>
    <row r="192" spans="1:35">
      <c r="A192" t="s">
        <v>298</v>
      </c>
      <c r="B192">
        <v>108.93091233733787</v>
      </c>
      <c r="C192">
        <v>111.87134043276016</v>
      </c>
      <c r="D192">
        <v>84.768413461236548</v>
      </c>
      <c r="E192">
        <v>94.231010545736481</v>
      </c>
      <c r="F192">
        <v>3.8884357300725867</v>
      </c>
      <c r="G192">
        <v>3.1783180438991088</v>
      </c>
      <c r="H192">
        <v>80.959451215520687</v>
      </c>
      <c r="I192">
        <v>62.040920757419784</v>
      </c>
      <c r="J192">
        <v>62.803486671510264</v>
      </c>
      <c r="K192">
        <v>77.033737521811958</v>
      </c>
      <c r="L192">
        <v>80.388388725011779</v>
      </c>
      <c r="M192">
        <v>94.95730399001107</v>
      </c>
      <c r="N192">
        <v>6.3989687850501262</v>
      </c>
      <c r="O192">
        <v>69.8738662893373</v>
      </c>
      <c r="P192">
        <v>87.444290736521424</v>
      </c>
      <c r="Q192">
        <v>62.341903396347952</v>
      </c>
      <c r="R192">
        <v>74.331341085991085</v>
      </c>
      <c r="S192">
        <v>82.780659784480846</v>
      </c>
      <c r="T192">
        <v>86.831187611835119</v>
      </c>
      <c r="U192">
        <v>87.816911882311132</v>
      </c>
      <c r="V192">
        <v>89.996065175313319</v>
      </c>
      <c r="W192">
        <v>79.020403355956915</v>
      </c>
      <c r="X192">
        <v>80.009993630377096</v>
      </c>
      <c r="Y192">
        <v>52.065099114586367</v>
      </c>
      <c r="Z192">
        <v>52.420031803312206</v>
      </c>
      <c r="AA192">
        <v>70.580590048256298</v>
      </c>
      <c r="AB192">
        <v>148.17313796529206</v>
      </c>
      <c r="AC192">
        <v>111.83720101547975</v>
      </c>
      <c r="AD192">
        <v>44.3765</v>
      </c>
      <c r="AE192">
        <v>94.726472066989984</v>
      </c>
      <c r="AF192">
        <v>82.210297892133539</v>
      </c>
      <c r="AG192">
        <v>-33.629057400000001</v>
      </c>
      <c r="AH192">
        <v>651.98332949999997</v>
      </c>
      <c r="AI192">
        <v>618.3542721</v>
      </c>
    </row>
    <row r="193" spans="1:35">
      <c r="A193" t="s">
        <v>299</v>
      </c>
      <c r="B193">
        <v>108.35140560050222</v>
      </c>
      <c r="C193">
        <v>111.32292461580107</v>
      </c>
      <c r="D193">
        <v>84.905408529029145</v>
      </c>
      <c r="E193">
        <v>94.232558860958463</v>
      </c>
      <c r="F193">
        <v>4.0967632563923733</v>
      </c>
      <c r="G193">
        <v>3.2633766970366644</v>
      </c>
      <c r="H193">
        <v>79.269921656067737</v>
      </c>
      <c r="I193">
        <v>62.377257986590266</v>
      </c>
      <c r="J193">
        <v>63.082866523605411</v>
      </c>
      <c r="K193">
        <v>74.619861759076031</v>
      </c>
      <c r="L193">
        <v>78.863757833627602</v>
      </c>
      <c r="M193">
        <v>95.049564353774628</v>
      </c>
      <c r="N193">
        <v>6.3615157507923223</v>
      </c>
      <c r="O193">
        <v>70.23095288517186</v>
      </c>
      <c r="P193">
        <v>94.520957850600951</v>
      </c>
      <c r="Q193">
        <v>67.496055613130963</v>
      </c>
      <c r="R193">
        <v>74.088346329917059</v>
      </c>
      <c r="S193">
        <v>83.073854108921964</v>
      </c>
      <c r="T193">
        <v>87.06758970981798</v>
      </c>
      <c r="U193">
        <v>87.91376128903805</v>
      </c>
      <c r="V193">
        <v>90.102570317171725</v>
      </c>
      <c r="W193">
        <v>80.939394567975015</v>
      </c>
      <c r="X193">
        <v>82.993805218833756</v>
      </c>
      <c r="Y193">
        <v>51.902481130296678</v>
      </c>
      <c r="Z193">
        <v>52.762250656641989</v>
      </c>
      <c r="AA193">
        <v>72.904786662524529</v>
      </c>
      <c r="AB193">
        <v>160.71333787056531</v>
      </c>
      <c r="AC193">
        <v>125.78819474672711</v>
      </c>
      <c r="AD193">
        <v>50.917971014492771</v>
      </c>
      <c r="AE193">
        <v>108.13513779349258</v>
      </c>
      <c r="AF193">
        <v>86.861559556885851</v>
      </c>
      <c r="AG193">
        <v>-35.9950853</v>
      </c>
      <c r="AH193">
        <v>670.93817899999999</v>
      </c>
      <c r="AI193">
        <v>634.94309369999996</v>
      </c>
    </row>
    <row r="194" spans="1:35">
      <c r="A194" t="s">
        <v>300</v>
      </c>
      <c r="B194">
        <v>107.40322913890776</v>
      </c>
      <c r="C194">
        <v>110.08609818762601</v>
      </c>
      <c r="D194">
        <v>85.626803143127034</v>
      </c>
      <c r="E194">
        <v>95.006045679648778</v>
      </c>
      <c r="F194">
        <v>3.956520269217159</v>
      </c>
      <c r="G194">
        <v>3.2610104694319046</v>
      </c>
      <c r="H194">
        <v>76.416938445275051</v>
      </c>
      <c r="I194">
        <v>62.766367875963027</v>
      </c>
      <c r="J194">
        <v>63.188593652477024</v>
      </c>
      <c r="K194">
        <v>72.429740463497964</v>
      </c>
      <c r="L194">
        <v>76.435272103725339</v>
      </c>
      <c r="M194">
        <v>95.178027852066862</v>
      </c>
      <c r="N194">
        <v>6.3224483579326165</v>
      </c>
      <c r="O194">
        <v>71.056720442033537</v>
      </c>
      <c r="P194">
        <v>94.072981951669718</v>
      </c>
      <c r="Q194">
        <v>63.888103084002658</v>
      </c>
      <c r="R194">
        <v>75.074144593257842</v>
      </c>
      <c r="S194">
        <v>83.342128620895977</v>
      </c>
      <c r="T194">
        <v>87.280540860219645</v>
      </c>
      <c r="U194">
        <v>88.085370201228557</v>
      </c>
      <c r="V194">
        <v>90.239179363970024</v>
      </c>
      <c r="W194">
        <v>78.496379464833609</v>
      </c>
      <c r="X194">
        <v>82.036843376659817</v>
      </c>
      <c r="Y194">
        <v>50.23856043914008</v>
      </c>
      <c r="Z194">
        <v>51.176691550169949</v>
      </c>
      <c r="AA194">
        <v>71.307323357900344</v>
      </c>
      <c r="AB194">
        <v>169.70361423708457</v>
      </c>
      <c r="AC194">
        <v>127.00292288128084</v>
      </c>
      <c r="AD194">
        <v>50.640476190476193</v>
      </c>
      <c r="AE194">
        <v>108.67103453013205</v>
      </c>
      <c r="AF194">
        <v>84.983677198416174</v>
      </c>
      <c r="AG194">
        <v>-37.183215699999998</v>
      </c>
      <c r="AH194">
        <v>680.82754139999997</v>
      </c>
      <c r="AI194">
        <v>643.64432569999997</v>
      </c>
    </row>
    <row r="195" spans="1:35">
      <c r="A195" t="s">
        <v>301</v>
      </c>
      <c r="B195">
        <v>108.25993849654971</v>
      </c>
      <c r="C195">
        <v>111.22183499775798</v>
      </c>
      <c r="D195">
        <v>85.42296129396658</v>
      </c>
      <c r="E195">
        <v>94.70877977371326</v>
      </c>
      <c r="F195">
        <v>3.7838179664795719</v>
      </c>
      <c r="G195">
        <v>3.3412634197986772</v>
      </c>
      <c r="H195">
        <v>78.611997928790061</v>
      </c>
      <c r="I195">
        <v>63.153697089528052</v>
      </c>
      <c r="J195">
        <v>63.553636453713523</v>
      </c>
      <c r="K195">
        <v>73.574761381798041</v>
      </c>
      <c r="L195">
        <v>79.00537554761334</v>
      </c>
      <c r="M195">
        <v>95.322394936850969</v>
      </c>
      <c r="N195">
        <v>6.3311656790840942</v>
      </c>
      <c r="O195">
        <v>70.981939617207274</v>
      </c>
      <c r="P195">
        <v>91.604278184742896</v>
      </c>
      <c r="Q195">
        <v>64.735793393405928</v>
      </c>
      <c r="R195">
        <v>74.830855612131856</v>
      </c>
      <c r="S195">
        <v>83.423282770969251</v>
      </c>
      <c r="T195">
        <v>87.315932318422426</v>
      </c>
      <c r="U195">
        <v>88.260762043484746</v>
      </c>
      <c r="V195">
        <v>90.383910323239377</v>
      </c>
      <c r="W195">
        <v>79.541590275141886</v>
      </c>
      <c r="X195">
        <v>81.234577715781427</v>
      </c>
      <c r="Y195">
        <v>49.690047056377018</v>
      </c>
      <c r="Z195">
        <v>50.720144990431926</v>
      </c>
      <c r="AA195">
        <v>71.677672435343737</v>
      </c>
      <c r="AB195">
        <v>161.12278734322678</v>
      </c>
      <c r="AC195">
        <v>120.42760203248572</v>
      </c>
      <c r="AD195">
        <v>47.87924242424242</v>
      </c>
      <c r="AE195">
        <v>103.67401323834542</v>
      </c>
      <c r="AF195">
        <v>85.685352778214551</v>
      </c>
      <c r="AG195">
        <v>-37.275330400000001</v>
      </c>
      <c r="AH195">
        <v>678.61413589999995</v>
      </c>
      <c r="AI195">
        <v>641.33880550000003</v>
      </c>
    </row>
    <row r="196" spans="1:35">
      <c r="A196" t="s">
        <v>302</v>
      </c>
      <c r="B196">
        <v>108.93548030079513</v>
      </c>
      <c r="C196">
        <v>111.97485354866242</v>
      </c>
      <c r="D196">
        <v>85.920737831741562</v>
      </c>
      <c r="E196">
        <v>95.154254540409411</v>
      </c>
      <c r="F196">
        <v>3.6474670723406213</v>
      </c>
      <c r="G196">
        <v>3.4216594234211808</v>
      </c>
      <c r="H196">
        <v>79.909568289643261</v>
      </c>
      <c r="I196">
        <v>63.717583099866857</v>
      </c>
      <c r="J196">
        <v>65.032389803380667</v>
      </c>
      <c r="K196">
        <v>74.674886857307129</v>
      </c>
      <c r="L196">
        <v>80.944291503679253</v>
      </c>
      <c r="M196">
        <v>95.398661155034574</v>
      </c>
      <c r="N196">
        <v>6.3020182157051261</v>
      </c>
      <c r="O196">
        <v>71.750086084101909</v>
      </c>
      <c r="P196">
        <v>95.469709798161787</v>
      </c>
      <c r="Q196">
        <v>66.050736361304303</v>
      </c>
      <c r="R196">
        <v>77.114538044363385</v>
      </c>
      <c r="S196">
        <v>83.556051005095497</v>
      </c>
      <c r="T196">
        <v>87.400780842708429</v>
      </c>
      <c r="U196">
        <v>88.326697900286845</v>
      </c>
      <c r="V196">
        <v>90.427819326916577</v>
      </c>
      <c r="W196">
        <v>75.929298518109107</v>
      </c>
      <c r="X196">
        <v>81.884273650921571</v>
      </c>
      <c r="Y196">
        <v>50.743049414862355</v>
      </c>
      <c r="Z196">
        <v>51.364984153347528</v>
      </c>
      <c r="AA196">
        <v>70.344488355579387</v>
      </c>
      <c r="AB196">
        <v>167.62613705554355</v>
      </c>
      <c r="AC196">
        <v>131.81269783603381</v>
      </c>
      <c r="AD196">
        <v>53.890606060606054</v>
      </c>
      <c r="AE196">
        <v>119.08150241143208</v>
      </c>
      <c r="AF196">
        <v>85.869720434981915</v>
      </c>
      <c r="AG196">
        <v>-38.546949499999997</v>
      </c>
      <c r="AH196">
        <v>676.67591970000001</v>
      </c>
      <c r="AI196">
        <v>638.12897020000003</v>
      </c>
    </row>
    <row r="197" spans="1:35">
      <c r="A197" t="s">
        <v>303</v>
      </c>
      <c r="B197">
        <v>108.35450210930094</v>
      </c>
      <c r="C197">
        <v>111.32812386663636</v>
      </c>
      <c r="D197">
        <v>85.897369101947277</v>
      </c>
      <c r="E197">
        <v>95.062748322192419</v>
      </c>
      <c r="F197">
        <v>3.7422365608583297</v>
      </c>
      <c r="G197">
        <v>3.4227567989045911</v>
      </c>
      <c r="H197">
        <v>83.244250862883291</v>
      </c>
      <c r="I197">
        <v>64.264375594384617</v>
      </c>
      <c r="J197">
        <v>65.403659530081399</v>
      </c>
      <c r="K197">
        <v>77.842163974805416</v>
      </c>
      <c r="L197">
        <v>84.461458978707981</v>
      </c>
      <c r="M197">
        <v>95.553018437601736</v>
      </c>
      <c r="N197">
        <v>6.2960833330036667</v>
      </c>
      <c r="O197">
        <v>72.047885856946962</v>
      </c>
      <c r="P197">
        <v>97.8478711178076</v>
      </c>
      <c r="Q197">
        <v>61.849015144370014</v>
      </c>
      <c r="R197">
        <v>78.735974649423213</v>
      </c>
      <c r="S197">
        <v>83.925971994143652</v>
      </c>
      <c r="T197">
        <v>87.750645003344346</v>
      </c>
      <c r="U197">
        <v>88.450740583640339</v>
      </c>
      <c r="V197">
        <v>90.55537479473648</v>
      </c>
      <c r="W197">
        <v>75.522063823273399</v>
      </c>
      <c r="X197">
        <v>80.498180901679561</v>
      </c>
      <c r="Y197">
        <v>50.991203055684352</v>
      </c>
      <c r="Z197">
        <v>51.568585500516896</v>
      </c>
      <c r="AA197">
        <v>69.663031290673587</v>
      </c>
      <c r="AB197">
        <v>180.43567759554492</v>
      </c>
      <c r="AC197">
        <v>138.61651863113232</v>
      </c>
      <c r="AD197">
        <v>56.367142857142859</v>
      </c>
      <c r="AE197">
        <v>126.04444353415886</v>
      </c>
      <c r="AF197">
        <v>87.013777374439684</v>
      </c>
      <c r="AG197">
        <v>-36.6629887</v>
      </c>
      <c r="AH197">
        <v>671.41286860000002</v>
      </c>
      <c r="AI197">
        <v>634.7498799</v>
      </c>
    </row>
    <row r="198" spans="1:35">
      <c r="A198" t="s">
        <v>304</v>
      </c>
      <c r="B198">
        <v>108.90376655490122</v>
      </c>
      <c r="C198">
        <v>111.9476032355567</v>
      </c>
      <c r="D198">
        <v>86.418974905104989</v>
      </c>
      <c r="E198">
        <v>95.195433496113736</v>
      </c>
      <c r="F198">
        <v>3.8049059935127012</v>
      </c>
      <c r="G198">
        <v>3.4836677821029176</v>
      </c>
      <c r="H198">
        <v>83.633646084298874</v>
      </c>
      <c r="I198">
        <v>64.716276725424351</v>
      </c>
      <c r="J198">
        <v>65.89976405047635</v>
      </c>
      <c r="K198">
        <v>78.720590659248629</v>
      </c>
      <c r="L198">
        <v>84.943077359749324</v>
      </c>
      <c r="M198">
        <v>95.668017126709032</v>
      </c>
      <c r="N198">
        <v>6.267287830504797</v>
      </c>
      <c r="O198">
        <v>72.711628277576949</v>
      </c>
      <c r="P198">
        <v>103.80457349774026</v>
      </c>
      <c r="Q198">
        <v>60.452147474871119</v>
      </c>
      <c r="R198">
        <v>73.44463529761498</v>
      </c>
      <c r="S198">
        <v>84.201052832778728</v>
      </c>
      <c r="T198">
        <v>88.01120726150296</v>
      </c>
      <c r="U198">
        <v>88.631567946696961</v>
      </c>
      <c r="V198">
        <v>90.664973182008737</v>
      </c>
      <c r="W198">
        <v>74.045845755367637</v>
      </c>
      <c r="X198">
        <v>83.37168385703626</v>
      </c>
      <c r="Y198">
        <v>50.651038164271178</v>
      </c>
      <c r="Z198">
        <v>51.200483595993411</v>
      </c>
      <c r="AA198">
        <v>69.840404399603685</v>
      </c>
      <c r="AB198">
        <v>206.67423246413796</v>
      </c>
      <c r="AC198">
        <v>152.93287248888237</v>
      </c>
      <c r="AD198">
        <v>61.885652173913051</v>
      </c>
      <c r="AE198">
        <v>136.69755842222108</v>
      </c>
      <c r="AF198">
        <v>88.776039674917129</v>
      </c>
      <c r="AG198">
        <v>-45.136405000000003</v>
      </c>
      <c r="AH198">
        <v>701.11287860000004</v>
      </c>
      <c r="AI198">
        <v>655.97647359999996</v>
      </c>
    </row>
    <row r="199" spans="1:35">
      <c r="A199" t="s">
        <v>305</v>
      </c>
      <c r="B199">
        <v>105.11272144389683</v>
      </c>
      <c r="C199">
        <v>107.41975221047274</v>
      </c>
      <c r="D199">
        <v>86.58037336365534</v>
      </c>
      <c r="E199">
        <v>95.254011713447923</v>
      </c>
      <c r="F199">
        <v>3.7032844718279518</v>
      </c>
      <c r="G199">
        <v>3.5663128984850654</v>
      </c>
      <c r="H199">
        <v>87.25259782717032</v>
      </c>
      <c r="I199">
        <v>65.27352205682827</v>
      </c>
      <c r="J199">
        <v>66.286552351311826</v>
      </c>
      <c r="K199">
        <v>82.086985433208753</v>
      </c>
      <c r="L199">
        <v>89.183465857819684</v>
      </c>
      <c r="M199">
        <v>95.80800158109291</v>
      </c>
      <c r="N199">
        <v>6.2707976470000188</v>
      </c>
      <c r="O199">
        <v>73.407019530841552</v>
      </c>
      <c r="P199">
        <v>107.68722831945206</v>
      </c>
      <c r="Q199">
        <v>57.225835329032044</v>
      </c>
      <c r="R199">
        <v>70.447095202526839</v>
      </c>
      <c r="S199">
        <v>84.697676037390977</v>
      </c>
      <c r="T199">
        <v>88.612529301802212</v>
      </c>
      <c r="U199">
        <v>88.69357122767471</v>
      </c>
      <c r="V199">
        <v>90.762760795379222</v>
      </c>
      <c r="W199">
        <v>74.155410894360372</v>
      </c>
      <c r="X199">
        <v>82.816648607019943</v>
      </c>
      <c r="Y199">
        <v>52.870794748595721</v>
      </c>
      <c r="Z199">
        <v>52.907564156022609</v>
      </c>
      <c r="AA199">
        <v>70.129918669150541</v>
      </c>
      <c r="AB199">
        <v>249.08257182982877</v>
      </c>
      <c r="AC199">
        <v>162.0129129099268</v>
      </c>
      <c r="AD199">
        <v>61.718636363636371</v>
      </c>
      <c r="AE199">
        <v>136.43303689020101</v>
      </c>
      <c r="AF199">
        <v>89.843606844628184</v>
      </c>
      <c r="AG199">
        <v>-47.804123599999997</v>
      </c>
      <c r="AH199">
        <v>711.80048599999998</v>
      </c>
      <c r="AI199">
        <v>663.99636239999995</v>
      </c>
    </row>
    <row r="200" spans="1:35">
      <c r="A200" t="s">
        <v>306</v>
      </c>
      <c r="B200">
        <v>104.80583357926143</v>
      </c>
      <c r="C200">
        <v>107.08964690643927</v>
      </c>
      <c r="D200">
        <v>87.200257738363618</v>
      </c>
      <c r="E200">
        <v>95.764727024978981</v>
      </c>
      <c r="F200">
        <v>3.9050794534486051</v>
      </c>
      <c r="G200">
        <v>3.5775029219969414</v>
      </c>
      <c r="H200">
        <v>85.033908349085408</v>
      </c>
      <c r="I200">
        <v>65.650600470238217</v>
      </c>
      <c r="J200">
        <v>66.611810351506634</v>
      </c>
      <c r="K200">
        <v>79.173764244401042</v>
      </c>
      <c r="L200">
        <v>86.63250064526234</v>
      </c>
      <c r="M200">
        <v>95.932180357160973</v>
      </c>
      <c r="N200">
        <v>6.2726038180160044</v>
      </c>
      <c r="O200">
        <v>73.995075777014151</v>
      </c>
      <c r="P200">
        <v>107.17850558761279</v>
      </c>
      <c r="Q200">
        <v>58.121053187414198</v>
      </c>
      <c r="R200">
        <v>64.336470043433607</v>
      </c>
      <c r="S200">
        <v>85.066676390762581</v>
      </c>
      <c r="T200">
        <v>88.809902284471207</v>
      </c>
      <c r="U200">
        <v>88.899605975382428</v>
      </c>
      <c r="V200">
        <v>90.938043091442424</v>
      </c>
      <c r="W200">
        <v>73.964461306429257</v>
      </c>
      <c r="X200">
        <v>83.315716448907281</v>
      </c>
      <c r="Y200">
        <v>53.16668914057616</v>
      </c>
      <c r="Z200">
        <v>53.03832034901825</v>
      </c>
      <c r="AA200">
        <v>70.539510117202553</v>
      </c>
      <c r="AB200">
        <v>271.52401830529902</v>
      </c>
      <c r="AC200">
        <v>160.17587228321588</v>
      </c>
      <c r="AD200">
        <v>58.185238095238098</v>
      </c>
      <c r="AE200">
        <v>130.47763182146909</v>
      </c>
      <c r="AF200">
        <v>90.459230505733771</v>
      </c>
      <c r="AG200">
        <v>-47.669072800000002</v>
      </c>
      <c r="AH200">
        <v>709.25418490000004</v>
      </c>
      <c r="AI200">
        <v>661.58511209999995</v>
      </c>
    </row>
    <row r="201" spans="1:35">
      <c r="A201" t="s">
        <v>307</v>
      </c>
      <c r="B201">
        <v>107.16585125064341</v>
      </c>
      <c r="C201">
        <v>110.09966457879865</v>
      </c>
      <c r="D201">
        <v>87.872905767825969</v>
      </c>
      <c r="E201">
        <v>96.834619547975308</v>
      </c>
      <c r="F201">
        <v>4.0016238279309579</v>
      </c>
      <c r="G201">
        <v>3.6589051548195188</v>
      </c>
      <c r="H201">
        <v>89.021379313451305</v>
      </c>
      <c r="I201">
        <v>66.046717145075775</v>
      </c>
      <c r="J201">
        <v>66.767726663273962</v>
      </c>
      <c r="K201">
        <v>82.433380299308183</v>
      </c>
      <c r="L201">
        <v>90.87383401917873</v>
      </c>
      <c r="M201">
        <v>95.992618971892867</v>
      </c>
      <c r="N201">
        <v>6.2597402928864128</v>
      </c>
      <c r="O201">
        <v>74.403723304231633</v>
      </c>
      <c r="P201">
        <v>101.19612831277179</v>
      </c>
      <c r="Q201">
        <v>59.172852022847962</v>
      </c>
      <c r="R201">
        <v>58.938194381104196</v>
      </c>
      <c r="S201">
        <v>85.104740966862863</v>
      </c>
      <c r="T201">
        <v>88.728669916341147</v>
      </c>
      <c r="U201">
        <v>88.965711244326002</v>
      </c>
      <c r="V201">
        <v>91.033923276424972</v>
      </c>
      <c r="W201">
        <v>73.187725597903764</v>
      </c>
      <c r="X201">
        <v>85.990768306950827</v>
      </c>
      <c r="Y201">
        <v>52.97044147862789</v>
      </c>
      <c r="Z201">
        <v>52.795717894541326</v>
      </c>
      <c r="AA201">
        <v>70.762048349028674</v>
      </c>
      <c r="AB201">
        <v>227.39196653743218</v>
      </c>
      <c r="AC201">
        <v>145.21824396232358</v>
      </c>
      <c r="AD201">
        <v>55.067878787878797</v>
      </c>
      <c r="AE201">
        <v>125.08677818486501</v>
      </c>
      <c r="AF201">
        <v>89.173622117648932</v>
      </c>
      <c r="AG201">
        <v>-50.573848900000002</v>
      </c>
      <c r="AH201">
        <v>716.57337050000001</v>
      </c>
      <c r="AI201">
        <v>665.99952159999998</v>
      </c>
    </row>
    <row r="202" spans="1:35">
      <c r="A202" t="s">
        <v>308</v>
      </c>
      <c r="B202">
        <v>108.42000389389169</v>
      </c>
      <c r="C202">
        <v>111.53412798132489</v>
      </c>
      <c r="D202">
        <v>88.502277969886322</v>
      </c>
      <c r="E202">
        <v>97.120285549014596</v>
      </c>
      <c r="F202">
        <v>3.915145762306643</v>
      </c>
      <c r="G202">
        <v>3.8026788264691262</v>
      </c>
      <c r="H202">
        <v>92.011784325015682</v>
      </c>
      <c r="I202">
        <v>66.85043590362082</v>
      </c>
      <c r="J202">
        <v>67.096025154136697</v>
      </c>
      <c r="K202">
        <v>85.16419997595618</v>
      </c>
      <c r="L202">
        <v>93.742810545393283</v>
      </c>
      <c r="M202">
        <v>96.082924522807616</v>
      </c>
      <c r="N202">
        <v>6.2351930874866355</v>
      </c>
      <c r="O202">
        <v>75.022914049688737</v>
      </c>
      <c r="P202">
        <v>106.18200197420632</v>
      </c>
      <c r="Q202">
        <v>60.425526972822801</v>
      </c>
      <c r="R202">
        <v>61.269497871749067</v>
      </c>
      <c r="S202">
        <v>85.271716566909689</v>
      </c>
      <c r="T202">
        <v>88.841270669430642</v>
      </c>
      <c r="U202">
        <v>89.22565254891532</v>
      </c>
      <c r="V202">
        <v>91.189175747819348</v>
      </c>
      <c r="W202">
        <v>74.39966144861252</v>
      </c>
      <c r="X202">
        <v>92.202780532274176</v>
      </c>
      <c r="Y202">
        <v>53.077134565837369</v>
      </c>
      <c r="Z202">
        <v>53.111979768974507</v>
      </c>
      <c r="AA202">
        <v>73.02697705653209</v>
      </c>
      <c r="AB202">
        <v>259.58100828349825</v>
      </c>
      <c r="AC202">
        <v>154.13989467306311</v>
      </c>
      <c r="AD202">
        <v>56.379545454545458</v>
      </c>
      <c r="AE202">
        <v>127.72162618809112</v>
      </c>
      <c r="AF202">
        <v>89.320916638049383</v>
      </c>
      <c r="AG202">
        <v>-45.795993000000003</v>
      </c>
      <c r="AH202">
        <v>732.94417050000004</v>
      </c>
      <c r="AI202">
        <v>687.14817749999997</v>
      </c>
    </row>
    <row r="203" spans="1:35">
      <c r="A203" t="s">
        <v>309</v>
      </c>
      <c r="B203">
        <v>109.0249490712978</v>
      </c>
      <c r="C203">
        <v>112.00494846907806</v>
      </c>
      <c r="D203">
        <v>88.861463531033991</v>
      </c>
      <c r="E203">
        <v>97.561537864941641</v>
      </c>
      <c r="F203">
        <v>3.875234360639074</v>
      </c>
      <c r="G203">
        <v>3.9345948962202084</v>
      </c>
      <c r="H203">
        <v>95.327110802721549</v>
      </c>
      <c r="I203">
        <v>67.212148943458288</v>
      </c>
      <c r="J203">
        <v>67.62200061327556</v>
      </c>
      <c r="K203">
        <v>90.697997435423986</v>
      </c>
      <c r="L203">
        <v>98.229584554932387</v>
      </c>
      <c r="M203">
        <v>96.233883162896262</v>
      </c>
      <c r="N203">
        <v>6.0687791144736138</v>
      </c>
      <c r="O203">
        <v>75.909168850677986</v>
      </c>
      <c r="P203">
        <v>107.9057604857081</v>
      </c>
      <c r="Q203">
        <v>68.488438939939471</v>
      </c>
      <c r="R203">
        <v>66.475341406279028</v>
      </c>
      <c r="S203">
        <v>85.6287200640013</v>
      </c>
      <c r="T203">
        <v>89.17619977704318</v>
      </c>
      <c r="U203">
        <v>89.42740368911538</v>
      </c>
      <c r="V203">
        <v>91.311756074307425</v>
      </c>
      <c r="W203">
        <v>75.85260958051235</v>
      </c>
      <c r="X203">
        <v>99.69905222386997</v>
      </c>
      <c r="Y203">
        <v>53.031874354485346</v>
      </c>
      <c r="Z203">
        <v>52.88474701534966</v>
      </c>
      <c r="AA203">
        <v>76.296476160414585</v>
      </c>
      <c r="AB203">
        <v>207.6957221518048</v>
      </c>
      <c r="AC203">
        <v>153.62777908542816</v>
      </c>
      <c r="AD203">
        <v>62.256060606060622</v>
      </c>
      <c r="AE203">
        <v>139.47578217656761</v>
      </c>
      <c r="AF203">
        <v>92.819599151487481</v>
      </c>
      <c r="AG203">
        <v>-51.683222800000003</v>
      </c>
      <c r="AH203">
        <v>749.33566659999997</v>
      </c>
      <c r="AI203">
        <v>697.65244380000001</v>
      </c>
    </row>
    <row r="204" spans="1:35">
      <c r="A204" t="s">
        <v>310</v>
      </c>
      <c r="B204">
        <v>108.39317042912086</v>
      </c>
      <c r="C204">
        <v>111.16425975992735</v>
      </c>
      <c r="D204">
        <v>89.133831419415841</v>
      </c>
      <c r="E204">
        <v>97.610604589827147</v>
      </c>
      <c r="F204">
        <v>3.9902297754287512</v>
      </c>
      <c r="G204">
        <v>3.9353435658689273</v>
      </c>
      <c r="H204">
        <v>96.829369830936884</v>
      </c>
      <c r="I204">
        <v>67.670085482553702</v>
      </c>
      <c r="J204">
        <v>68.004748629336248</v>
      </c>
      <c r="K204">
        <v>90.929086150392692</v>
      </c>
      <c r="L204">
        <v>98.93851257592712</v>
      </c>
      <c r="M204">
        <v>96.358468574645002</v>
      </c>
      <c r="N204">
        <v>6.0735276739246773</v>
      </c>
      <c r="O204">
        <v>76.32217298245223</v>
      </c>
      <c r="P204">
        <v>106.11005782292345</v>
      </c>
      <c r="Q204">
        <v>68.487947429085509</v>
      </c>
      <c r="R204">
        <v>74.357301170896136</v>
      </c>
      <c r="S204">
        <v>85.824562523733746</v>
      </c>
      <c r="T204">
        <v>89.319094440154387</v>
      </c>
      <c r="U204">
        <v>89.634860504973915</v>
      </c>
      <c r="V204">
        <v>91.451185280851305</v>
      </c>
      <c r="W204">
        <v>77.400624853796714</v>
      </c>
      <c r="X204">
        <v>102.61365190869364</v>
      </c>
      <c r="Y204">
        <v>53.575954866543256</v>
      </c>
      <c r="Z204">
        <v>53.436696309057247</v>
      </c>
      <c r="AA204">
        <v>77.824931175457777</v>
      </c>
      <c r="AB204">
        <v>194.64967912786858</v>
      </c>
      <c r="AC204">
        <v>147.023767648236</v>
      </c>
      <c r="AD204">
        <v>59.676166666666674</v>
      </c>
      <c r="AE204">
        <v>134.82587667303213</v>
      </c>
      <c r="AF204">
        <v>96.292815429840957</v>
      </c>
      <c r="AG204">
        <v>-46.045544399999997</v>
      </c>
      <c r="AH204">
        <v>750.5324008</v>
      </c>
      <c r="AI204">
        <v>704.48685639999997</v>
      </c>
    </row>
    <row r="205" spans="1:35">
      <c r="A205" t="s">
        <v>311</v>
      </c>
      <c r="B205">
        <v>109.54925790946723</v>
      </c>
      <c r="C205">
        <v>112.31293826353615</v>
      </c>
      <c r="D205">
        <v>89.800585058054878</v>
      </c>
      <c r="E205">
        <v>98.150402310081134</v>
      </c>
      <c r="F205">
        <v>4.1310968321905142</v>
      </c>
      <c r="G205">
        <v>4.0661922970060154</v>
      </c>
      <c r="H205">
        <v>99.090546138576457</v>
      </c>
      <c r="I205">
        <v>68.24615794468383</v>
      </c>
      <c r="J205">
        <v>68.380780705024065</v>
      </c>
      <c r="K205">
        <v>92.949585812579599</v>
      </c>
      <c r="L205">
        <v>101.28185677836092</v>
      </c>
      <c r="M205">
        <v>96.480874407534941</v>
      </c>
      <c r="N205">
        <v>6.0352379668255116</v>
      </c>
      <c r="O205">
        <v>76.561148243299641</v>
      </c>
      <c r="P205">
        <v>106.82643228556536</v>
      </c>
      <c r="Q205">
        <v>65.789822630887983</v>
      </c>
      <c r="R205">
        <v>80.267829002622619</v>
      </c>
      <c r="S205">
        <v>85.950827016381695</v>
      </c>
      <c r="T205">
        <v>89.424113390719825</v>
      </c>
      <c r="U205">
        <v>89.79822345801125</v>
      </c>
      <c r="V205">
        <v>91.625805538398723</v>
      </c>
      <c r="W205">
        <v>78.342903926310228</v>
      </c>
      <c r="X205">
        <v>103.99812855756804</v>
      </c>
      <c r="Y205">
        <v>53.259663329947067</v>
      </c>
      <c r="Z205">
        <v>53.067886312703671</v>
      </c>
      <c r="AA205">
        <v>78.448970528522722</v>
      </c>
      <c r="AB205">
        <v>186.10945849770292</v>
      </c>
      <c r="AC205">
        <v>147.87370247732105</v>
      </c>
      <c r="AD205">
        <v>60.929565217391307</v>
      </c>
      <c r="AE205">
        <v>137.27364813097677</v>
      </c>
      <c r="AF205">
        <v>95.842489550761599</v>
      </c>
      <c r="AG205">
        <v>-39.506484299999997</v>
      </c>
      <c r="AH205">
        <v>761.02550819999999</v>
      </c>
      <c r="AI205">
        <v>721.51902389999998</v>
      </c>
    </row>
    <row r="206" spans="1:35">
      <c r="A206" t="s">
        <v>312</v>
      </c>
      <c r="B206">
        <v>109.81410246127533</v>
      </c>
      <c r="C206">
        <v>112.82980041680774</v>
      </c>
      <c r="D206">
        <v>89.949388997599883</v>
      </c>
      <c r="E206">
        <v>98.473111880755539</v>
      </c>
      <c r="F206">
        <v>4.368796276039622</v>
      </c>
      <c r="G206">
        <v>4.0591852696174415</v>
      </c>
      <c r="H206">
        <v>101.37653604983596</v>
      </c>
      <c r="I206">
        <v>68.838409766496383</v>
      </c>
      <c r="J206">
        <v>68.833437605025594</v>
      </c>
      <c r="K206">
        <v>96.471075111788835</v>
      </c>
      <c r="L206">
        <v>102.81049403377899</v>
      </c>
      <c r="M206">
        <v>96.514816181664898</v>
      </c>
      <c r="N206">
        <v>6.031539477965346</v>
      </c>
      <c r="O206">
        <v>77.38783863116933</v>
      </c>
      <c r="P206">
        <v>115.69856526019339</v>
      </c>
      <c r="Q206">
        <v>65.90976952043286</v>
      </c>
      <c r="R206">
        <v>83.211153221303462</v>
      </c>
      <c r="S206">
        <v>86.287481571560292</v>
      </c>
      <c r="T206">
        <v>89.727577126926519</v>
      </c>
      <c r="U206">
        <v>89.968699549895561</v>
      </c>
      <c r="V206">
        <v>91.769292271273912</v>
      </c>
      <c r="W206">
        <v>81.640633356424686</v>
      </c>
      <c r="X206">
        <v>119.39113510505508</v>
      </c>
      <c r="Y206">
        <v>54.155968396597736</v>
      </c>
      <c r="Z206">
        <v>54.175884199844198</v>
      </c>
      <c r="AA206">
        <v>83.943434950728943</v>
      </c>
      <c r="AB206">
        <v>193.19410621291019</v>
      </c>
      <c r="AC206">
        <v>161.63154633322785</v>
      </c>
      <c r="AD206">
        <v>67.99666666666667</v>
      </c>
      <c r="AE206">
        <v>151.88975402371662</v>
      </c>
      <c r="AF206">
        <v>96.346150719734695</v>
      </c>
      <c r="AG206">
        <v>-39.706673799999997</v>
      </c>
      <c r="AH206">
        <v>766.1584689</v>
      </c>
      <c r="AI206">
        <v>726.45179510000003</v>
      </c>
    </row>
    <row r="207" spans="1:35">
      <c r="A207" t="s">
        <v>313</v>
      </c>
      <c r="B207">
        <v>109.09818683568287</v>
      </c>
      <c r="C207">
        <v>111.70608238773218</v>
      </c>
      <c r="D207">
        <v>90.779612353454581</v>
      </c>
      <c r="E207">
        <v>99.035266614246041</v>
      </c>
      <c r="F207">
        <v>4.4489847540558092</v>
      </c>
      <c r="G207">
        <v>4.1561648616752906</v>
      </c>
      <c r="H207">
        <v>96.99980352529272</v>
      </c>
      <c r="I207">
        <v>69.288395178731705</v>
      </c>
      <c r="J207">
        <v>69.628037718370308</v>
      </c>
      <c r="K207">
        <v>91.240446334326066</v>
      </c>
      <c r="L207">
        <v>96.802493120627105</v>
      </c>
      <c r="M207">
        <v>96.679133237776853</v>
      </c>
      <c r="N207">
        <v>5.9921860070992752</v>
      </c>
      <c r="O207">
        <v>77.897484839157542</v>
      </c>
      <c r="P207">
        <v>119.89218750018338</v>
      </c>
      <c r="Q207">
        <v>65.090829379161477</v>
      </c>
      <c r="R207">
        <v>78.896319748326164</v>
      </c>
      <c r="S207">
        <v>86.592629407675787</v>
      </c>
      <c r="T207">
        <v>89.984771586579299</v>
      </c>
      <c r="U207">
        <v>90.174614659233328</v>
      </c>
      <c r="V207">
        <v>91.965643414997018</v>
      </c>
      <c r="W207">
        <v>87.815434514714383</v>
      </c>
      <c r="X207">
        <v>136.89720323672498</v>
      </c>
      <c r="Y207">
        <v>53.530961126848752</v>
      </c>
      <c r="Z207">
        <v>53.729996257425377</v>
      </c>
      <c r="AA207">
        <v>91.521168214946144</v>
      </c>
      <c r="AB207">
        <v>184.08315707435804</v>
      </c>
      <c r="AC207">
        <v>160.93013882180313</v>
      </c>
      <c r="AD207">
        <v>68.708840579710142</v>
      </c>
      <c r="AE207">
        <v>149.62574726861851</v>
      </c>
      <c r="AF207">
        <v>101.3203287467954</v>
      </c>
      <c r="AG207">
        <v>-54.086690099999998</v>
      </c>
      <c r="AH207">
        <v>803.37086120000004</v>
      </c>
      <c r="AI207">
        <v>749.28417109999998</v>
      </c>
    </row>
    <row r="208" spans="1:35">
      <c r="A208" t="s">
        <v>314</v>
      </c>
      <c r="B208">
        <v>108.95012035520398</v>
      </c>
      <c r="C208">
        <v>111.66696429279853</v>
      </c>
      <c r="D208">
        <v>91.07898959329421</v>
      </c>
      <c r="E208">
        <v>99.367232874571627</v>
      </c>
      <c r="F208">
        <v>4.4887242704200512</v>
      </c>
      <c r="G208">
        <v>4.323488124750531</v>
      </c>
      <c r="H208">
        <v>97.133942397477554</v>
      </c>
      <c r="I208">
        <v>69.800449120555712</v>
      </c>
      <c r="J208">
        <v>69.510323039669714</v>
      </c>
      <c r="K208">
        <v>91.114378352809069</v>
      </c>
      <c r="L208">
        <v>97.139746093565364</v>
      </c>
      <c r="M208">
        <v>96.841092930421183</v>
      </c>
      <c r="N208">
        <v>6.0028811511042184</v>
      </c>
      <c r="O208">
        <v>78.090609540373933</v>
      </c>
      <c r="P208">
        <v>117.22758760205572</v>
      </c>
      <c r="Q208">
        <v>64.338398138831408</v>
      </c>
      <c r="R208">
        <v>79.505385364866299</v>
      </c>
      <c r="S208">
        <v>86.82488781430348</v>
      </c>
      <c r="T208">
        <v>90.175829375727091</v>
      </c>
      <c r="U208">
        <v>90.378827399664274</v>
      </c>
      <c r="V208">
        <v>92.131108835885684</v>
      </c>
      <c r="W208">
        <v>85.465886180206738</v>
      </c>
      <c r="X208">
        <v>126.64113259911414</v>
      </c>
      <c r="Y208">
        <v>53.342631268679725</v>
      </c>
      <c r="Z208">
        <v>53.579939034989266</v>
      </c>
      <c r="AA208">
        <v>87.15954611477396</v>
      </c>
      <c r="AB208">
        <v>184.01000036158436</v>
      </c>
      <c r="AC208">
        <v>160.72023798890962</v>
      </c>
      <c r="AD208">
        <v>68.290151515151521</v>
      </c>
      <c r="AE208">
        <v>149.83175949608747</v>
      </c>
      <c r="AF208">
        <v>105.02575859857761</v>
      </c>
      <c r="AG208">
        <v>-46.391283700000002</v>
      </c>
      <c r="AH208">
        <v>797.41643260000001</v>
      </c>
      <c r="AI208">
        <v>751.02514889999998</v>
      </c>
    </row>
    <row r="209" spans="1:35">
      <c r="A209" t="s">
        <v>315</v>
      </c>
      <c r="B209">
        <v>109.02506203457362</v>
      </c>
      <c r="C209">
        <v>111.96664850554266</v>
      </c>
      <c r="D209">
        <v>91.148260790209576</v>
      </c>
      <c r="E209">
        <v>99.22854333399826</v>
      </c>
      <c r="F209">
        <v>4.4729231988161295</v>
      </c>
      <c r="G209">
        <v>4.3577553815700973</v>
      </c>
      <c r="H209">
        <v>98.117081141673182</v>
      </c>
      <c r="I209">
        <v>70.222071013513414</v>
      </c>
      <c r="J209">
        <v>69.806132566139041</v>
      </c>
      <c r="K209">
        <v>92.05034732557661</v>
      </c>
      <c r="L209">
        <v>97.966788547223842</v>
      </c>
      <c r="M209">
        <v>96.96018979408268</v>
      </c>
      <c r="N209">
        <v>5.9920866074896564</v>
      </c>
      <c r="O209">
        <v>78.337828215458089</v>
      </c>
      <c r="P209">
        <v>121.71322804423858</v>
      </c>
      <c r="Q209">
        <v>67.240678116758673</v>
      </c>
      <c r="R209">
        <v>80.895188623995367</v>
      </c>
      <c r="S209">
        <v>87.071369379951008</v>
      </c>
      <c r="T209">
        <v>90.444004211693681</v>
      </c>
      <c r="U209">
        <v>90.572936619034536</v>
      </c>
      <c r="V209">
        <v>92.296621897728386</v>
      </c>
      <c r="W209">
        <v>84.690373610626409</v>
      </c>
      <c r="X209">
        <v>137.66057780502422</v>
      </c>
      <c r="Y209">
        <v>53.377764377526326</v>
      </c>
      <c r="Z209">
        <v>53.528097665077816</v>
      </c>
      <c r="AA209">
        <v>89.51849251975861</v>
      </c>
      <c r="AB209">
        <v>185.01068633065731</v>
      </c>
      <c r="AC209">
        <v>168.28208677937462</v>
      </c>
      <c r="AD209">
        <v>72.435396825396836</v>
      </c>
      <c r="AE209">
        <v>158.94880584121358</v>
      </c>
      <c r="AF209">
        <v>103.63375668394843</v>
      </c>
      <c r="AG209">
        <v>-49.375772699999999</v>
      </c>
      <c r="AH209">
        <v>786.69535900000005</v>
      </c>
      <c r="AI209">
        <v>737.31958629999997</v>
      </c>
    </row>
    <row r="210" spans="1:35">
      <c r="A210" t="s">
        <v>316</v>
      </c>
      <c r="B210">
        <v>107.82162917210822</v>
      </c>
      <c r="C210">
        <v>110.32633496197658</v>
      </c>
      <c r="D210">
        <v>91.702684514751155</v>
      </c>
      <c r="E210">
        <v>99.782719205300907</v>
      </c>
      <c r="F210">
        <v>4.312755871656849</v>
      </c>
      <c r="G210">
        <v>4.4525837902440077</v>
      </c>
      <c r="H210">
        <v>100.66599244509631</v>
      </c>
      <c r="I210">
        <v>70.818701562376049</v>
      </c>
      <c r="J210">
        <v>70.111996108552916</v>
      </c>
      <c r="K210">
        <v>94.412712359698105</v>
      </c>
      <c r="L210">
        <v>100.53303716497236</v>
      </c>
      <c r="M210">
        <v>97.061597835220965</v>
      </c>
      <c r="N210">
        <v>5.9685865368606086</v>
      </c>
      <c r="O210">
        <v>78.858105294178699</v>
      </c>
      <c r="P210">
        <v>122.41103477327003</v>
      </c>
      <c r="Q210">
        <v>70.321106487537421</v>
      </c>
      <c r="R210">
        <v>81.353205864553644</v>
      </c>
      <c r="S210">
        <v>87.36276110354811</v>
      </c>
      <c r="T210">
        <v>90.715155027679984</v>
      </c>
      <c r="U210">
        <v>90.722870843581134</v>
      </c>
      <c r="V210">
        <v>92.418791445812445</v>
      </c>
      <c r="W210">
        <v>82.955519940882326</v>
      </c>
      <c r="X210">
        <v>142.82250972243324</v>
      </c>
      <c r="Y210">
        <v>53.360830872652052</v>
      </c>
      <c r="Z210">
        <v>53.609794160812271</v>
      </c>
      <c r="AA210">
        <v>89.899213741681038</v>
      </c>
      <c r="AB210">
        <v>197.21520019119947</v>
      </c>
      <c r="AC210">
        <v>169.43854955719667</v>
      </c>
      <c r="AD210">
        <v>71.811884057971014</v>
      </c>
      <c r="AE210">
        <v>156.59733201037022</v>
      </c>
      <c r="AF210">
        <v>102.69386219127591</v>
      </c>
      <c r="AG210">
        <v>-53.4236425</v>
      </c>
      <c r="AH210">
        <v>816.97565210000005</v>
      </c>
      <c r="AI210">
        <v>763.55200960000002</v>
      </c>
    </row>
    <row r="211" spans="1:35">
      <c r="A211" t="s">
        <v>317</v>
      </c>
      <c r="B211">
        <v>108.87553034896742</v>
      </c>
      <c r="C211">
        <v>111.61295479318073</v>
      </c>
      <c r="D211">
        <v>92.044322746594091</v>
      </c>
      <c r="E211">
        <v>99.925975983328357</v>
      </c>
      <c r="F211">
        <v>4.1824914125193313</v>
      </c>
      <c r="G211">
        <v>4.4694209919716377</v>
      </c>
      <c r="H211">
        <v>102.61515555524004</v>
      </c>
      <c r="I211">
        <v>71.495864129070299</v>
      </c>
      <c r="J211">
        <v>70.328995271627434</v>
      </c>
      <c r="K211">
        <v>95.384179140320484</v>
      </c>
      <c r="L211">
        <v>102.21131711764941</v>
      </c>
      <c r="M211">
        <v>97.175285289155795</v>
      </c>
      <c r="N211">
        <v>5.9030035049622738</v>
      </c>
      <c r="O211">
        <v>79.003168226832898</v>
      </c>
      <c r="P211">
        <v>112.61286658813054</v>
      </c>
      <c r="Q211">
        <v>69.50742554731012</v>
      </c>
      <c r="R211">
        <v>74.830119941916706</v>
      </c>
      <c r="S211">
        <v>87.402649620841373</v>
      </c>
      <c r="T211">
        <v>90.640078415241177</v>
      </c>
      <c r="U211">
        <v>90.925476514717701</v>
      </c>
      <c r="V211">
        <v>92.597062243727663</v>
      </c>
      <c r="W211">
        <v>82.457066262930198</v>
      </c>
      <c r="X211">
        <v>142.87717833457043</v>
      </c>
      <c r="Y211">
        <v>53.246696252868652</v>
      </c>
      <c r="Z211">
        <v>53.547612271574714</v>
      </c>
      <c r="AA211">
        <v>88.822463748178919</v>
      </c>
      <c r="AB211">
        <v>169.37703108243849</v>
      </c>
      <c r="AC211">
        <v>147.02507377222975</v>
      </c>
      <c r="AD211">
        <v>62.20682539682538</v>
      </c>
      <c r="AE211">
        <v>136.16801565983798</v>
      </c>
      <c r="AF211">
        <v>98.825603788526777</v>
      </c>
      <c r="AG211">
        <v>-45.5532982</v>
      </c>
      <c r="AH211">
        <v>808.88876970000001</v>
      </c>
      <c r="AI211">
        <v>763.33547150000004</v>
      </c>
    </row>
    <row r="212" spans="1:35">
      <c r="A212" t="s">
        <v>318</v>
      </c>
      <c r="B212">
        <v>109.25058657734758</v>
      </c>
      <c r="C212">
        <v>111.80254145475816</v>
      </c>
      <c r="D212">
        <v>92.159554519152294</v>
      </c>
      <c r="E212">
        <v>100.0907014582383</v>
      </c>
      <c r="F212">
        <v>4.2120134279926171</v>
      </c>
      <c r="G212">
        <v>4.5293487041817002</v>
      </c>
      <c r="H212">
        <v>106.16932909897345</v>
      </c>
      <c r="I212">
        <v>71.924727460866151</v>
      </c>
      <c r="J212">
        <v>70.656603126291387</v>
      </c>
      <c r="K212">
        <v>99.273764289348094</v>
      </c>
      <c r="L212">
        <v>105.61347765039373</v>
      </c>
      <c r="M212">
        <v>97.298444139807472</v>
      </c>
      <c r="N212">
        <v>5.8406603428808355</v>
      </c>
      <c r="O212">
        <v>79.278788559890074</v>
      </c>
      <c r="P212">
        <v>110.80248518576408</v>
      </c>
      <c r="Q212">
        <v>68.742554713040434</v>
      </c>
      <c r="R212">
        <v>72.577908424899135</v>
      </c>
      <c r="S212">
        <v>87.43587554174745</v>
      </c>
      <c r="T212">
        <v>90.552802711540465</v>
      </c>
      <c r="U212">
        <v>91.101510824162631</v>
      </c>
      <c r="V212">
        <v>92.756291286048082</v>
      </c>
      <c r="W212">
        <v>82.737142223318713</v>
      </c>
      <c r="X212">
        <v>149.07831363486818</v>
      </c>
      <c r="Y212">
        <v>52.887380450209527</v>
      </c>
      <c r="Z212">
        <v>53.256165494803746</v>
      </c>
      <c r="AA212">
        <v>89.71032767029314</v>
      </c>
      <c r="AB212">
        <v>179.96381342855662</v>
      </c>
      <c r="AC212">
        <v>141.31174975202637</v>
      </c>
      <c r="AD212">
        <v>57.885909090909088</v>
      </c>
      <c r="AE212">
        <v>127.43752864998127</v>
      </c>
      <c r="AF212">
        <v>98.884914129939332</v>
      </c>
      <c r="AG212">
        <v>-40.686752400000003</v>
      </c>
      <c r="AH212">
        <v>802.92208029999995</v>
      </c>
      <c r="AI212">
        <v>762.23532790000002</v>
      </c>
    </row>
    <row r="213" spans="1:35">
      <c r="A213" t="s">
        <v>319</v>
      </c>
      <c r="B213">
        <v>109.35444196561556</v>
      </c>
      <c r="C213">
        <v>111.89269161202684</v>
      </c>
      <c r="D213">
        <v>93.32984582449491</v>
      </c>
      <c r="E213">
        <v>100.72523137993259</v>
      </c>
      <c r="F213">
        <v>4.1075657037116686</v>
      </c>
      <c r="G213">
        <v>4.5403101802340133</v>
      </c>
      <c r="H213">
        <v>108.13295437683088</v>
      </c>
      <c r="I213">
        <v>72.487433877319276</v>
      </c>
      <c r="J213">
        <v>71.157147162540369</v>
      </c>
      <c r="K213">
        <v>102.67087347244086</v>
      </c>
      <c r="L213">
        <v>107.69964537022602</v>
      </c>
      <c r="M213">
        <v>97.43831938759746</v>
      </c>
      <c r="N213">
        <v>5.8290689599958627</v>
      </c>
      <c r="O213">
        <v>79.836184902491979</v>
      </c>
      <c r="P213">
        <v>113.4407851927794</v>
      </c>
      <c r="Q213">
        <v>72.466714722919804</v>
      </c>
      <c r="R213">
        <v>71.870431354301743</v>
      </c>
      <c r="S213">
        <v>87.640583412380693</v>
      </c>
      <c r="T213">
        <v>90.704606985074051</v>
      </c>
      <c r="U213">
        <v>91.219468590620238</v>
      </c>
      <c r="V213">
        <v>92.866006757446598</v>
      </c>
      <c r="W213">
        <v>84.741731896900802</v>
      </c>
      <c r="X213">
        <v>148.02296125685803</v>
      </c>
      <c r="Y213">
        <v>52.474584162804213</v>
      </c>
      <c r="Z213">
        <v>53.034804830957491</v>
      </c>
      <c r="AA213">
        <v>91.339024895438584</v>
      </c>
      <c r="AB213">
        <v>198.94102472710648</v>
      </c>
      <c r="AC213">
        <v>145.41041427397141</v>
      </c>
      <c r="AD213">
        <v>58.122424242424245</v>
      </c>
      <c r="AE213">
        <v>126.57530869948765</v>
      </c>
      <c r="AF213">
        <v>96.442394729063238</v>
      </c>
      <c r="AG213">
        <v>-32.843350899999997</v>
      </c>
      <c r="AH213">
        <v>822.12701330000004</v>
      </c>
      <c r="AI213">
        <v>789.28366240000003</v>
      </c>
    </row>
    <row r="214" spans="1:35">
      <c r="A214" t="s">
        <v>320</v>
      </c>
      <c r="B214">
        <v>110.28751793638757</v>
      </c>
      <c r="C214">
        <v>113.03326362223861</v>
      </c>
      <c r="D214">
        <v>94.033125524163651</v>
      </c>
      <c r="E214">
        <v>101.55054910834632</v>
      </c>
      <c r="F214">
        <v>4.1165199651838531</v>
      </c>
      <c r="G214">
        <v>4.6084022966453126</v>
      </c>
      <c r="H214">
        <v>112.95206304329328</v>
      </c>
      <c r="I214">
        <v>73.213431895633008</v>
      </c>
      <c r="J214">
        <v>71.636893990301203</v>
      </c>
      <c r="K214">
        <v>105.80390505074175</v>
      </c>
      <c r="L214">
        <v>111.44892234981046</v>
      </c>
      <c r="M214">
        <v>97.567653752114879</v>
      </c>
      <c r="N214">
        <v>5.7833464027678385</v>
      </c>
      <c r="O214">
        <v>80.467355673331042</v>
      </c>
      <c r="P214">
        <v>115.55068704257344</v>
      </c>
      <c r="Q214">
        <v>75.031370776182143</v>
      </c>
      <c r="R214">
        <v>78.339690178181456</v>
      </c>
      <c r="S214">
        <v>88.072285675031807</v>
      </c>
      <c r="T214">
        <v>91.053313090154859</v>
      </c>
      <c r="U214">
        <v>91.390669634228615</v>
      </c>
      <c r="V214">
        <v>93.01689173788364</v>
      </c>
      <c r="W214">
        <v>84.915473349133563</v>
      </c>
      <c r="X214">
        <v>151.44388105203524</v>
      </c>
      <c r="Y214">
        <v>52.613061341177151</v>
      </c>
      <c r="Z214">
        <v>52.918319467074653</v>
      </c>
      <c r="AA214">
        <v>92.649420084345167</v>
      </c>
      <c r="AB214">
        <v>188.89896044124868</v>
      </c>
      <c r="AC214">
        <v>148.67678199130953</v>
      </c>
      <c r="AD214">
        <v>60.978571428571435</v>
      </c>
      <c r="AE214">
        <v>131.14668269137567</v>
      </c>
      <c r="AF214">
        <v>100.08070635496365</v>
      </c>
      <c r="AG214">
        <v>-37.401506699999999</v>
      </c>
      <c r="AH214">
        <v>841.74168940000004</v>
      </c>
      <c r="AI214">
        <v>804.34018270000001</v>
      </c>
    </row>
    <row r="215" spans="1:35">
      <c r="A215" t="s">
        <v>321</v>
      </c>
      <c r="B215">
        <v>109.93192423969994</v>
      </c>
      <c r="C215">
        <v>112.68682872985217</v>
      </c>
      <c r="D215">
        <v>94.411667516343329</v>
      </c>
      <c r="E215">
        <v>101.47210235950226</v>
      </c>
      <c r="F215">
        <v>4.3140535022003714</v>
      </c>
      <c r="G215">
        <v>4.7230360304663801</v>
      </c>
      <c r="H215">
        <v>114.67487274644338</v>
      </c>
      <c r="I215">
        <v>73.887587647301103</v>
      </c>
      <c r="J215">
        <v>72.063408036101634</v>
      </c>
      <c r="K215">
        <v>106.38452422883297</v>
      </c>
      <c r="L215">
        <v>113.00157712539128</v>
      </c>
      <c r="M215">
        <v>97.752085160489443</v>
      </c>
      <c r="N215">
        <v>5.7566493794228393</v>
      </c>
      <c r="O215">
        <v>80.922460747878688</v>
      </c>
      <c r="P215">
        <v>110.94954674900173</v>
      </c>
      <c r="Q215">
        <v>75.243018705821669</v>
      </c>
      <c r="R215">
        <v>78.935069634987258</v>
      </c>
      <c r="S215">
        <v>88.207955126098213</v>
      </c>
      <c r="T215">
        <v>91.179548790436812</v>
      </c>
      <c r="U215">
        <v>91.539998960396261</v>
      </c>
      <c r="V215">
        <v>93.179541929468286</v>
      </c>
      <c r="W215">
        <v>86.566511310100225</v>
      </c>
      <c r="X215">
        <v>148.67777809474364</v>
      </c>
      <c r="Y215">
        <v>51.962841409819376</v>
      </c>
      <c r="Z215">
        <v>52.287182686526648</v>
      </c>
      <c r="AA215">
        <v>93.550058234778064</v>
      </c>
      <c r="AB215">
        <v>186.64016519215451</v>
      </c>
      <c r="AC215">
        <v>136.11746036849371</v>
      </c>
      <c r="AD215">
        <v>53.849275362318856</v>
      </c>
      <c r="AE215">
        <v>116.85388827608448</v>
      </c>
      <c r="AF215">
        <v>103.56778629439589</v>
      </c>
      <c r="AG215">
        <v>-33.048132899999999</v>
      </c>
      <c r="AH215">
        <v>830.96596409999995</v>
      </c>
      <c r="AI215">
        <v>797.91783120000002</v>
      </c>
    </row>
    <row r="216" spans="1:35">
      <c r="A216" t="s">
        <v>322</v>
      </c>
      <c r="B216">
        <v>110.13307380981409</v>
      </c>
      <c r="C216">
        <v>112.94602678616796</v>
      </c>
      <c r="D216">
        <v>94.853839673481161</v>
      </c>
      <c r="E216">
        <v>102.06238567710717</v>
      </c>
      <c r="F216">
        <v>4.3181235821644428</v>
      </c>
      <c r="G216">
        <v>4.732566993987966</v>
      </c>
      <c r="H216">
        <v>113.76910121983266</v>
      </c>
      <c r="I216">
        <v>74.343201337917932</v>
      </c>
      <c r="J216">
        <v>72.257508774879284</v>
      </c>
      <c r="K216">
        <v>105.78607589123546</v>
      </c>
      <c r="L216">
        <v>111.50298798315492</v>
      </c>
      <c r="M216">
        <v>97.897881978043884</v>
      </c>
      <c r="N216">
        <v>5.7382390091368265</v>
      </c>
      <c r="O216">
        <v>81.435754076259087</v>
      </c>
      <c r="P216">
        <v>116.77526570567129</v>
      </c>
      <c r="Q216">
        <v>74.795131489874336</v>
      </c>
      <c r="R216">
        <v>79.931827841417231</v>
      </c>
      <c r="S216">
        <v>88.473761021763593</v>
      </c>
      <c r="T216">
        <v>91.408704313356182</v>
      </c>
      <c r="U216">
        <v>91.695258391567407</v>
      </c>
      <c r="V216">
        <v>93.346842616813674</v>
      </c>
      <c r="W216">
        <v>88.488039675689009</v>
      </c>
      <c r="X216">
        <v>154.1996192039862</v>
      </c>
      <c r="Y216">
        <v>53.219488622523684</v>
      </c>
      <c r="Z216">
        <v>53.215182419710786</v>
      </c>
      <c r="AA216">
        <v>96.503997096689574</v>
      </c>
      <c r="AB216">
        <v>203.42564349265822</v>
      </c>
      <c r="AC216">
        <v>146.09713553485093</v>
      </c>
      <c r="AD216">
        <v>57.565333333333342</v>
      </c>
      <c r="AE216">
        <v>124.71766602636986</v>
      </c>
      <c r="AF216">
        <v>106.02663515136942</v>
      </c>
      <c r="AG216">
        <v>-39.279398499999999</v>
      </c>
      <c r="AH216">
        <v>845.92062039999996</v>
      </c>
      <c r="AI216">
        <v>806.64122190000001</v>
      </c>
    </row>
    <row r="217" spans="1:35">
      <c r="A217" t="s">
        <v>323</v>
      </c>
      <c r="B217">
        <v>109.54698448150457</v>
      </c>
      <c r="C217">
        <v>112.30165892729816</v>
      </c>
      <c r="D217">
        <v>95.520222312340962</v>
      </c>
      <c r="E217">
        <v>102.4970940160668</v>
      </c>
      <c r="F217">
        <v>4.2076149486794279</v>
      </c>
      <c r="G217">
        <v>4.8119901464473465</v>
      </c>
      <c r="H217">
        <v>116.303152709842</v>
      </c>
      <c r="I217">
        <v>75.147611214911819</v>
      </c>
      <c r="J217">
        <v>72.854328979148562</v>
      </c>
      <c r="K217">
        <v>108.32594448563162</v>
      </c>
      <c r="L217">
        <v>113.52593913263493</v>
      </c>
      <c r="M217">
        <v>97.946766886009812</v>
      </c>
      <c r="N217">
        <v>5.6971737092394319</v>
      </c>
      <c r="O217">
        <v>82.721577144040808</v>
      </c>
      <c r="P217">
        <v>119.50174028200719</v>
      </c>
      <c r="Q217">
        <v>73.74834477380341</v>
      </c>
      <c r="R217">
        <v>82.154727447802316</v>
      </c>
      <c r="S217">
        <v>88.763855704283742</v>
      </c>
      <c r="T217">
        <v>91.694105841841662</v>
      </c>
      <c r="U217">
        <v>91.834112336111886</v>
      </c>
      <c r="V217">
        <v>93.46603078436128</v>
      </c>
      <c r="W217">
        <v>88.275689522163901</v>
      </c>
      <c r="X217">
        <v>166.32276122034966</v>
      </c>
      <c r="Y217">
        <v>52.613338833239361</v>
      </c>
      <c r="Z217">
        <v>52.72727782111216</v>
      </c>
      <c r="AA217">
        <v>98.737041810782529</v>
      </c>
      <c r="AB217">
        <v>192.3106622663465</v>
      </c>
      <c r="AC217">
        <v>149.53734374422177</v>
      </c>
      <c r="AD217">
        <v>60.599848484848479</v>
      </c>
      <c r="AE217">
        <v>130.38163877977058</v>
      </c>
      <c r="AF217">
        <v>103.82292650801969</v>
      </c>
      <c r="AG217">
        <v>-38.944168099999999</v>
      </c>
      <c r="AH217">
        <v>858.16954429999998</v>
      </c>
      <c r="AI217">
        <v>819.22537620000003</v>
      </c>
    </row>
    <row r="218" spans="1:35">
      <c r="A218" t="s">
        <v>324</v>
      </c>
      <c r="B218">
        <v>109.33314598825132</v>
      </c>
      <c r="C218">
        <v>111.90078614304518</v>
      </c>
      <c r="D218">
        <v>95.695600517472528</v>
      </c>
      <c r="E218">
        <v>102.4866824362</v>
      </c>
      <c r="F218">
        <v>4.3493775825083709</v>
      </c>
      <c r="G218">
        <v>4.8210472048682123</v>
      </c>
      <c r="H218">
        <v>122.2387293060938</v>
      </c>
      <c r="I218">
        <v>75.741485213426245</v>
      </c>
      <c r="J218">
        <v>73.116590114279347</v>
      </c>
      <c r="K218">
        <v>113.1520128057517</v>
      </c>
      <c r="L218">
        <v>117.24022945150681</v>
      </c>
      <c r="M218">
        <v>98.058073754470257</v>
      </c>
      <c r="N218">
        <v>5.6350994322068804</v>
      </c>
      <c r="O218">
        <v>82.92492233169807</v>
      </c>
      <c r="P218">
        <v>126.33975289939941</v>
      </c>
      <c r="Q218">
        <v>74.408121447142761</v>
      </c>
      <c r="R218">
        <v>81.838534076091278</v>
      </c>
      <c r="S218">
        <v>89.041182613749058</v>
      </c>
      <c r="T218">
        <v>91.927032138729686</v>
      </c>
      <c r="U218">
        <v>92.055444384400573</v>
      </c>
      <c r="V218">
        <v>93.647945683650789</v>
      </c>
      <c r="W218">
        <v>92.066142544042066</v>
      </c>
      <c r="X218">
        <v>183.18135595868421</v>
      </c>
      <c r="Y218">
        <v>52.513662830545954</v>
      </c>
      <c r="Z218">
        <v>52.843221613570059</v>
      </c>
      <c r="AA218">
        <v>104.3465836174254</v>
      </c>
      <c r="AB218">
        <v>196.1757960556275</v>
      </c>
      <c r="AC218">
        <v>158.15230786359257</v>
      </c>
      <c r="AD218">
        <v>65.109206349206346</v>
      </c>
      <c r="AE218">
        <v>138.95886089691314</v>
      </c>
      <c r="AF218">
        <v>105.82757954181426</v>
      </c>
      <c r="AG218">
        <v>-36.116584500000002</v>
      </c>
      <c r="AH218">
        <v>868.29302529999995</v>
      </c>
      <c r="AI218">
        <v>832.17644080000002</v>
      </c>
    </row>
    <row r="219" spans="1:35">
      <c r="A219" t="s">
        <v>325</v>
      </c>
      <c r="B219">
        <v>109.66529008652826</v>
      </c>
      <c r="C219">
        <v>112.44904237509469</v>
      </c>
      <c r="D219">
        <v>96.712043510502838</v>
      </c>
      <c r="E219">
        <v>103.44810976475176</v>
      </c>
      <c r="F219">
        <v>4.4271388756416075</v>
      </c>
      <c r="G219">
        <v>4.8432578045498031</v>
      </c>
      <c r="H219">
        <v>126.64646642337287</v>
      </c>
      <c r="I219">
        <v>76.3963773531746</v>
      </c>
      <c r="J219">
        <v>73.702349914204319</v>
      </c>
      <c r="K219">
        <v>116.86530540031742</v>
      </c>
      <c r="L219">
        <v>121.29580592190075</v>
      </c>
      <c r="M219">
        <v>98.130968616066951</v>
      </c>
      <c r="N219">
        <v>5.5955361943297559</v>
      </c>
      <c r="O219">
        <v>83.45078329538886</v>
      </c>
      <c r="P219">
        <v>126.74981285228043</v>
      </c>
      <c r="Q219">
        <v>75.77821393816734</v>
      </c>
      <c r="R219">
        <v>80.782968701108459</v>
      </c>
      <c r="S219">
        <v>89.375905110891267</v>
      </c>
      <c r="T219">
        <v>92.20255431345339</v>
      </c>
      <c r="U219">
        <v>92.248313757641327</v>
      </c>
      <c r="V219">
        <v>93.794848301871141</v>
      </c>
      <c r="W219">
        <v>91.341058902596771</v>
      </c>
      <c r="X219">
        <v>186.78185060478498</v>
      </c>
      <c r="Y219">
        <v>52.458505047886618</v>
      </c>
      <c r="Z219">
        <v>52.852458813249662</v>
      </c>
      <c r="AA219">
        <v>104.43034082278045</v>
      </c>
      <c r="AB219">
        <v>198.9318803065843</v>
      </c>
      <c r="AC219">
        <v>159.03435636698887</v>
      </c>
      <c r="AD219">
        <v>65.176231884057984</v>
      </c>
      <c r="AE219">
        <v>139.33258266016099</v>
      </c>
      <c r="AF219">
        <v>107.01553348262834</v>
      </c>
      <c r="AG219">
        <v>-40.121732600000001</v>
      </c>
      <c r="AH219">
        <v>880.52975530000003</v>
      </c>
      <c r="AI219">
        <v>840.40802269999995</v>
      </c>
    </row>
    <row r="220" spans="1:35">
      <c r="A220" t="s">
        <v>326</v>
      </c>
      <c r="B220">
        <v>109.13341374427921</v>
      </c>
      <c r="C220">
        <v>111.69664441683354</v>
      </c>
      <c r="D220">
        <v>96.893285057471573</v>
      </c>
      <c r="E220">
        <v>103.45884882704108</v>
      </c>
      <c r="F220">
        <v>4.7109483536603269</v>
      </c>
      <c r="G220">
        <v>4.9083379489207601</v>
      </c>
      <c r="H220">
        <v>126.08265707232394</v>
      </c>
      <c r="I220">
        <v>77.019517822636956</v>
      </c>
      <c r="J220">
        <v>73.965538399650455</v>
      </c>
      <c r="K220">
        <v>117.51136075929934</v>
      </c>
      <c r="L220">
        <v>121.8289992490994</v>
      </c>
      <c r="M220">
        <v>98.316628532654391</v>
      </c>
      <c r="N220">
        <v>5.5932030021650396</v>
      </c>
      <c r="O220">
        <v>83.916823551209262</v>
      </c>
      <c r="P220">
        <v>127.19297818825477</v>
      </c>
      <c r="Q220">
        <v>80.286827585080914</v>
      </c>
      <c r="R220">
        <v>88.799579752867288</v>
      </c>
      <c r="S220">
        <v>89.679210132725203</v>
      </c>
      <c r="T220">
        <v>92.399636222100455</v>
      </c>
      <c r="U220">
        <v>92.403070297602909</v>
      </c>
      <c r="V220">
        <v>93.927504542136191</v>
      </c>
      <c r="W220">
        <v>91.487109167393157</v>
      </c>
      <c r="X220">
        <v>174.08028732330342</v>
      </c>
      <c r="Y220">
        <v>52.979039597111885</v>
      </c>
      <c r="Z220">
        <v>53.368844618391989</v>
      </c>
      <c r="AA220">
        <v>101.82614234448695</v>
      </c>
      <c r="AB220">
        <v>196.21282404753592</v>
      </c>
      <c r="AC220">
        <v>163.88545525698464</v>
      </c>
      <c r="AD220">
        <v>68.188412698412705</v>
      </c>
      <c r="AE220">
        <v>146.30062105204723</v>
      </c>
      <c r="AF220">
        <v>103.69822436084831</v>
      </c>
      <c r="AG220">
        <v>-39.787433299999996</v>
      </c>
      <c r="AH220">
        <v>882.78914320000001</v>
      </c>
      <c r="AI220">
        <v>843.00170990000004</v>
      </c>
    </row>
    <row r="221" spans="1:35">
      <c r="A221" t="s">
        <v>327</v>
      </c>
      <c r="B221">
        <v>110.04905041594736</v>
      </c>
      <c r="C221">
        <v>112.90419884748414</v>
      </c>
      <c r="D221">
        <v>97.229658741521121</v>
      </c>
      <c r="E221">
        <v>103.70660876341049</v>
      </c>
      <c r="F221">
        <v>4.6692745295833742</v>
      </c>
      <c r="G221">
        <v>4.9281399056103012</v>
      </c>
      <c r="H221">
        <v>125.77271250215531</v>
      </c>
      <c r="I221">
        <v>77.690065812598149</v>
      </c>
      <c r="J221">
        <v>74.392429291802145</v>
      </c>
      <c r="K221">
        <v>117.13640993531547</v>
      </c>
      <c r="L221">
        <v>120.34282224282053</v>
      </c>
      <c r="M221">
        <v>98.361081043677373</v>
      </c>
      <c r="N221">
        <v>5.5398856263261171</v>
      </c>
      <c r="O221">
        <v>84.192095552774433</v>
      </c>
      <c r="P221">
        <v>129.71540150618918</v>
      </c>
      <c r="Q221">
        <v>81.11802625853241</v>
      </c>
      <c r="R221">
        <v>97.306782824614686</v>
      </c>
      <c r="S221">
        <v>90.015724843619822</v>
      </c>
      <c r="T221">
        <v>92.621819546631073</v>
      </c>
      <c r="U221">
        <v>92.555135013931661</v>
      </c>
      <c r="V221">
        <v>94.063951774223611</v>
      </c>
      <c r="W221">
        <v>93.301805424902824</v>
      </c>
      <c r="X221">
        <v>167.72079292029107</v>
      </c>
      <c r="Y221">
        <v>52.009912689614275</v>
      </c>
      <c r="Z221">
        <v>52.450125653139089</v>
      </c>
      <c r="AA221">
        <v>101.55973331560905</v>
      </c>
      <c r="AB221">
        <v>179.70519168812478</v>
      </c>
      <c r="AC221">
        <v>170.44185299585908</v>
      </c>
      <c r="AD221">
        <v>73.560606060606062</v>
      </c>
      <c r="AE221">
        <v>155.93769856499785</v>
      </c>
      <c r="AF221">
        <v>102.02420684882102</v>
      </c>
      <c r="AG221">
        <v>-51.740760600000002</v>
      </c>
      <c r="AH221">
        <v>906.20332770000005</v>
      </c>
      <c r="AI221">
        <v>854.4625671</v>
      </c>
    </row>
    <row r="222" spans="1:35">
      <c r="A222" t="s">
        <v>328</v>
      </c>
      <c r="B222">
        <v>108.92638282177137</v>
      </c>
      <c r="C222">
        <v>111.42202170440189</v>
      </c>
      <c r="D222">
        <v>97.987320199794354</v>
      </c>
      <c r="E222">
        <v>104.50770103389775</v>
      </c>
      <c r="F222">
        <v>4.4442537782409293</v>
      </c>
      <c r="G222">
        <v>4.9597585967434217</v>
      </c>
      <c r="H222">
        <v>125.74617962386736</v>
      </c>
      <c r="I222">
        <v>78.485917386010868</v>
      </c>
      <c r="J222">
        <v>74.628986950484403</v>
      </c>
      <c r="K222">
        <v>116.25714763824206</v>
      </c>
      <c r="L222">
        <v>119.71380116088572</v>
      </c>
      <c r="M222">
        <v>98.437257644277096</v>
      </c>
      <c r="N222">
        <v>5.5183025484653081</v>
      </c>
      <c r="O222">
        <v>84.801623614202512</v>
      </c>
      <c r="P222">
        <v>125.44881320444145</v>
      </c>
      <c r="Q222">
        <v>78.332378452860681</v>
      </c>
      <c r="R222">
        <v>99.844697083343576</v>
      </c>
      <c r="S222">
        <v>90.339128070262774</v>
      </c>
      <c r="T222">
        <v>92.80911470524012</v>
      </c>
      <c r="U222">
        <v>92.747175974222486</v>
      </c>
      <c r="V222">
        <v>94.230705085767184</v>
      </c>
      <c r="W222">
        <v>92.760099418417028</v>
      </c>
      <c r="X222">
        <v>152.09913826163279</v>
      </c>
      <c r="Y222">
        <v>52.119610733523054</v>
      </c>
      <c r="Z222">
        <v>52.805305910321302</v>
      </c>
      <c r="AA222">
        <v>97.828270610738812</v>
      </c>
      <c r="AB222">
        <v>181.52496941843108</v>
      </c>
      <c r="AC222">
        <v>165.40121925094897</v>
      </c>
      <c r="AD222">
        <v>70.126956521739118</v>
      </c>
      <c r="AE222">
        <v>148.69930330750398</v>
      </c>
      <c r="AF222">
        <v>97.650054098002215</v>
      </c>
      <c r="AG222">
        <v>-39.141038199999997</v>
      </c>
      <c r="AH222">
        <v>908.30417120000004</v>
      </c>
      <c r="AI222">
        <v>869.16313300000002</v>
      </c>
    </row>
    <row r="223" spans="1:35">
      <c r="A223" t="s">
        <v>329</v>
      </c>
      <c r="B223">
        <v>107.94932452512431</v>
      </c>
      <c r="C223">
        <v>110.09079670766531</v>
      </c>
      <c r="D223">
        <v>97.795183129428693</v>
      </c>
      <c r="E223">
        <v>104.21889288431569</v>
      </c>
      <c r="F223">
        <v>4.356434146753509</v>
      </c>
      <c r="G223">
        <v>4.8307419394878144</v>
      </c>
      <c r="H223">
        <v>130.03812348535476</v>
      </c>
      <c r="I223">
        <v>79.115457651397492</v>
      </c>
      <c r="J223">
        <v>74.944951910434582</v>
      </c>
      <c r="K223">
        <v>123.66407000960898</v>
      </c>
      <c r="L223">
        <v>124.6027012637321</v>
      </c>
      <c r="M223">
        <v>98.56338804660048</v>
      </c>
      <c r="N223">
        <v>5.4972939310032851</v>
      </c>
      <c r="O223">
        <v>85.519675494318108</v>
      </c>
      <c r="P223">
        <v>131.7847398905821</v>
      </c>
      <c r="Q223">
        <v>82.205541639713175</v>
      </c>
      <c r="R223">
        <v>100.50999980185404</v>
      </c>
      <c r="S223">
        <v>90.670327702341012</v>
      </c>
      <c r="T223">
        <v>93.119824634198139</v>
      </c>
      <c r="U223">
        <v>92.959483682894003</v>
      </c>
      <c r="V223">
        <v>94.389163235103808</v>
      </c>
      <c r="W223">
        <v>96.640299665692027</v>
      </c>
      <c r="X223">
        <v>150.84393579745043</v>
      </c>
      <c r="Y223">
        <v>52.194177349161102</v>
      </c>
      <c r="Z223">
        <v>53.027846173799048</v>
      </c>
      <c r="AA223">
        <v>100.89315342409172</v>
      </c>
      <c r="AB223">
        <v>179.12544187453204</v>
      </c>
      <c r="AC223">
        <v>176.46862695554546</v>
      </c>
      <c r="AD223">
        <v>76.665166666666664</v>
      </c>
      <c r="AE223">
        <v>161.05692296456365</v>
      </c>
      <c r="AF223">
        <v>103.79787513809367</v>
      </c>
      <c r="AG223">
        <v>-35.919962099999999</v>
      </c>
      <c r="AH223">
        <v>909.16404809999995</v>
      </c>
      <c r="AI223">
        <v>873.24408600000004</v>
      </c>
    </row>
    <row r="224" spans="1:35">
      <c r="A224" t="s">
        <v>330</v>
      </c>
      <c r="B224">
        <v>107.42441561718485</v>
      </c>
      <c r="C224">
        <v>109.1926029813896</v>
      </c>
      <c r="D224">
        <v>98.766980725624222</v>
      </c>
      <c r="E224">
        <v>104.97218077737138</v>
      </c>
      <c r="F224">
        <v>4.2960386686097154</v>
      </c>
      <c r="G224">
        <v>4.7677201007736825</v>
      </c>
      <c r="H224">
        <v>133.72499312572813</v>
      </c>
      <c r="I224">
        <v>79.767941308657882</v>
      </c>
      <c r="J224">
        <v>75.189182099247517</v>
      </c>
      <c r="K224">
        <v>129.81509331879474</v>
      </c>
      <c r="L224">
        <v>129.30234547122487</v>
      </c>
      <c r="M224">
        <v>98.687228033674117</v>
      </c>
      <c r="N224">
        <v>5.4546201096861529</v>
      </c>
      <c r="O224">
        <v>86.325316859920491</v>
      </c>
      <c r="P224">
        <v>139.38835759707422</v>
      </c>
      <c r="Q224">
        <v>84.079474628903583</v>
      </c>
      <c r="R224">
        <v>112.17889368597974</v>
      </c>
      <c r="S224">
        <v>91.098129383201154</v>
      </c>
      <c r="T224">
        <v>93.503434863683239</v>
      </c>
      <c r="U224">
        <v>93.225272723179842</v>
      </c>
      <c r="V224">
        <v>94.598275848585985</v>
      </c>
      <c r="W224">
        <v>99.50507120497798</v>
      </c>
      <c r="X224">
        <v>155.76006856199734</v>
      </c>
      <c r="Y224">
        <v>51.597590143296962</v>
      </c>
      <c r="Z224">
        <v>52.82763018912253</v>
      </c>
      <c r="AA224">
        <v>104.18451079937019</v>
      </c>
      <c r="AB224">
        <v>196.67118805545718</v>
      </c>
      <c r="AC224">
        <v>190.30981856727198</v>
      </c>
      <c r="AD224">
        <v>81.958550724637689</v>
      </c>
      <c r="AE224">
        <v>170.5095510315692</v>
      </c>
      <c r="AF224">
        <v>103.91533407050261</v>
      </c>
      <c r="AG224">
        <v>-42.810427099999998</v>
      </c>
      <c r="AH224">
        <v>956.27516149999997</v>
      </c>
      <c r="AI224">
        <v>913.4647344</v>
      </c>
    </row>
    <row r="225" spans="1:35">
      <c r="A225" t="s">
        <v>331</v>
      </c>
      <c r="B225">
        <v>105.80586053561115</v>
      </c>
      <c r="C225">
        <v>107.16528663605659</v>
      </c>
      <c r="D225">
        <v>99.239978571893474</v>
      </c>
      <c r="E225">
        <v>105.06098697722639</v>
      </c>
      <c r="F225">
        <v>4.1676548391699226</v>
      </c>
      <c r="G225">
        <v>4.7719541329355915</v>
      </c>
      <c r="H225">
        <v>127.12153923763358</v>
      </c>
      <c r="I225">
        <v>80.36821412417973</v>
      </c>
      <c r="J225">
        <v>75.640094550860979</v>
      </c>
      <c r="K225">
        <v>124.07207737222039</v>
      </c>
      <c r="L225">
        <v>123.1861739621727</v>
      </c>
      <c r="M225">
        <v>98.828597354679999</v>
      </c>
      <c r="N225">
        <v>5.3997822480705198</v>
      </c>
      <c r="O225">
        <v>87.834192341331757</v>
      </c>
      <c r="P225">
        <v>147.67128109344628</v>
      </c>
      <c r="Q225">
        <v>81.494526564555088</v>
      </c>
      <c r="R225">
        <v>134.11668344202289</v>
      </c>
      <c r="S225">
        <v>91.719813902556822</v>
      </c>
      <c r="T225">
        <v>94.108312319552226</v>
      </c>
      <c r="U225">
        <v>93.503208770721344</v>
      </c>
      <c r="V225">
        <v>94.826780805017194</v>
      </c>
      <c r="W225">
        <v>100.73945632078933</v>
      </c>
      <c r="X225">
        <v>149.16057138867961</v>
      </c>
      <c r="Y225">
        <v>51.78481543814533</v>
      </c>
      <c r="Z225">
        <v>52.631842221412732</v>
      </c>
      <c r="AA225">
        <v>104.92802678075215</v>
      </c>
      <c r="AB225">
        <v>203.23066660963971</v>
      </c>
      <c r="AC225">
        <v>209.49830155318338</v>
      </c>
      <c r="AD225">
        <v>91.388030303030291</v>
      </c>
      <c r="AE225">
        <v>186.78790244265022</v>
      </c>
      <c r="AF225">
        <v>106.93441211700718</v>
      </c>
      <c r="AG225">
        <v>-44.09055</v>
      </c>
      <c r="AH225">
        <v>988.2862781</v>
      </c>
      <c r="AI225">
        <v>944.1957281</v>
      </c>
    </row>
    <row r="226" spans="1:35">
      <c r="A226" t="s">
        <v>332</v>
      </c>
      <c r="B226">
        <v>106.46654663674734</v>
      </c>
      <c r="C226">
        <v>107.80136352689595</v>
      </c>
      <c r="D226">
        <v>99.592958052380126</v>
      </c>
      <c r="E226">
        <v>105.32301472002462</v>
      </c>
      <c r="F226">
        <v>4.1949543557866695</v>
      </c>
      <c r="G226">
        <v>4.6805401332924736</v>
      </c>
      <c r="H226">
        <v>127.2558588064784</v>
      </c>
      <c r="I226">
        <v>80.838314150139439</v>
      </c>
      <c r="J226">
        <v>76.003477310295736</v>
      </c>
      <c r="K226">
        <v>122.87125755389876</v>
      </c>
      <c r="L226">
        <v>122.43356084211942</v>
      </c>
      <c r="M226">
        <v>98.86832107521991</v>
      </c>
      <c r="N226">
        <v>5.4050026232396053</v>
      </c>
      <c r="O226">
        <v>87.832924337337943</v>
      </c>
      <c r="P226">
        <v>147.63823704746554</v>
      </c>
      <c r="Q226">
        <v>83.716224149965555</v>
      </c>
      <c r="R226">
        <v>144.07092853124075</v>
      </c>
      <c r="S226">
        <v>92.13486742329178</v>
      </c>
      <c r="T226">
        <v>94.434255995035727</v>
      </c>
      <c r="U226">
        <v>93.816921019458789</v>
      </c>
      <c r="V226">
        <v>95.057042507754886</v>
      </c>
      <c r="W226">
        <v>105.86602389084958</v>
      </c>
      <c r="X226">
        <v>139.15181692825504</v>
      </c>
      <c r="Y226">
        <v>51.389908508440733</v>
      </c>
      <c r="Z226">
        <v>52.392019641040221</v>
      </c>
      <c r="AA226">
        <v>105.86023120465512</v>
      </c>
      <c r="AB226">
        <v>206.93828167458997</v>
      </c>
      <c r="AC226">
        <v>208.06905036631323</v>
      </c>
      <c r="AD226">
        <v>89.746031746031733</v>
      </c>
      <c r="AE226">
        <v>184.76266474672263</v>
      </c>
      <c r="AF226">
        <v>106.23043932972784</v>
      </c>
      <c r="AG226">
        <v>-54.859176499999997</v>
      </c>
      <c r="AH226">
        <v>984.94349509999995</v>
      </c>
      <c r="AI226">
        <v>930.08431859999996</v>
      </c>
    </row>
    <row r="227" spans="1:35">
      <c r="A227" t="s">
        <v>333</v>
      </c>
      <c r="B227">
        <v>105.53970092302558</v>
      </c>
      <c r="C227">
        <v>106.5484008361869</v>
      </c>
      <c r="D227">
        <v>100.48185180047575</v>
      </c>
      <c r="E227">
        <v>105.96841060182307</v>
      </c>
      <c r="F227">
        <v>4.0050805767857822</v>
      </c>
      <c r="G227">
        <v>4.4453917025044865</v>
      </c>
      <c r="H227">
        <v>114.50477885297869</v>
      </c>
      <c r="I227">
        <v>81.730449651585175</v>
      </c>
      <c r="J227">
        <v>76.250497253190062</v>
      </c>
      <c r="K227">
        <v>111.0662300486502</v>
      </c>
      <c r="L227">
        <v>109.71782011846692</v>
      </c>
      <c r="M227">
        <v>98.972763216085042</v>
      </c>
      <c r="N227">
        <v>5.4245431417496466</v>
      </c>
      <c r="O227">
        <v>89.025729961806746</v>
      </c>
      <c r="P227">
        <v>154.44746791166693</v>
      </c>
      <c r="Q227">
        <v>89.020709656860532</v>
      </c>
      <c r="R227">
        <v>147.73532500006831</v>
      </c>
      <c r="S227">
        <v>92.531353340321488</v>
      </c>
      <c r="T227">
        <v>94.76407019421498</v>
      </c>
      <c r="U227">
        <v>94.044350212451462</v>
      </c>
      <c r="V227">
        <v>95.270565286858442</v>
      </c>
      <c r="W227">
        <v>108.70679203024839</v>
      </c>
      <c r="X227">
        <v>156.90459660640425</v>
      </c>
      <c r="Y227">
        <v>51.207141798813396</v>
      </c>
      <c r="Z227">
        <v>52.16521894145145</v>
      </c>
      <c r="AA227">
        <v>112.77809454887336</v>
      </c>
      <c r="AB227">
        <v>232.44914708849015</v>
      </c>
      <c r="AC227">
        <v>214.72114713596352</v>
      </c>
      <c r="AD227">
        <v>90.754927536231904</v>
      </c>
      <c r="AE227">
        <v>185.81828713855029</v>
      </c>
      <c r="AF227">
        <v>110.46637390068403</v>
      </c>
      <c r="AG227">
        <v>-55.047523900000002</v>
      </c>
      <c r="AH227">
        <v>1041.7425522000001</v>
      </c>
      <c r="AI227">
        <v>986.69502829999999</v>
      </c>
    </row>
    <row r="228" spans="1:35">
      <c r="A228" t="s">
        <v>334</v>
      </c>
      <c r="B228">
        <v>103.25937407311773</v>
      </c>
      <c r="C228">
        <v>103.87594523232305</v>
      </c>
      <c r="D228">
        <v>100.77826420401507</v>
      </c>
      <c r="E228">
        <v>106.01132388846837</v>
      </c>
      <c r="F228">
        <v>3.9020767063189514</v>
      </c>
      <c r="G228">
        <v>4.4468506729051471</v>
      </c>
      <c r="H228">
        <v>114.68560481703909</v>
      </c>
      <c r="I228">
        <v>82.465048718073731</v>
      </c>
      <c r="J228">
        <v>76.346043285190717</v>
      </c>
      <c r="K228">
        <v>112.64426965238717</v>
      </c>
      <c r="L228">
        <v>109.82790814209412</v>
      </c>
      <c r="M228">
        <v>98.994259623364997</v>
      </c>
      <c r="N228">
        <v>5.4436853793266105</v>
      </c>
      <c r="O228">
        <v>89.80217597368366</v>
      </c>
      <c r="P228">
        <v>161.36855941818695</v>
      </c>
      <c r="Q228">
        <v>102.31145829448857</v>
      </c>
      <c r="R228">
        <v>189.1080014284137</v>
      </c>
      <c r="S228">
        <v>93.116798130828499</v>
      </c>
      <c r="T228">
        <v>95.155008636149873</v>
      </c>
      <c r="U228">
        <v>94.293397274124914</v>
      </c>
      <c r="V228">
        <v>95.441502836701972</v>
      </c>
      <c r="W228">
        <v>113.95282459371958</v>
      </c>
      <c r="X228">
        <v>165.5143281829738</v>
      </c>
      <c r="Y228">
        <v>50.327194551924322</v>
      </c>
      <c r="Z228">
        <v>51.254723551994957</v>
      </c>
      <c r="AA228">
        <v>119.00575175617878</v>
      </c>
      <c r="AB228">
        <v>241.09420561299592</v>
      </c>
      <c r="AC228">
        <v>222.64527356096184</v>
      </c>
      <c r="AD228">
        <v>93.210634920634931</v>
      </c>
      <c r="AE228">
        <v>190.64607823870915</v>
      </c>
      <c r="AF228">
        <v>113.31529977771649</v>
      </c>
      <c r="AG228">
        <v>-57.933014</v>
      </c>
      <c r="AH228">
        <v>1057.5434415</v>
      </c>
      <c r="AI228">
        <v>999.61042750000001</v>
      </c>
    </row>
    <row r="229" spans="1:35">
      <c r="A229" t="s">
        <v>335</v>
      </c>
      <c r="B229">
        <v>101.52569874625273</v>
      </c>
      <c r="C229">
        <v>101.68546419296588</v>
      </c>
      <c r="D229">
        <v>100.20282407170266</v>
      </c>
      <c r="E229">
        <v>105.46876553212574</v>
      </c>
      <c r="F229">
        <v>3.8611127006893349</v>
      </c>
      <c r="G229">
        <v>4.2338797479717085</v>
      </c>
      <c r="H229">
        <v>110.68574200586905</v>
      </c>
      <c r="I229">
        <v>83.007891456276013</v>
      </c>
      <c r="J229">
        <v>76.682012253375021</v>
      </c>
      <c r="K229">
        <v>110.15121691727691</v>
      </c>
      <c r="L229">
        <v>106.13234426450566</v>
      </c>
      <c r="M229">
        <v>99.151415395441077</v>
      </c>
      <c r="N229">
        <v>5.4091852774342479</v>
      </c>
      <c r="O229">
        <v>89.713353161771465</v>
      </c>
      <c r="P229">
        <v>171.38032864418909</v>
      </c>
      <c r="Q229">
        <v>102.70635362519957</v>
      </c>
      <c r="R229">
        <v>186.01329423264454</v>
      </c>
      <c r="S229">
        <v>93.587454395876307</v>
      </c>
      <c r="T229">
        <v>95.517600110023309</v>
      </c>
      <c r="U229">
        <v>94.628041176320849</v>
      </c>
      <c r="V229">
        <v>95.690418870744026</v>
      </c>
      <c r="W229">
        <v>119.45768525581845</v>
      </c>
      <c r="X229">
        <v>174.41412631365205</v>
      </c>
      <c r="Y229">
        <v>50.200335278235329</v>
      </c>
      <c r="Z229">
        <v>51.203906060640797</v>
      </c>
      <c r="AA229">
        <v>124.71585537645734</v>
      </c>
      <c r="AB229">
        <v>252.13182457756537</v>
      </c>
      <c r="AC229">
        <v>238.87929169366538</v>
      </c>
      <c r="AD229">
        <v>101.70555555555555</v>
      </c>
      <c r="AE229">
        <v>202.0515107810248</v>
      </c>
      <c r="AF229">
        <v>114.99088691549456</v>
      </c>
      <c r="AG229">
        <v>-62.982444200000003</v>
      </c>
      <c r="AH229">
        <v>1056.0461558</v>
      </c>
      <c r="AI229">
        <v>993.06371160000003</v>
      </c>
    </row>
    <row r="230" spans="1:35">
      <c r="A230" t="s">
        <v>336</v>
      </c>
      <c r="B230">
        <v>100.2068985342986</v>
      </c>
      <c r="C230">
        <v>100.39988833093972</v>
      </c>
      <c r="D230">
        <v>100.73675432144013</v>
      </c>
      <c r="E230">
        <v>105.82946796983722</v>
      </c>
      <c r="F230">
        <v>4.0227934066998055</v>
      </c>
      <c r="G230">
        <v>4.1631361374892881</v>
      </c>
      <c r="H230">
        <v>117.03687356173404</v>
      </c>
      <c r="I230">
        <v>83.731233018327856</v>
      </c>
      <c r="J230">
        <v>76.773366558019703</v>
      </c>
      <c r="K230">
        <v>116.3394844834144</v>
      </c>
      <c r="L230">
        <v>112.90631762685041</v>
      </c>
      <c r="M230">
        <v>99.268698047967774</v>
      </c>
      <c r="N230">
        <v>5.3921916672269745</v>
      </c>
      <c r="O230">
        <v>90.689780699170612</v>
      </c>
      <c r="P230">
        <v>177.8341085551551</v>
      </c>
      <c r="Q230">
        <v>97.424234609971336</v>
      </c>
      <c r="R230">
        <v>177.86619239434137</v>
      </c>
      <c r="S230">
        <v>94.014391864567813</v>
      </c>
      <c r="T230">
        <v>95.818147300249052</v>
      </c>
      <c r="U230">
        <v>94.894952701612752</v>
      </c>
      <c r="V230">
        <v>95.904298904116331</v>
      </c>
      <c r="W230">
        <v>119.81865853867414</v>
      </c>
      <c r="X230">
        <v>171.54232437222663</v>
      </c>
      <c r="Y230">
        <v>49.265160126994452</v>
      </c>
      <c r="Z230">
        <v>50.673919382987165</v>
      </c>
      <c r="AA230">
        <v>123.9777133281454</v>
      </c>
      <c r="AB230">
        <v>278.70606208243487</v>
      </c>
      <c r="AC230">
        <v>255.73600215522015</v>
      </c>
      <c r="AD230">
        <v>108.75863636363637</v>
      </c>
      <c r="AE230">
        <v>215.49662091567711</v>
      </c>
      <c r="AF230">
        <v>114.39744973533264</v>
      </c>
      <c r="AG230">
        <v>-60.138234400000002</v>
      </c>
      <c r="AH230">
        <v>1097.7950883000001</v>
      </c>
      <c r="AI230">
        <v>1037.6568539</v>
      </c>
    </row>
    <row r="231" spans="1:35">
      <c r="A231" t="s">
        <v>337</v>
      </c>
      <c r="B231">
        <v>98.902337668056049</v>
      </c>
      <c r="C231">
        <v>98.978805605568425</v>
      </c>
      <c r="D231">
        <v>99.996543687287982</v>
      </c>
      <c r="E231">
        <v>104.77234797299843</v>
      </c>
      <c r="F231">
        <v>4.120459719514499</v>
      </c>
      <c r="G231">
        <v>4.1820835423722347</v>
      </c>
      <c r="H231">
        <v>117.0532401632246</v>
      </c>
      <c r="I231">
        <v>84.272898586808736</v>
      </c>
      <c r="J231">
        <v>77.055794749326182</v>
      </c>
      <c r="K231">
        <v>117.38057279186054</v>
      </c>
      <c r="L231">
        <v>113.98902418732939</v>
      </c>
      <c r="M231">
        <v>99.316286246301004</v>
      </c>
      <c r="N231">
        <v>5.4031302735557771</v>
      </c>
      <c r="O231">
        <v>91.616053048491182</v>
      </c>
      <c r="P231">
        <v>189.88905867276713</v>
      </c>
      <c r="Q231">
        <v>97.827102852332132</v>
      </c>
      <c r="R231">
        <v>192.46502861192235</v>
      </c>
      <c r="S231">
        <v>94.563696590584669</v>
      </c>
      <c r="T231">
        <v>96.360438502041788</v>
      </c>
      <c r="U231">
        <v>95.151717677362441</v>
      </c>
      <c r="V231">
        <v>96.119524823824747</v>
      </c>
      <c r="W231">
        <v>122.03133872741347</v>
      </c>
      <c r="X231">
        <v>162.70378335905724</v>
      </c>
      <c r="Y231">
        <v>49.197204902620506</v>
      </c>
      <c r="Z231">
        <v>50.47849991318089</v>
      </c>
      <c r="AA231">
        <v>124.87029972988084</v>
      </c>
      <c r="AB231">
        <v>296.92627241506602</v>
      </c>
      <c r="AC231">
        <v>283.93702493243239</v>
      </c>
      <c r="AD231">
        <v>122.69954545454549</v>
      </c>
      <c r="AE231">
        <v>245.10425777964733</v>
      </c>
      <c r="AF231">
        <v>116.57964881105259</v>
      </c>
      <c r="AG231">
        <v>-59.313511300000002</v>
      </c>
      <c r="AH231">
        <v>1101.3247885999999</v>
      </c>
      <c r="AI231">
        <v>1042.0112773000001</v>
      </c>
    </row>
    <row r="232" spans="1:35">
      <c r="A232" t="s">
        <v>338</v>
      </c>
      <c r="B232">
        <v>96.975956724589651</v>
      </c>
      <c r="C232">
        <v>96.852971083777518</v>
      </c>
      <c r="D232">
        <v>100.01020324381633</v>
      </c>
      <c r="E232">
        <v>104.57039324650954</v>
      </c>
      <c r="F232">
        <v>4.4899337467665701</v>
      </c>
      <c r="G232">
        <v>4.2404291493831572</v>
      </c>
      <c r="H232">
        <v>105.11435416963188</v>
      </c>
      <c r="I232">
        <v>84.669782602317071</v>
      </c>
      <c r="J232">
        <v>77.396720385499833</v>
      </c>
      <c r="K232">
        <v>106.85671138100639</v>
      </c>
      <c r="L232">
        <v>103.49001763610019</v>
      </c>
      <c r="M232">
        <v>99.362791410395943</v>
      </c>
      <c r="N232">
        <v>5.465108598490259</v>
      </c>
      <c r="O232">
        <v>91.977315221223137</v>
      </c>
      <c r="P232">
        <v>199.57009020007578</v>
      </c>
      <c r="Q232">
        <v>103.17187537911755</v>
      </c>
      <c r="R232">
        <v>227.10592999216726</v>
      </c>
      <c r="S232">
        <v>95.274910453032618</v>
      </c>
      <c r="T232">
        <v>97.040030194216172</v>
      </c>
      <c r="U232">
        <v>95.528189079709392</v>
      </c>
      <c r="V232">
        <v>96.402326505911134</v>
      </c>
      <c r="W232">
        <v>124.85010634858104</v>
      </c>
      <c r="X232">
        <v>157.12571848642389</v>
      </c>
      <c r="Y232">
        <v>48.381344389984768</v>
      </c>
      <c r="Z232">
        <v>49.692082844703222</v>
      </c>
      <c r="AA232">
        <v>125.86841277874672</v>
      </c>
      <c r="AB232">
        <v>320.37308522887844</v>
      </c>
      <c r="AC232">
        <v>306.17767521243525</v>
      </c>
      <c r="AD232">
        <v>131.52111111111111</v>
      </c>
      <c r="AE232">
        <v>263.4862519225976</v>
      </c>
      <c r="AF232">
        <v>118.31227892556521</v>
      </c>
      <c r="AG232">
        <v>-73.890879499999997</v>
      </c>
      <c r="AH232">
        <v>1116.6078929</v>
      </c>
      <c r="AI232">
        <v>1042.7170134</v>
      </c>
    </row>
    <row r="233" spans="1:35">
      <c r="A233" t="s">
        <v>339</v>
      </c>
      <c r="B233">
        <v>96.79248908205463</v>
      </c>
      <c r="C233">
        <v>96.373957747298775</v>
      </c>
      <c r="D233">
        <v>99.581599811302297</v>
      </c>
      <c r="E233">
        <v>104.075170438858</v>
      </c>
      <c r="F233">
        <v>4.4631712467239577</v>
      </c>
      <c r="G233">
        <v>4.3512044832699859</v>
      </c>
      <c r="H233">
        <v>104.06418179495245</v>
      </c>
      <c r="I233">
        <v>85.371594029554316</v>
      </c>
      <c r="J233">
        <v>77.714337183004545</v>
      </c>
      <c r="K233">
        <v>104.60968282389319</v>
      </c>
      <c r="L233">
        <v>101.5217824368345</v>
      </c>
      <c r="M233">
        <v>99.357363146681266</v>
      </c>
      <c r="N233">
        <v>5.5461752537809623</v>
      </c>
      <c r="O233">
        <v>92.586319534443675</v>
      </c>
      <c r="P233">
        <v>202.7982419901596</v>
      </c>
      <c r="Q233">
        <v>103.88155190043987</v>
      </c>
      <c r="R233">
        <v>268.89277722947196</v>
      </c>
      <c r="S233">
        <v>95.797595547187484</v>
      </c>
      <c r="T233">
        <v>97.560144108474361</v>
      </c>
      <c r="U233">
        <v>95.832419355657407</v>
      </c>
      <c r="V233">
        <v>96.642702172836906</v>
      </c>
      <c r="W233">
        <v>124.28353753651147</v>
      </c>
      <c r="X233">
        <v>155.87361969045165</v>
      </c>
      <c r="Y233">
        <v>47.948625226978962</v>
      </c>
      <c r="Z233">
        <v>49.348724018657578</v>
      </c>
      <c r="AA233">
        <v>127.01748748394523</v>
      </c>
      <c r="AB233">
        <v>321.27760784328495</v>
      </c>
      <c r="AC233">
        <v>312.41315865125608</v>
      </c>
      <c r="AD233">
        <v>133.00652173913045</v>
      </c>
      <c r="AE233">
        <v>264.61303157572996</v>
      </c>
      <c r="AF233">
        <v>120.57057682295309</v>
      </c>
      <c r="AG233">
        <v>-82.261049499999999</v>
      </c>
      <c r="AH233">
        <v>1161.1156352</v>
      </c>
      <c r="AI233">
        <v>1078.8545856999999</v>
      </c>
    </row>
    <row r="234" spans="1:35">
      <c r="A234" t="s">
        <v>340</v>
      </c>
      <c r="B234">
        <v>97.980266794418242</v>
      </c>
      <c r="C234">
        <v>97.922939101220976</v>
      </c>
      <c r="D234">
        <v>98.736726871875632</v>
      </c>
      <c r="E234">
        <v>103.02151320443798</v>
      </c>
      <c r="F234">
        <v>4.2236197208929669</v>
      </c>
      <c r="G234">
        <v>4.3729217931932673</v>
      </c>
      <c r="H234">
        <v>102.77419290998419</v>
      </c>
      <c r="I234">
        <v>85.884429846871797</v>
      </c>
      <c r="J234">
        <v>77.578868331553025</v>
      </c>
      <c r="K234">
        <v>100.55492633685321</v>
      </c>
      <c r="L234">
        <v>100.54401347851226</v>
      </c>
      <c r="M234">
        <v>99.3745453196684</v>
      </c>
      <c r="N234">
        <v>5.5525811465134867</v>
      </c>
      <c r="O234">
        <v>92.650378816542172</v>
      </c>
      <c r="P234">
        <v>181.09992094117757</v>
      </c>
      <c r="Q234">
        <v>103.21014212660337</v>
      </c>
      <c r="R234">
        <v>245.24287078905661</v>
      </c>
      <c r="S234">
        <v>95.894602743719204</v>
      </c>
      <c r="T234">
        <v>97.578003663894677</v>
      </c>
      <c r="U234">
        <v>96.090005803181683</v>
      </c>
      <c r="V234">
        <v>96.864822029431664</v>
      </c>
      <c r="W234">
        <v>114.76682658715519</v>
      </c>
      <c r="X234">
        <v>146.08512797890981</v>
      </c>
      <c r="Y234">
        <v>47.553245285103095</v>
      </c>
      <c r="Z234">
        <v>48.514475530502118</v>
      </c>
      <c r="AA234">
        <v>118.71423457401347</v>
      </c>
      <c r="AB234">
        <v>282.18946635255725</v>
      </c>
      <c r="AC234">
        <v>271.33921529158187</v>
      </c>
      <c r="AD234">
        <v>114.56730158730159</v>
      </c>
      <c r="AE234">
        <v>234.58091184477757</v>
      </c>
      <c r="AF234">
        <v>115.22431731999292</v>
      </c>
      <c r="AG234">
        <v>-70.581938699999995</v>
      </c>
      <c r="AH234">
        <v>1104.5746288</v>
      </c>
      <c r="AI234">
        <v>1033.9926900999999</v>
      </c>
    </row>
    <row r="235" spans="1:35">
      <c r="A235" t="s">
        <v>341</v>
      </c>
      <c r="B235">
        <v>98.459957202303514</v>
      </c>
      <c r="C235">
        <v>98.690463859221296</v>
      </c>
      <c r="D235">
        <v>97.864603034490017</v>
      </c>
      <c r="E235">
        <v>101.54669748563148</v>
      </c>
      <c r="F235">
        <v>4.0260955547394426</v>
      </c>
      <c r="G235">
        <v>4.3866054423218399</v>
      </c>
      <c r="H235">
        <v>92.716615249632056</v>
      </c>
      <c r="I235">
        <v>86.611219515979869</v>
      </c>
      <c r="J235">
        <v>79.025325266361207</v>
      </c>
      <c r="K235">
        <v>86.530671707941735</v>
      </c>
      <c r="L235">
        <v>88.804949890413013</v>
      </c>
      <c r="M235">
        <v>99.421337550041386</v>
      </c>
      <c r="N235">
        <v>5.5770288109544701</v>
      </c>
      <c r="O235">
        <v>92.96059189898628</v>
      </c>
      <c r="P235">
        <v>165.91767483246463</v>
      </c>
      <c r="Q235">
        <v>98.597128711420282</v>
      </c>
      <c r="R235">
        <v>234.96490914299218</v>
      </c>
      <c r="S235">
        <v>96.116714177996386</v>
      </c>
      <c r="T235">
        <v>97.740431258420742</v>
      </c>
      <c r="U235">
        <v>96.343294106498163</v>
      </c>
      <c r="V235">
        <v>97.054648094326794</v>
      </c>
      <c r="W235">
        <v>106.98236803401105</v>
      </c>
      <c r="X235">
        <v>138.06631849609261</v>
      </c>
      <c r="Y235">
        <v>45.209485986714405</v>
      </c>
      <c r="Z235">
        <v>46.490828412992862</v>
      </c>
      <c r="AA235">
        <v>112.60257644362527</v>
      </c>
      <c r="AB235">
        <v>268.33697938098982</v>
      </c>
      <c r="AC235">
        <v>243.03659644720719</v>
      </c>
      <c r="AD235">
        <v>99.831515151515134</v>
      </c>
      <c r="AE235">
        <v>208.16165482578813</v>
      </c>
      <c r="AF235">
        <v>113.36478485150239</v>
      </c>
      <c r="AG235">
        <v>-71.072593400000002</v>
      </c>
      <c r="AH235">
        <v>1070.6298061</v>
      </c>
      <c r="AI235">
        <v>999.55721270000004</v>
      </c>
    </row>
    <row r="236" spans="1:35">
      <c r="A236" t="s">
        <v>342</v>
      </c>
      <c r="B236">
        <v>93.839412778808892</v>
      </c>
      <c r="C236">
        <v>93.220049606248082</v>
      </c>
      <c r="D236">
        <v>96.667415974864923</v>
      </c>
      <c r="E236">
        <v>100.42273632433604</v>
      </c>
      <c r="F236">
        <v>4.0977595258624291</v>
      </c>
      <c r="G236">
        <v>3.8450728629595781</v>
      </c>
      <c r="H236">
        <v>76.238286379805984</v>
      </c>
      <c r="I236">
        <v>87.650573653593995</v>
      </c>
      <c r="J236">
        <v>79.894749096428569</v>
      </c>
      <c r="K236">
        <v>67.472451405261381</v>
      </c>
      <c r="L236">
        <v>72.628108403567595</v>
      </c>
      <c r="M236">
        <v>99.479652888229154</v>
      </c>
      <c r="N236">
        <v>5.7011815526771539</v>
      </c>
      <c r="O236">
        <v>92.13697461106365</v>
      </c>
      <c r="P236">
        <v>135.64244962987308</v>
      </c>
      <c r="Q236">
        <v>83.941697126487242</v>
      </c>
      <c r="R236">
        <v>174.59150494885506</v>
      </c>
      <c r="S236">
        <v>96.117874203828293</v>
      </c>
      <c r="T236">
        <v>97.564550518700401</v>
      </c>
      <c r="U236">
        <v>96.624635461539683</v>
      </c>
      <c r="V236">
        <v>97.223722314219231</v>
      </c>
      <c r="W236">
        <v>94.016711382411344</v>
      </c>
      <c r="X236">
        <v>110.79832496067742</v>
      </c>
      <c r="Y236">
        <v>40.591700105623246</v>
      </c>
      <c r="Z236">
        <v>42.156487910773059</v>
      </c>
      <c r="AA236">
        <v>97.265989964035271</v>
      </c>
      <c r="AB236">
        <v>271.67632957752244</v>
      </c>
      <c r="AC236">
        <v>191.15301369629159</v>
      </c>
      <c r="AD236">
        <v>72.692753623188409</v>
      </c>
      <c r="AE236">
        <v>155.61761826100266</v>
      </c>
      <c r="AF236">
        <v>100.85777631729896</v>
      </c>
      <c r="AG236">
        <v>-68.192857700000005</v>
      </c>
      <c r="AH236">
        <v>1000.8265318</v>
      </c>
      <c r="AI236">
        <v>932.63367410000001</v>
      </c>
    </row>
    <row r="237" spans="1:35">
      <c r="A237" t="s">
        <v>343</v>
      </c>
      <c r="B237">
        <v>94.1034067243354</v>
      </c>
      <c r="C237">
        <v>94.053247148638405</v>
      </c>
      <c r="D237">
        <v>93.269714416821586</v>
      </c>
      <c r="E237">
        <v>97.019752801538871</v>
      </c>
      <c r="F237">
        <v>3.9116514941026566</v>
      </c>
      <c r="G237">
        <v>3.5636466639527034</v>
      </c>
      <c r="H237">
        <v>73.073816692266902</v>
      </c>
      <c r="I237">
        <v>88.16705445559775</v>
      </c>
      <c r="J237">
        <v>80.683207172673136</v>
      </c>
      <c r="K237">
        <v>63.120572333312609</v>
      </c>
      <c r="L237">
        <v>68.619416347830537</v>
      </c>
      <c r="M237">
        <v>99.356987926460008</v>
      </c>
      <c r="N237">
        <v>5.8204150995634318</v>
      </c>
      <c r="O237">
        <v>91.016975683422785</v>
      </c>
      <c r="P237">
        <v>115.07584016152877</v>
      </c>
      <c r="Q237">
        <v>81.792573008814614</v>
      </c>
      <c r="R237">
        <v>144.49064075687477</v>
      </c>
      <c r="S237">
        <v>95.679121098186286</v>
      </c>
      <c r="T237">
        <v>96.959503739896263</v>
      </c>
      <c r="U237">
        <v>96.760528154930341</v>
      </c>
      <c r="V237">
        <v>97.365581745603308</v>
      </c>
      <c r="W237">
        <v>88.265262039617809</v>
      </c>
      <c r="X237">
        <v>98.339228187001169</v>
      </c>
      <c r="Y237">
        <v>37.118796632744662</v>
      </c>
      <c r="Z237">
        <v>38.277023013407437</v>
      </c>
      <c r="AA237">
        <v>89.161341826541374</v>
      </c>
      <c r="AB237">
        <v>253.00192340423251</v>
      </c>
      <c r="AC237">
        <v>152.56049696935753</v>
      </c>
      <c r="AD237">
        <v>53.925333333333342</v>
      </c>
      <c r="AE237">
        <v>117.93118001631683</v>
      </c>
      <c r="AF237">
        <v>96.698727556610976</v>
      </c>
      <c r="AG237">
        <v>-49.655917199999998</v>
      </c>
      <c r="AH237">
        <v>871.0361762</v>
      </c>
      <c r="AI237">
        <v>821.38025900000002</v>
      </c>
    </row>
    <row r="238" spans="1:35">
      <c r="A238" t="s">
        <v>344</v>
      </c>
      <c r="B238">
        <v>92.702814762442429</v>
      </c>
      <c r="C238">
        <v>92.585435882756471</v>
      </c>
      <c r="D238">
        <v>90.598257373059127</v>
      </c>
      <c r="E238">
        <v>93.740490798890022</v>
      </c>
      <c r="F238">
        <v>3.2113594199215276</v>
      </c>
      <c r="G238">
        <v>2.8746282490807147</v>
      </c>
      <c r="H238">
        <v>73.850236144769084</v>
      </c>
      <c r="I238">
        <v>89.116934155344126</v>
      </c>
      <c r="J238">
        <v>82.348008618358321</v>
      </c>
      <c r="K238">
        <v>66.34208595786663</v>
      </c>
      <c r="L238">
        <v>69.896991731310393</v>
      </c>
      <c r="M238">
        <v>99.305212681070032</v>
      </c>
      <c r="N238">
        <v>5.9474909659795649</v>
      </c>
      <c r="O238">
        <v>89.988905331025734</v>
      </c>
      <c r="P238">
        <v>102.51367594778738</v>
      </c>
      <c r="Q238">
        <v>81.082956996055415</v>
      </c>
      <c r="R238">
        <v>117.79338804524694</v>
      </c>
      <c r="S238">
        <v>95.337999423669771</v>
      </c>
      <c r="T238">
        <v>96.552219639404413</v>
      </c>
      <c r="U238">
        <v>96.786783772267853</v>
      </c>
      <c r="V238">
        <v>97.400818517998175</v>
      </c>
      <c r="W238">
        <v>87.855813890906276</v>
      </c>
      <c r="X238">
        <v>94.042542386034057</v>
      </c>
      <c r="Y238">
        <v>34.489257028069559</v>
      </c>
      <c r="Z238">
        <v>35.971840212521414</v>
      </c>
      <c r="AA238">
        <v>87.078059773386215</v>
      </c>
      <c r="AB238">
        <v>233.78684248644808</v>
      </c>
      <c r="AC238">
        <v>124.84089862582108</v>
      </c>
      <c r="AD238">
        <v>40.903043478260869</v>
      </c>
      <c r="AE238">
        <v>87.287278548048107</v>
      </c>
      <c r="AF238">
        <v>88.601787507355539</v>
      </c>
      <c r="AG238">
        <v>-39.679555299999997</v>
      </c>
      <c r="AH238">
        <v>814.22904979999998</v>
      </c>
      <c r="AI238">
        <v>774.54949450000004</v>
      </c>
    </row>
    <row r="239" spans="1:35">
      <c r="A239" t="s">
        <v>345</v>
      </c>
      <c r="B239">
        <v>92.470457838789372</v>
      </c>
      <c r="C239">
        <v>92.317451223578644</v>
      </c>
      <c r="D239">
        <v>88.322896087831211</v>
      </c>
      <c r="E239">
        <v>90.895803676919869</v>
      </c>
      <c r="F239">
        <v>3.2236337583169985</v>
      </c>
      <c r="G239">
        <v>2.7473890659051481</v>
      </c>
      <c r="H239">
        <v>69.235426525242573</v>
      </c>
      <c r="I239">
        <v>89.793125964459193</v>
      </c>
      <c r="J239">
        <v>82.667798728452695</v>
      </c>
      <c r="K239">
        <v>60.143038210051557</v>
      </c>
      <c r="L239">
        <v>65.297965162209181</v>
      </c>
      <c r="M239">
        <v>99.194832299362602</v>
      </c>
      <c r="N239">
        <v>6.1487387700913922</v>
      </c>
      <c r="O239">
        <v>90.452799522193729</v>
      </c>
      <c r="P239">
        <v>105.37048789197452</v>
      </c>
      <c r="Q239">
        <v>86.747974605263522</v>
      </c>
      <c r="R239">
        <v>120.31421407224322</v>
      </c>
      <c r="S239">
        <v>95.471925443187473</v>
      </c>
      <c r="T239">
        <v>96.641370196040455</v>
      </c>
      <c r="U239">
        <v>96.937985542961599</v>
      </c>
      <c r="V239">
        <v>97.536569261766871</v>
      </c>
      <c r="W239">
        <v>88.878125134888819</v>
      </c>
      <c r="X239">
        <v>97.936213277689774</v>
      </c>
      <c r="Y239">
        <v>35.260200068182911</v>
      </c>
      <c r="Z239">
        <v>36.963895913037696</v>
      </c>
      <c r="AA239">
        <v>89.967526944986332</v>
      </c>
      <c r="AB239">
        <v>219.67062716161016</v>
      </c>
      <c r="AC239">
        <v>127.65047562157382</v>
      </c>
      <c r="AD239">
        <v>43.651969696969708</v>
      </c>
      <c r="AE239">
        <v>93.859433971331484</v>
      </c>
      <c r="AF239">
        <v>92.05137498153708</v>
      </c>
      <c r="AG239">
        <v>-35.013601299999998</v>
      </c>
      <c r="AH239">
        <v>750.13803710000002</v>
      </c>
      <c r="AI239">
        <v>715.12443580000001</v>
      </c>
    </row>
    <row r="240" spans="1:35">
      <c r="A240" t="s">
        <v>346</v>
      </c>
      <c r="B240">
        <v>90.576491191144243</v>
      </c>
      <c r="C240">
        <v>89.995422439020516</v>
      </c>
      <c r="D240">
        <v>88.024543307015392</v>
      </c>
      <c r="E240">
        <v>89.93993931558839</v>
      </c>
      <c r="F240">
        <v>3.5418229141710977</v>
      </c>
      <c r="G240">
        <v>2.6475928338195462</v>
      </c>
      <c r="H240">
        <v>64.299078675268035</v>
      </c>
      <c r="I240">
        <v>90.488187664555184</v>
      </c>
      <c r="J240">
        <v>83.205751865029583</v>
      </c>
      <c r="K240">
        <v>54.323146890474007</v>
      </c>
      <c r="L240">
        <v>60.11159354739101</v>
      </c>
      <c r="M240">
        <v>99.132668727822832</v>
      </c>
      <c r="N240">
        <v>6.2703081356234582</v>
      </c>
      <c r="O240">
        <v>90.292285294426961</v>
      </c>
      <c r="P240">
        <v>101.63659158471214</v>
      </c>
      <c r="Q240">
        <v>86.004048996147105</v>
      </c>
      <c r="R240">
        <v>113.61971780315947</v>
      </c>
      <c r="S240">
        <v>95.740148075331973</v>
      </c>
      <c r="T240">
        <v>96.912163936485712</v>
      </c>
      <c r="U240">
        <v>97.187781071001694</v>
      </c>
      <c r="V240">
        <v>97.765482817488021</v>
      </c>
      <c r="W240">
        <v>85.039441215754252</v>
      </c>
      <c r="X240">
        <v>96.884384579203314</v>
      </c>
      <c r="Y240">
        <v>35.713754010429597</v>
      </c>
      <c r="Z240">
        <v>38.02489275204595</v>
      </c>
      <c r="AA240">
        <v>89.407529289479854</v>
      </c>
      <c r="AB240">
        <v>197.18035773708354</v>
      </c>
      <c r="AC240">
        <v>119.32561636507788</v>
      </c>
      <c r="AD240">
        <v>41.816333333333333</v>
      </c>
      <c r="AE240">
        <v>91.374853432389884</v>
      </c>
      <c r="AF240">
        <v>89.060320410256807</v>
      </c>
      <c r="AG240">
        <v>-17.247122099999999</v>
      </c>
      <c r="AH240">
        <v>712.74341019999997</v>
      </c>
      <c r="AI240">
        <v>695.49628810000002</v>
      </c>
    </row>
    <row r="241" spans="1:35">
      <c r="A241" t="s">
        <v>347</v>
      </c>
      <c r="B241">
        <v>90.785173191209566</v>
      </c>
      <c r="C241">
        <v>90.362332406507178</v>
      </c>
      <c r="D241">
        <v>88.245396247506804</v>
      </c>
      <c r="E241">
        <v>89.641283948581318</v>
      </c>
      <c r="F241">
        <v>3.4845989792190495</v>
      </c>
      <c r="G241">
        <v>2.3656197153971172</v>
      </c>
      <c r="H241">
        <v>69.2317854099946</v>
      </c>
      <c r="I241">
        <v>90.887023305413223</v>
      </c>
      <c r="J241">
        <v>83.948272139114195</v>
      </c>
      <c r="K241">
        <v>59.390378597882474</v>
      </c>
      <c r="L241">
        <v>64.308841414941512</v>
      </c>
      <c r="M241">
        <v>99.07461178633703</v>
      </c>
      <c r="N241">
        <v>6.3724984776230746</v>
      </c>
      <c r="O241">
        <v>90.049743484687866</v>
      </c>
      <c r="P241">
        <v>101.65745912545832</v>
      </c>
      <c r="Q241">
        <v>82.792846627137763</v>
      </c>
      <c r="R241">
        <v>92.062467463903886</v>
      </c>
      <c r="S241">
        <v>95.871128623441308</v>
      </c>
      <c r="T241">
        <v>96.914487988396161</v>
      </c>
      <c r="U241">
        <v>97.396329150981103</v>
      </c>
      <c r="V241">
        <v>97.914603408041316</v>
      </c>
      <c r="W241">
        <v>86.548451028439914</v>
      </c>
      <c r="X241">
        <v>92.759414291668435</v>
      </c>
      <c r="Y241">
        <v>36.994742555074936</v>
      </c>
      <c r="Z241">
        <v>39.177301057322097</v>
      </c>
      <c r="AA241">
        <v>88.729041253626065</v>
      </c>
      <c r="AB241">
        <v>168.76152772508055</v>
      </c>
      <c r="AC241">
        <v>120.35808380008486</v>
      </c>
      <c r="AD241">
        <v>46.796818181818168</v>
      </c>
      <c r="AE241">
        <v>102.36449590939897</v>
      </c>
      <c r="AF241">
        <v>85.963628241602848</v>
      </c>
      <c r="AG241">
        <v>-11.125291199999999</v>
      </c>
      <c r="AH241">
        <v>713.0606325</v>
      </c>
      <c r="AI241">
        <v>701.9353413</v>
      </c>
    </row>
    <row r="242" spans="1:35">
      <c r="A242" t="s">
        <v>348</v>
      </c>
      <c r="B242">
        <v>93.450329587509074</v>
      </c>
      <c r="C242">
        <v>93.643478608462146</v>
      </c>
      <c r="D242">
        <v>88.863135357315144</v>
      </c>
      <c r="E242">
        <v>89.914966193817065</v>
      </c>
      <c r="F242">
        <v>3.4117836813638682</v>
      </c>
      <c r="G242">
        <v>2.201982060498644</v>
      </c>
      <c r="H242">
        <v>76.875891986609673</v>
      </c>
      <c r="I242">
        <v>91.339635080704042</v>
      </c>
      <c r="J242">
        <v>85.100080107439737</v>
      </c>
      <c r="K242">
        <v>67.168743123752478</v>
      </c>
      <c r="L242">
        <v>71.815576854307963</v>
      </c>
      <c r="M242">
        <v>99.133627995080474</v>
      </c>
      <c r="N242">
        <v>6.4491513916748353</v>
      </c>
      <c r="O242">
        <v>90.913651470447604</v>
      </c>
      <c r="P242">
        <v>103.8679049992774</v>
      </c>
      <c r="Q242">
        <v>84.751252505047731</v>
      </c>
      <c r="R242">
        <v>95.878181505041837</v>
      </c>
      <c r="S242">
        <v>96.032477525649213</v>
      </c>
      <c r="T242">
        <v>97.017801050180779</v>
      </c>
      <c r="U242">
        <v>97.547014197433583</v>
      </c>
      <c r="V242">
        <v>98.061459059804051</v>
      </c>
      <c r="W242">
        <v>92.763878301763427</v>
      </c>
      <c r="X242">
        <v>98.17178876409865</v>
      </c>
      <c r="Y242">
        <v>40.206973583235389</v>
      </c>
      <c r="Z242">
        <v>42.538388952774469</v>
      </c>
      <c r="AA242">
        <v>91.896240532526278</v>
      </c>
      <c r="AB242">
        <v>141.58004231715702</v>
      </c>
      <c r="AC242">
        <v>121.18461042624591</v>
      </c>
      <c r="AD242">
        <v>50.386969696969693</v>
      </c>
      <c r="AE242">
        <v>109.58141600658973</v>
      </c>
      <c r="AF242">
        <v>89.335810658105032</v>
      </c>
      <c r="AG242">
        <v>-16.3441467</v>
      </c>
      <c r="AH242">
        <v>724.80766119999998</v>
      </c>
      <c r="AI242">
        <v>708.46351449999997</v>
      </c>
    </row>
    <row r="243" spans="1:35">
      <c r="A243" t="s">
        <v>349</v>
      </c>
      <c r="B243">
        <v>96.471630479143514</v>
      </c>
      <c r="C243">
        <v>96.995300310869766</v>
      </c>
      <c r="D243">
        <v>89.591949581614671</v>
      </c>
      <c r="E243">
        <v>90.537101255487769</v>
      </c>
      <c r="F243">
        <v>3.7071135369849499</v>
      </c>
      <c r="G243">
        <v>2.0751336869123169</v>
      </c>
      <c r="H243">
        <v>82.050879812948338</v>
      </c>
      <c r="I243">
        <v>91.796845607209193</v>
      </c>
      <c r="J243">
        <v>85.776376070247878</v>
      </c>
      <c r="K243">
        <v>74.792940440342861</v>
      </c>
      <c r="L243">
        <v>76.920714215111005</v>
      </c>
      <c r="M243">
        <v>99.104792161078507</v>
      </c>
      <c r="N243">
        <v>6.5210187505848163</v>
      </c>
      <c r="O243">
        <v>91.163663506935023</v>
      </c>
      <c r="P243">
        <v>112.43200796920448</v>
      </c>
      <c r="Q243">
        <v>87.049723458109412</v>
      </c>
      <c r="R243">
        <v>92.67846924508234</v>
      </c>
      <c r="S243">
        <v>96.251335803883023</v>
      </c>
      <c r="T243">
        <v>97.169152713210508</v>
      </c>
      <c r="U243">
        <v>97.71194858818663</v>
      </c>
      <c r="V243">
        <v>98.202520694439073</v>
      </c>
      <c r="W243">
        <v>99.234529810248546</v>
      </c>
      <c r="X243">
        <v>104.04454172187283</v>
      </c>
      <c r="Y243">
        <v>43.57038417071437</v>
      </c>
      <c r="Z243">
        <v>45.504410447355568</v>
      </c>
      <c r="AA243">
        <v>96.624251389613519</v>
      </c>
      <c r="AB243">
        <v>147.51747532572313</v>
      </c>
      <c r="AC243">
        <v>135.29752219325022</v>
      </c>
      <c r="AD243">
        <v>58.184126984126969</v>
      </c>
      <c r="AE243">
        <v>124.15205649590241</v>
      </c>
      <c r="AF243">
        <v>93.814184112531422</v>
      </c>
      <c r="AG243">
        <v>-9.3359372999999994</v>
      </c>
      <c r="AH243">
        <v>722.98596450000002</v>
      </c>
      <c r="AI243">
        <v>713.65002719999995</v>
      </c>
    </row>
    <row r="244" spans="1:35">
      <c r="A244" t="s">
        <v>350</v>
      </c>
      <c r="B244">
        <v>96.079965999995295</v>
      </c>
      <c r="C244">
        <v>96.51065911656697</v>
      </c>
      <c r="D244">
        <v>90.550596754625317</v>
      </c>
      <c r="E244">
        <v>91.263042199519688</v>
      </c>
      <c r="F244">
        <v>3.9665245952165091</v>
      </c>
      <c r="G244">
        <v>1.9984372030684487</v>
      </c>
      <c r="H244">
        <v>81.954958716812101</v>
      </c>
      <c r="I244">
        <v>92.192916158733297</v>
      </c>
      <c r="J244">
        <v>87.032807465058625</v>
      </c>
      <c r="K244">
        <v>74.308091323941682</v>
      </c>
      <c r="L244">
        <v>76.736500023794747</v>
      </c>
      <c r="M244">
        <v>99.148448701428748</v>
      </c>
      <c r="N244">
        <v>6.5040879561074485</v>
      </c>
      <c r="O244">
        <v>91.823314269785016</v>
      </c>
      <c r="P244">
        <v>121.52928712766742</v>
      </c>
      <c r="Q244">
        <v>88.267786457461227</v>
      </c>
      <c r="R244">
        <v>100.76500724190721</v>
      </c>
      <c r="S244">
        <v>96.608610997446135</v>
      </c>
      <c r="T244">
        <v>97.555889712798447</v>
      </c>
      <c r="U244">
        <v>97.879735418738747</v>
      </c>
      <c r="V244">
        <v>98.340180719547789</v>
      </c>
      <c r="W244">
        <v>97.722408369679115</v>
      </c>
      <c r="X244">
        <v>116.00359799834092</v>
      </c>
      <c r="Y244">
        <v>45.391827887146064</v>
      </c>
      <c r="Z244">
        <v>47.005256478989537</v>
      </c>
      <c r="AA244">
        <v>98.415334333055327</v>
      </c>
      <c r="AB244">
        <v>147.90273203347516</v>
      </c>
      <c r="AC244">
        <v>154.96302668065852</v>
      </c>
      <c r="AD244">
        <v>69.149696969696961</v>
      </c>
      <c r="AE244">
        <v>145.27044303300963</v>
      </c>
      <c r="AF244">
        <v>92.929579603260564</v>
      </c>
      <c r="AG244">
        <v>-20.140861399999999</v>
      </c>
      <c r="AH244">
        <v>771.15327969999998</v>
      </c>
      <c r="AI244">
        <v>751.01241830000004</v>
      </c>
    </row>
    <row r="245" spans="1:35">
      <c r="A245" t="s">
        <v>351</v>
      </c>
      <c r="B245">
        <v>96.44485521979496</v>
      </c>
      <c r="C245">
        <v>96.746292935884114</v>
      </c>
      <c r="D245">
        <v>91.492094065654484</v>
      </c>
      <c r="E245">
        <v>92.095648523201035</v>
      </c>
      <c r="F245">
        <v>3.8209809737650948</v>
      </c>
      <c r="G245">
        <v>1.9458173604685918</v>
      </c>
      <c r="H245">
        <v>89.59996212934827</v>
      </c>
      <c r="I245">
        <v>92.544741927316764</v>
      </c>
      <c r="J245">
        <v>87.788401831232392</v>
      </c>
      <c r="K245">
        <v>81.359087524858026</v>
      </c>
      <c r="L245">
        <v>83.106141870615232</v>
      </c>
      <c r="M245">
        <v>99.186545661078924</v>
      </c>
      <c r="N245">
        <v>6.5550038798761587</v>
      </c>
      <c r="O245">
        <v>92.352992229799042</v>
      </c>
      <c r="P245">
        <v>117.0443369991788</v>
      </c>
      <c r="Q245">
        <v>88.998315053698065</v>
      </c>
      <c r="R245">
        <v>102.48430649264293</v>
      </c>
      <c r="S245">
        <v>96.857496561263517</v>
      </c>
      <c r="T245">
        <v>97.665308021044225</v>
      </c>
      <c r="U245">
        <v>98.176933609455148</v>
      </c>
      <c r="V245">
        <v>98.540773621764558</v>
      </c>
      <c r="W245">
        <v>93.940238202856136</v>
      </c>
      <c r="X245">
        <v>125.68529304582302</v>
      </c>
      <c r="Y245">
        <v>48.057377868350123</v>
      </c>
      <c r="Z245">
        <v>49.132627117423041</v>
      </c>
      <c r="AA245">
        <v>98.177251304082461</v>
      </c>
      <c r="AB245">
        <v>133.28397282472741</v>
      </c>
      <c r="AC245">
        <v>144.33509227842512</v>
      </c>
      <c r="AD245">
        <v>64.704492753623185</v>
      </c>
      <c r="AE245">
        <v>135.31600161153352</v>
      </c>
      <c r="AF245">
        <v>93.291701291422982</v>
      </c>
      <c r="AG245">
        <v>-18.809222200000001</v>
      </c>
      <c r="AH245">
        <v>795.21562359999996</v>
      </c>
      <c r="AI245">
        <v>776.40640140000005</v>
      </c>
    </row>
    <row r="246" spans="1:35">
      <c r="A246" t="s">
        <v>352</v>
      </c>
      <c r="B246">
        <v>97.927945969478117</v>
      </c>
      <c r="C246">
        <v>98.460288077413466</v>
      </c>
      <c r="D246">
        <v>92.261395008740166</v>
      </c>
      <c r="E246">
        <v>92.651424667143672</v>
      </c>
      <c r="F246">
        <v>3.6822405430790086</v>
      </c>
      <c r="G246">
        <v>1.9172233225596329</v>
      </c>
      <c r="H246">
        <v>91.524581389383926</v>
      </c>
      <c r="I246">
        <v>92.733083657230523</v>
      </c>
      <c r="J246">
        <v>88.359435518664284</v>
      </c>
      <c r="K246">
        <v>84.022334541635018</v>
      </c>
      <c r="L246">
        <v>85.518885387596043</v>
      </c>
      <c r="M246">
        <v>99.199053899432784</v>
      </c>
      <c r="N246">
        <v>6.5723312469410491</v>
      </c>
      <c r="O246">
        <v>92.815833103743415</v>
      </c>
      <c r="P246">
        <v>123.64496695409504</v>
      </c>
      <c r="Q246">
        <v>92.058654203933941</v>
      </c>
      <c r="R246">
        <v>105.35160167453414</v>
      </c>
      <c r="S246">
        <v>97.194725559816689</v>
      </c>
      <c r="T246">
        <v>97.95885994931372</v>
      </c>
      <c r="U246">
        <v>98.341258525692709</v>
      </c>
      <c r="V246">
        <v>98.667658690770239</v>
      </c>
      <c r="W246">
        <v>92.284992127420296</v>
      </c>
      <c r="X246">
        <v>145.92736491721726</v>
      </c>
      <c r="Y246">
        <v>50.428086233015129</v>
      </c>
      <c r="Z246">
        <v>51.188264689065996</v>
      </c>
      <c r="AA246">
        <v>101.40944843477595</v>
      </c>
      <c r="AB246">
        <v>127.29919448793713</v>
      </c>
      <c r="AC246">
        <v>155.80807387079335</v>
      </c>
      <c r="AD246">
        <v>71.629682539682506</v>
      </c>
      <c r="AE246">
        <v>148.97378096361859</v>
      </c>
      <c r="AF246">
        <v>97.949866821426866</v>
      </c>
      <c r="AG246">
        <v>-21.847362100000002</v>
      </c>
      <c r="AH246">
        <v>798.13580730000001</v>
      </c>
      <c r="AI246">
        <v>776.28844519999996</v>
      </c>
    </row>
    <row r="247" spans="1:35">
      <c r="A247" t="s">
        <v>353</v>
      </c>
      <c r="B247">
        <v>98.07358092563976</v>
      </c>
      <c r="C247">
        <v>98.659687002362972</v>
      </c>
      <c r="D247">
        <v>93.620964792081935</v>
      </c>
      <c r="E247">
        <v>94.143277293451746</v>
      </c>
      <c r="F247">
        <v>3.6867660159529727</v>
      </c>
      <c r="G247">
        <v>1.8801020922866516</v>
      </c>
      <c r="H247">
        <v>94.693534608728598</v>
      </c>
      <c r="I247">
        <v>93.141510941389924</v>
      </c>
      <c r="J247">
        <v>89.054615089988758</v>
      </c>
      <c r="K247">
        <v>88.216198453534872</v>
      </c>
      <c r="L247">
        <v>88.539072693339506</v>
      </c>
      <c r="M247">
        <v>99.231942618678076</v>
      </c>
      <c r="N247">
        <v>6.5619722093325317</v>
      </c>
      <c r="O247">
        <v>93.322822029386202</v>
      </c>
      <c r="P247">
        <v>120.10171736507286</v>
      </c>
      <c r="Q247">
        <v>95.83785108746234</v>
      </c>
      <c r="R247">
        <v>99.876246115273744</v>
      </c>
      <c r="S247">
        <v>97.385573654474413</v>
      </c>
      <c r="T247">
        <v>98.074465438345072</v>
      </c>
      <c r="U247">
        <v>98.497515366762627</v>
      </c>
      <c r="V247">
        <v>98.796111538117714</v>
      </c>
      <c r="W247">
        <v>90.719112328075511</v>
      </c>
      <c r="X247">
        <v>134.42275253074516</v>
      </c>
      <c r="Y247">
        <v>51.423143783586085</v>
      </c>
      <c r="Z247">
        <v>52.177082797379384</v>
      </c>
      <c r="AA247">
        <v>99.415263477507978</v>
      </c>
      <c r="AB247">
        <v>125.56851767000298</v>
      </c>
      <c r="AC247">
        <v>150.02414204498416</v>
      </c>
      <c r="AD247">
        <v>68.324696969696959</v>
      </c>
      <c r="AE247">
        <v>140.5298484765278</v>
      </c>
      <c r="AF247">
        <v>98.559927344561629</v>
      </c>
      <c r="AG247">
        <v>-25.309323500000001</v>
      </c>
      <c r="AH247">
        <v>845.47679589999996</v>
      </c>
      <c r="AI247">
        <v>820.16747239999995</v>
      </c>
    </row>
    <row r="248" spans="1:35">
      <c r="A248" t="s">
        <v>354</v>
      </c>
      <c r="B248">
        <v>97.849822673603413</v>
      </c>
      <c r="C248">
        <v>98.21531332863465</v>
      </c>
      <c r="D248">
        <v>94.253437921539245</v>
      </c>
      <c r="E248">
        <v>94.63604990507136</v>
      </c>
      <c r="F248">
        <v>3.6726883078914327</v>
      </c>
      <c r="G248">
        <v>1.8628827727428581</v>
      </c>
      <c r="H248">
        <v>93.864434420566369</v>
      </c>
      <c r="I248">
        <v>93.645410704491482</v>
      </c>
      <c r="J248">
        <v>90.015284619783671</v>
      </c>
      <c r="K248">
        <v>87.190121437662967</v>
      </c>
      <c r="L248">
        <v>87.040903783404815</v>
      </c>
      <c r="M248">
        <v>99.322718976963401</v>
      </c>
      <c r="N248">
        <v>6.5526068119502101</v>
      </c>
      <c r="O248">
        <v>94.11737095835376</v>
      </c>
      <c r="P248">
        <v>127.5579091610109</v>
      </c>
      <c r="Q248">
        <v>98.034759469293846</v>
      </c>
      <c r="R248">
        <v>103.67050726112406</v>
      </c>
      <c r="S248">
        <v>97.617977038840905</v>
      </c>
      <c r="T248">
        <v>98.249539120840055</v>
      </c>
      <c r="U248">
        <v>98.651415331920418</v>
      </c>
      <c r="V248">
        <v>98.962994816099368</v>
      </c>
      <c r="W248">
        <v>93.482796753396954</v>
      </c>
      <c r="X248">
        <v>140.59150731263199</v>
      </c>
      <c r="Y248">
        <v>52.839320706057521</v>
      </c>
      <c r="Z248">
        <v>53.201437012183149</v>
      </c>
      <c r="AA248">
        <v>102.83872165140218</v>
      </c>
      <c r="AB248">
        <v>142.07872355675534</v>
      </c>
      <c r="AC248">
        <v>163.31357953472795</v>
      </c>
      <c r="AD248">
        <v>74.080606060606002</v>
      </c>
      <c r="AE248">
        <v>151.23200119077191</v>
      </c>
      <c r="AF248">
        <v>101.63983702230477</v>
      </c>
      <c r="AG248">
        <v>-14.853839499999999</v>
      </c>
      <c r="AH248">
        <v>866.03560619999996</v>
      </c>
      <c r="AI248">
        <v>851.18176670000003</v>
      </c>
    </row>
    <row r="249" spans="1:35">
      <c r="A249" t="s">
        <v>355</v>
      </c>
      <c r="B249">
        <v>98.417614131151595</v>
      </c>
      <c r="C249">
        <v>98.693289926815439</v>
      </c>
      <c r="D249">
        <v>94.969976375402766</v>
      </c>
      <c r="E249">
        <v>95.31771730152964</v>
      </c>
      <c r="F249">
        <v>3.5883768647747618</v>
      </c>
      <c r="G249">
        <v>1.8463341446810981</v>
      </c>
      <c r="H249">
        <v>96.651056989478874</v>
      </c>
      <c r="I249">
        <v>93.939531991547284</v>
      </c>
      <c r="J249">
        <v>90.652447795437794</v>
      </c>
      <c r="K249">
        <v>90.394409788662273</v>
      </c>
      <c r="L249">
        <v>89.251728741299928</v>
      </c>
      <c r="M249">
        <v>99.381776184963556</v>
      </c>
      <c r="N249">
        <v>6.5443251295241343</v>
      </c>
      <c r="O249">
        <v>94.478068159633949</v>
      </c>
      <c r="P249">
        <v>132.46017097885013</v>
      </c>
      <c r="Q249">
        <v>97.126567740202347</v>
      </c>
      <c r="R249">
        <v>110.00955694292408</v>
      </c>
      <c r="S249">
        <v>98.043606583804916</v>
      </c>
      <c r="T249">
        <v>98.599018564711727</v>
      </c>
      <c r="U249">
        <v>98.831655408351864</v>
      </c>
      <c r="V249">
        <v>99.107742623643915</v>
      </c>
      <c r="W249">
        <v>96.122942323724018</v>
      </c>
      <c r="X249">
        <v>148.55624966199366</v>
      </c>
      <c r="Y249">
        <v>53.447384462717096</v>
      </c>
      <c r="Z249">
        <v>53.651832033896987</v>
      </c>
      <c r="AA249">
        <v>107.24720845280751</v>
      </c>
      <c r="AB249">
        <v>136.91757480392971</v>
      </c>
      <c r="AC249">
        <v>168.93007424228193</v>
      </c>
      <c r="AD249">
        <v>77.537460317460315</v>
      </c>
      <c r="AE249">
        <v>157.29402139229686</v>
      </c>
      <c r="AF249">
        <v>106.67173371170041</v>
      </c>
      <c r="AG249">
        <v>-19.272360200000001</v>
      </c>
      <c r="AH249">
        <v>883.58887860000004</v>
      </c>
      <c r="AI249">
        <v>864.31651839999995</v>
      </c>
    </row>
    <row r="250" spans="1:35">
      <c r="A250" t="s">
        <v>356</v>
      </c>
      <c r="B250">
        <v>98.820379334445633</v>
      </c>
      <c r="C250">
        <v>99.178210097024945</v>
      </c>
      <c r="D250">
        <v>95.496724475219807</v>
      </c>
      <c r="E250">
        <v>95.646390639274742</v>
      </c>
      <c r="F250">
        <v>3.765142577592592</v>
      </c>
      <c r="G250">
        <v>1.8394051731716925</v>
      </c>
      <c r="H250">
        <v>100.91491789346058</v>
      </c>
      <c r="I250">
        <v>94.142629496737868</v>
      </c>
      <c r="J250">
        <v>91.312827053599861</v>
      </c>
      <c r="K250">
        <v>92.143351768236599</v>
      </c>
      <c r="L250">
        <v>92.905909527518816</v>
      </c>
      <c r="M250">
        <v>99.435473076168833</v>
      </c>
      <c r="N250">
        <v>6.5341649464821332</v>
      </c>
      <c r="O250">
        <v>95.372757663566418</v>
      </c>
      <c r="P250">
        <v>135.0917946224809</v>
      </c>
      <c r="Q250">
        <v>100.43381620083728</v>
      </c>
      <c r="R250">
        <v>116.63157136437165</v>
      </c>
      <c r="S250">
        <v>98.315341180382859</v>
      </c>
      <c r="T250">
        <v>98.770609811858307</v>
      </c>
      <c r="U250">
        <v>99.004088055348689</v>
      </c>
      <c r="V250">
        <v>99.259052428272881</v>
      </c>
      <c r="W250">
        <v>97.692902178017661</v>
      </c>
      <c r="X250">
        <v>156.25644627407564</v>
      </c>
      <c r="Y250">
        <v>53.875629706408255</v>
      </c>
      <c r="Z250">
        <v>54.203072939596389</v>
      </c>
      <c r="AA250">
        <v>110.39244601609157</v>
      </c>
      <c r="AB250">
        <v>161.89797893464285</v>
      </c>
      <c r="AC250">
        <v>170.81876853180927</v>
      </c>
      <c r="AD250">
        <v>74.923188405797106</v>
      </c>
      <c r="AE250">
        <v>153.65155693641577</v>
      </c>
      <c r="AF250">
        <v>111.83782322057328</v>
      </c>
      <c r="AG250">
        <v>-27.6158012</v>
      </c>
      <c r="AH250">
        <v>920.1835112</v>
      </c>
      <c r="AI250">
        <v>892.56771000000003</v>
      </c>
    </row>
    <row r="251" spans="1:35">
      <c r="A251" t="s">
        <v>357</v>
      </c>
      <c r="B251">
        <v>99.709753606448984</v>
      </c>
      <c r="C251">
        <v>100.02607577951669</v>
      </c>
      <c r="D251">
        <v>96.693717373544175</v>
      </c>
      <c r="E251">
        <v>96.961200219870165</v>
      </c>
      <c r="F251">
        <v>3.8079052688952877</v>
      </c>
      <c r="G251">
        <v>1.9246959979289595</v>
      </c>
      <c r="H251">
        <v>96.664309007182396</v>
      </c>
      <c r="I251">
        <v>94.787605430430119</v>
      </c>
      <c r="J251">
        <v>91.978305012412747</v>
      </c>
      <c r="K251">
        <v>87.779370572037166</v>
      </c>
      <c r="L251">
        <v>89.276327674505083</v>
      </c>
      <c r="M251">
        <v>99.53581631834318</v>
      </c>
      <c r="N251">
        <v>6.464495672891224</v>
      </c>
      <c r="O251">
        <v>96.352090541539923</v>
      </c>
      <c r="P251">
        <v>140.87935626457153</v>
      </c>
      <c r="Q251">
        <v>99.181053944954144</v>
      </c>
      <c r="R251">
        <v>138.31736231301952</v>
      </c>
      <c r="S251">
        <v>98.646726979227537</v>
      </c>
      <c r="T251">
        <v>99.0260633881676</v>
      </c>
      <c r="U251">
        <v>99.27469839288004</v>
      </c>
      <c r="V251">
        <v>99.385323971240453</v>
      </c>
      <c r="W251">
        <v>98.518393838532972</v>
      </c>
      <c r="X251">
        <v>171.66321695234703</v>
      </c>
      <c r="Y251">
        <v>53.780504508765389</v>
      </c>
      <c r="Z251">
        <v>54.541083416949611</v>
      </c>
      <c r="AA251">
        <v>113.78308908220964</v>
      </c>
      <c r="AB251">
        <v>177.86072781834892</v>
      </c>
      <c r="AC251">
        <v>180.07341138285148</v>
      </c>
      <c r="AD251">
        <v>77.170793650793641</v>
      </c>
      <c r="AE251">
        <v>160.03113117460191</v>
      </c>
      <c r="AF251">
        <v>114.96306581483876</v>
      </c>
      <c r="AG251">
        <v>-24.4860799</v>
      </c>
      <c r="AH251">
        <v>901.52797910000004</v>
      </c>
      <c r="AI251">
        <v>877.04189919999999</v>
      </c>
    </row>
    <row r="252" spans="1:35">
      <c r="A252" t="s">
        <v>358</v>
      </c>
      <c r="B252">
        <v>98.308703240008867</v>
      </c>
      <c r="C252">
        <v>98.27270595768303</v>
      </c>
      <c r="D252">
        <v>97.223612696185739</v>
      </c>
      <c r="E252">
        <v>97.308750658575264</v>
      </c>
      <c r="F252">
        <v>3.8811894649169738</v>
      </c>
      <c r="G252">
        <v>1.9139925789030126</v>
      </c>
      <c r="H252">
        <v>97.576601202833729</v>
      </c>
      <c r="I252">
        <v>95.325379232437371</v>
      </c>
      <c r="J252">
        <v>92.956908102152738</v>
      </c>
      <c r="K252">
        <v>87.829092586575769</v>
      </c>
      <c r="L252">
        <v>89.644484340293559</v>
      </c>
      <c r="M252">
        <v>99.609345190914169</v>
      </c>
      <c r="N252">
        <v>6.4189356745669386</v>
      </c>
      <c r="O252">
        <v>97.653661806810035</v>
      </c>
      <c r="P252">
        <v>137.55381992920164</v>
      </c>
      <c r="Q252">
        <v>96.420215455059378</v>
      </c>
      <c r="R252">
        <v>134.27937609684045</v>
      </c>
      <c r="S252">
        <v>98.836800802237008</v>
      </c>
      <c r="T252">
        <v>99.152065457456189</v>
      </c>
      <c r="U252">
        <v>99.311618960946973</v>
      </c>
      <c r="V252">
        <v>99.4759390359214</v>
      </c>
      <c r="W252">
        <v>98.346200068742576</v>
      </c>
      <c r="X252">
        <v>167.30478016002482</v>
      </c>
      <c r="Y252">
        <v>54.222378210907884</v>
      </c>
      <c r="Z252">
        <v>54.673220452073217</v>
      </c>
      <c r="AA252">
        <v>112.41490805661167</v>
      </c>
      <c r="AB252">
        <v>169.57533690427829</v>
      </c>
      <c r="AC252">
        <v>173.9166108227474</v>
      </c>
      <c r="AD252">
        <v>74.721499999999978</v>
      </c>
      <c r="AE252">
        <v>157.62755175921382</v>
      </c>
      <c r="AF252">
        <v>115.2274906060351</v>
      </c>
      <c r="AG252">
        <v>-28.969079199999999</v>
      </c>
      <c r="AH252">
        <v>924.96810819999996</v>
      </c>
      <c r="AI252">
        <v>895.99902899999995</v>
      </c>
    </row>
    <row r="253" spans="1:35">
      <c r="A253" t="s">
        <v>359</v>
      </c>
      <c r="B253">
        <v>99.68574025701146</v>
      </c>
      <c r="C253">
        <v>99.608763031099272</v>
      </c>
      <c r="D253">
        <v>98.353071766729698</v>
      </c>
      <c r="E253">
        <v>98.442194700015762</v>
      </c>
      <c r="F253">
        <v>3.761137738401533</v>
      </c>
      <c r="G253">
        <v>1.9067824098003776</v>
      </c>
      <c r="H253">
        <v>103.94039125727024</v>
      </c>
      <c r="I253">
        <v>95.694462016188766</v>
      </c>
      <c r="J253">
        <v>93.667534929574614</v>
      </c>
      <c r="K253">
        <v>93.666292834873673</v>
      </c>
      <c r="L253">
        <v>95.721791982507938</v>
      </c>
      <c r="M253">
        <v>99.65154742155687</v>
      </c>
      <c r="N253">
        <v>6.4140827987938076</v>
      </c>
      <c r="O253">
        <v>98.02098540245872</v>
      </c>
      <c r="P253">
        <v>142.13445703802921</v>
      </c>
      <c r="Q253">
        <v>95.546252080316776</v>
      </c>
      <c r="R253">
        <v>135.87420442279131</v>
      </c>
      <c r="S253">
        <v>99.020698379705152</v>
      </c>
      <c r="T253">
        <v>99.319528846304465</v>
      </c>
      <c r="U253">
        <v>99.37138644909804</v>
      </c>
      <c r="V253">
        <v>99.530896754736474</v>
      </c>
      <c r="W253">
        <v>101.25378668256616</v>
      </c>
      <c r="X253">
        <v>183.10133570298322</v>
      </c>
      <c r="Y253">
        <v>55.81476529517743</v>
      </c>
      <c r="Z253">
        <v>55.899182147121607</v>
      </c>
      <c r="AA253">
        <v>117.42107002525746</v>
      </c>
      <c r="AB253">
        <v>156.59188517009412</v>
      </c>
      <c r="AC253">
        <v>177.88173714192757</v>
      </c>
      <c r="AD253">
        <v>79.297681159420293</v>
      </c>
      <c r="AE253">
        <v>168.41897005847787</v>
      </c>
      <c r="AF253">
        <v>120.25894320903326</v>
      </c>
      <c r="AG253">
        <v>-43.1151616</v>
      </c>
      <c r="AH253">
        <v>959.13969329999998</v>
      </c>
      <c r="AI253">
        <v>916.02453170000001</v>
      </c>
    </row>
    <row r="254" spans="1:35">
      <c r="A254" t="s">
        <v>360</v>
      </c>
      <c r="B254">
        <v>100.44082205415403</v>
      </c>
      <c r="C254">
        <v>100.62263817443342</v>
      </c>
      <c r="D254">
        <v>99.090676654969755</v>
      </c>
      <c r="E254">
        <v>99.05773411228212</v>
      </c>
      <c r="F254">
        <v>3.9368714534292031</v>
      </c>
      <c r="G254">
        <v>1.9366899585101911</v>
      </c>
      <c r="H254">
        <v>103.04943330244396</v>
      </c>
      <c r="I254">
        <v>96.270733136271744</v>
      </c>
      <c r="J254">
        <v>94.263632198241979</v>
      </c>
      <c r="K254">
        <v>93.100515564280386</v>
      </c>
      <c r="L254">
        <v>95.343851258862173</v>
      </c>
      <c r="M254">
        <v>99.776319271970266</v>
      </c>
      <c r="N254">
        <v>6.4134674718310336</v>
      </c>
      <c r="O254">
        <v>98.616348810720055</v>
      </c>
      <c r="P254">
        <v>150.03775279034224</v>
      </c>
      <c r="Q254">
        <v>99.173470321362288</v>
      </c>
      <c r="R254">
        <v>144.40011743281966</v>
      </c>
      <c r="S254">
        <v>99.263212941573315</v>
      </c>
      <c r="T254">
        <v>99.48189700645807</v>
      </c>
      <c r="U254">
        <v>99.435508812872683</v>
      </c>
      <c r="V254">
        <v>99.598448621318326</v>
      </c>
      <c r="W254">
        <v>103.79585780162009</v>
      </c>
      <c r="X254">
        <v>207.58511958420451</v>
      </c>
      <c r="Y254">
        <v>56.744107738432561</v>
      </c>
      <c r="Z254">
        <v>56.385387079008559</v>
      </c>
      <c r="AA254">
        <v>124.47301769771471</v>
      </c>
      <c r="AB254">
        <v>159.72222189856666</v>
      </c>
      <c r="AC254">
        <v>187.01648604393606</v>
      </c>
      <c r="AD254">
        <v>84.13606060606061</v>
      </c>
      <c r="AE254">
        <v>179.92503356055349</v>
      </c>
      <c r="AF254">
        <v>127.87876303383604</v>
      </c>
      <c r="AG254">
        <v>-39.312333700000003</v>
      </c>
      <c r="AH254">
        <v>960.08939969999994</v>
      </c>
      <c r="AI254">
        <v>920.77706599999999</v>
      </c>
    </row>
    <row r="255" spans="1:35">
      <c r="A255" t="s">
        <v>361</v>
      </c>
      <c r="B255">
        <v>101.26484853558388</v>
      </c>
      <c r="C255">
        <v>101.38719597720983</v>
      </c>
      <c r="D255">
        <v>99.69148205055518</v>
      </c>
      <c r="E255">
        <v>99.992627153972649</v>
      </c>
      <c r="F255">
        <v>3.5999345211703035</v>
      </c>
      <c r="G255">
        <v>1.9403093802497899</v>
      </c>
      <c r="H255">
        <v>95.202038690452241</v>
      </c>
      <c r="I255">
        <v>96.874699608521112</v>
      </c>
      <c r="J255">
        <v>95.027698124565063</v>
      </c>
      <c r="K255">
        <v>83.454881628675054</v>
      </c>
      <c r="L255">
        <v>88.407032970893866</v>
      </c>
      <c r="M255">
        <v>99.831867494945698</v>
      </c>
      <c r="N255">
        <v>6.3597429031267385</v>
      </c>
      <c r="O255">
        <v>98.985351793486757</v>
      </c>
      <c r="P255">
        <v>141.22564365962438</v>
      </c>
      <c r="Q255">
        <v>98.286383051414234</v>
      </c>
      <c r="R255">
        <v>147.42256692711271</v>
      </c>
      <c r="S255">
        <v>99.458263998668556</v>
      </c>
      <c r="T255">
        <v>99.592328011153612</v>
      </c>
      <c r="U255">
        <v>99.535702777344582</v>
      </c>
      <c r="V255">
        <v>99.685810867335661</v>
      </c>
      <c r="W255">
        <v>100.18706314466569</v>
      </c>
      <c r="X255">
        <v>187.03336277705984</v>
      </c>
      <c r="Y255">
        <v>55.702584727202805</v>
      </c>
      <c r="Z255">
        <v>55.332131171687642</v>
      </c>
      <c r="AA255">
        <v>119.26232276476458</v>
      </c>
      <c r="AB255">
        <v>160.58962410428379</v>
      </c>
      <c r="AC255">
        <v>172.99502369784446</v>
      </c>
      <c r="AD255">
        <v>75.537460317460329</v>
      </c>
      <c r="AE255">
        <v>165.69167844049997</v>
      </c>
      <c r="AF255">
        <v>125.81059602397542</v>
      </c>
      <c r="AG255">
        <v>-29.0647263</v>
      </c>
      <c r="AH255">
        <v>956.87426170000003</v>
      </c>
      <c r="AI255">
        <v>927.80953539999996</v>
      </c>
    </row>
    <row r="256" spans="1:35">
      <c r="A256" t="s">
        <v>362</v>
      </c>
      <c r="B256">
        <v>100.16908052986847</v>
      </c>
      <c r="C256">
        <v>99.959472532344122</v>
      </c>
      <c r="D256">
        <v>99.765378168515014</v>
      </c>
      <c r="E256">
        <v>99.992123550689513</v>
      </c>
      <c r="F256">
        <v>3.4062785891809857</v>
      </c>
      <c r="G256">
        <v>1.9626823010716625</v>
      </c>
      <c r="H256">
        <v>92.505235477220481</v>
      </c>
      <c r="I256">
        <v>96.882142387162233</v>
      </c>
      <c r="J256">
        <v>95.739966433363065</v>
      </c>
      <c r="K256">
        <v>81.536582011318103</v>
      </c>
      <c r="L256">
        <v>86.085837283191296</v>
      </c>
      <c r="M256">
        <v>99.970024063454204</v>
      </c>
      <c r="N256">
        <v>6.311425006126135</v>
      </c>
      <c r="O256">
        <v>99.492805084833805</v>
      </c>
      <c r="P256">
        <v>138.30845228998189</v>
      </c>
      <c r="Q256">
        <v>104.01285280641416</v>
      </c>
      <c r="R256">
        <v>146.47983478662078</v>
      </c>
      <c r="S256">
        <v>99.606293797920159</v>
      </c>
      <c r="T256">
        <v>99.68610304216881</v>
      </c>
      <c r="U256">
        <v>99.722988135474935</v>
      </c>
      <c r="V256">
        <v>99.846939236419544</v>
      </c>
      <c r="W256">
        <v>96.353390708561477</v>
      </c>
      <c r="X256">
        <v>170.55372279363118</v>
      </c>
      <c r="Y256">
        <v>54.860878776356223</v>
      </c>
      <c r="Z256">
        <v>54.290496396319654</v>
      </c>
      <c r="AA256">
        <v>114.61667188016857</v>
      </c>
      <c r="AB256">
        <v>167.51096328379103</v>
      </c>
      <c r="AC256">
        <v>172.57800465979557</v>
      </c>
      <c r="AD256">
        <v>74.725000000000009</v>
      </c>
      <c r="AE256">
        <v>165.13898950652413</v>
      </c>
      <c r="AF256">
        <v>125.20618065107769</v>
      </c>
      <c r="AG256">
        <v>-34.776962599999997</v>
      </c>
      <c r="AH256">
        <v>973.12675569999999</v>
      </c>
      <c r="AI256">
        <v>938.34979310000006</v>
      </c>
    </row>
    <row r="257" spans="1:35">
      <c r="A257" t="s">
        <v>363</v>
      </c>
      <c r="B257">
        <v>99.675671203330751</v>
      </c>
      <c r="C257">
        <v>99.449793361893455</v>
      </c>
      <c r="D257">
        <v>100.15441451706199</v>
      </c>
      <c r="E257">
        <v>100.21783400217159</v>
      </c>
      <c r="F257">
        <v>3.37532755681563</v>
      </c>
      <c r="G257">
        <v>2.0028455637522358</v>
      </c>
      <c r="H257">
        <v>98.605566023800307</v>
      </c>
      <c r="I257">
        <v>97.319390659161115</v>
      </c>
      <c r="J257">
        <v>96.131814875794902</v>
      </c>
      <c r="K257">
        <v>88.668431709200163</v>
      </c>
      <c r="L257">
        <v>90.95395867296115</v>
      </c>
      <c r="M257">
        <v>100.05242290967405</v>
      </c>
      <c r="N257">
        <v>6.2445827693247971</v>
      </c>
      <c r="O257">
        <v>100.20840658670889</v>
      </c>
      <c r="P257">
        <v>138.54506848284709</v>
      </c>
      <c r="Q257">
        <v>108.66519257244893</v>
      </c>
      <c r="R257">
        <v>143.54112788956505</v>
      </c>
      <c r="S257">
        <v>99.925416503977388</v>
      </c>
      <c r="T257">
        <v>99.90419041115095</v>
      </c>
      <c r="U257">
        <v>99.945478227331733</v>
      </c>
      <c r="V257">
        <v>99.982505471473061</v>
      </c>
      <c r="W257">
        <v>102.12545867031344</v>
      </c>
      <c r="X257">
        <v>164.20572406389692</v>
      </c>
      <c r="Y257">
        <v>54.793261229109099</v>
      </c>
      <c r="Z257">
        <v>54.113911852648528</v>
      </c>
      <c r="AA257">
        <v>115.56013070357486</v>
      </c>
      <c r="AB257">
        <v>167.55822503843541</v>
      </c>
      <c r="AC257">
        <v>171.79219112701134</v>
      </c>
      <c r="AD257">
        <v>74.515606060606061</v>
      </c>
      <c r="AE257">
        <v>160.7112289903219</v>
      </c>
      <c r="AF257">
        <v>121.27712202207984</v>
      </c>
      <c r="AG257">
        <v>-32.765796299999991</v>
      </c>
      <c r="AH257">
        <v>983.90017560000001</v>
      </c>
      <c r="AI257">
        <v>951.13437929999998</v>
      </c>
    </row>
    <row r="258" spans="1:35">
      <c r="A258" t="s">
        <v>364</v>
      </c>
      <c r="B258">
        <v>100.4429579618094</v>
      </c>
      <c r="C258">
        <v>100.24009147447977</v>
      </c>
      <c r="D258">
        <v>100.56952903107539</v>
      </c>
      <c r="E258">
        <v>100.61776211039937</v>
      </c>
      <c r="F258">
        <v>3.157696281292349</v>
      </c>
      <c r="G258">
        <v>2.0051418756829542</v>
      </c>
      <c r="H258">
        <v>95.64254303836195</v>
      </c>
      <c r="I258">
        <v>97.998112034649694</v>
      </c>
      <c r="J258">
        <v>96.965088288210652</v>
      </c>
      <c r="K258">
        <v>85.279983195015461</v>
      </c>
      <c r="L258">
        <v>88.146267152306393</v>
      </c>
      <c r="M258">
        <v>100.19307610407256</v>
      </c>
      <c r="N258">
        <v>6.2367800907078044</v>
      </c>
      <c r="O258">
        <v>100.75321879418371</v>
      </c>
      <c r="P258">
        <v>142.36278241892896</v>
      </c>
      <c r="Q258">
        <v>110.14994731651122</v>
      </c>
      <c r="R258">
        <v>137.29423852867203</v>
      </c>
      <c r="S258">
        <v>100.20307248016192</v>
      </c>
      <c r="T258">
        <v>100.1120061169499</v>
      </c>
      <c r="U258">
        <v>100.14143422921238</v>
      </c>
      <c r="V258">
        <v>100.12460797808897</v>
      </c>
      <c r="W258">
        <v>104.4015206832873</v>
      </c>
      <c r="X258">
        <v>182.31253494832049</v>
      </c>
      <c r="Y258">
        <v>53.218846076533723</v>
      </c>
      <c r="Z258">
        <v>53.134369455966763</v>
      </c>
      <c r="AA258">
        <v>121.08802472151862</v>
      </c>
      <c r="AB258">
        <v>162.97850582945225</v>
      </c>
      <c r="AC258">
        <v>173.13617346236873</v>
      </c>
      <c r="AD258">
        <v>75.879999999999981</v>
      </c>
      <c r="AE258">
        <v>162.18733400306886</v>
      </c>
      <c r="AF258">
        <v>123.99618750824213</v>
      </c>
      <c r="AG258">
        <v>-41.467936199999997</v>
      </c>
      <c r="AH258">
        <v>1001.7466247</v>
      </c>
      <c r="AI258">
        <v>960.27868850000004</v>
      </c>
    </row>
    <row r="259" spans="1:35">
      <c r="A259" t="s">
        <v>365</v>
      </c>
      <c r="B259">
        <v>99.321246120351773</v>
      </c>
      <c r="C259">
        <v>99.029203359644839</v>
      </c>
      <c r="D259">
        <v>101.07204395981502</v>
      </c>
      <c r="E259">
        <v>101.14085464111551</v>
      </c>
      <c r="F259">
        <v>3.1319789280314527</v>
      </c>
      <c r="G259">
        <v>2.0199173476778016</v>
      </c>
      <c r="H259">
        <v>101.2521207894129</v>
      </c>
      <c r="I259">
        <v>98.417665358240711</v>
      </c>
      <c r="J259">
        <v>97.460823866931733</v>
      </c>
      <c r="K259">
        <v>93.771793274386212</v>
      </c>
      <c r="L259">
        <v>93.964328505151883</v>
      </c>
      <c r="M259">
        <v>100.30068963571803</v>
      </c>
      <c r="N259">
        <v>6.1998102538024753</v>
      </c>
      <c r="O259">
        <v>101.40393866382036</v>
      </c>
      <c r="P259">
        <v>145.00311482257237</v>
      </c>
      <c r="Q259">
        <v>110.15384149705226</v>
      </c>
      <c r="R259">
        <v>138.16697028484106</v>
      </c>
      <c r="S259">
        <v>100.56962109370605</v>
      </c>
      <c r="T259">
        <v>100.37541585565933</v>
      </c>
      <c r="U259">
        <v>100.2971969271957</v>
      </c>
      <c r="V259">
        <v>100.25168161999245</v>
      </c>
      <c r="W259">
        <v>109.67239266628133</v>
      </c>
      <c r="X259">
        <v>184.66615598204845</v>
      </c>
      <c r="Y259">
        <v>53.03932121669412</v>
      </c>
      <c r="Z259">
        <v>52.983745333109361</v>
      </c>
      <c r="AA259">
        <v>125.67094261705633</v>
      </c>
      <c r="AB259">
        <v>157.33420917523949</v>
      </c>
      <c r="AC259">
        <v>172.96660580380609</v>
      </c>
      <c r="AD259">
        <v>76.111060606060605</v>
      </c>
      <c r="AE259">
        <v>161.71973609611223</v>
      </c>
      <c r="AF259">
        <v>130.1061896733373</v>
      </c>
      <c r="AG259">
        <v>-35.511403000000001</v>
      </c>
      <c r="AH259">
        <v>1013.0681796</v>
      </c>
      <c r="AI259">
        <v>977.55677660000003</v>
      </c>
    </row>
    <row r="260" spans="1:35">
      <c r="A260" t="s">
        <v>366</v>
      </c>
      <c r="B260">
        <v>99.494715332367775</v>
      </c>
      <c r="C260">
        <v>99.254645207112262</v>
      </c>
      <c r="D260">
        <v>101.75853950598182</v>
      </c>
      <c r="E260">
        <v>101.4277808598242</v>
      </c>
      <c r="F260">
        <v>2.9585395715834992</v>
      </c>
      <c r="G260">
        <v>2.0321171222649483</v>
      </c>
      <c r="H260">
        <v>104.75690414787987</v>
      </c>
      <c r="I260">
        <v>99.119288402726099</v>
      </c>
      <c r="J260">
        <v>98.250752333704668</v>
      </c>
      <c r="K260">
        <v>97.442475383915635</v>
      </c>
      <c r="L260">
        <v>96.673549420507214</v>
      </c>
      <c r="M260">
        <v>100.28285245305264</v>
      </c>
      <c r="N260">
        <v>6.2043837781096478</v>
      </c>
      <c r="O260">
        <v>102.0461048518392</v>
      </c>
      <c r="P260">
        <v>152.69336568098771</v>
      </c>
      <c r="Q260">
        <v>110.69075430700951</v>
      </c>
      <c r="R260">
        <v>144.90410405560993</v>
      </c>
      <c r="S260">
        <v>101.01203744763522</v>
      </c>
      <c r="T260">
        <v>100.74196388878455</v>
      </c>
      <c r="U260">
        <v>101.42497698097617</v>
      </c>
      <c r="V260">
        <v>100.72587747956314</v>
      </c>
      <c r="W260">
        <v>113.51648059962476</v>
      </c>
      <c r="X260">
        <v>195.44561957844172</v>
      </c>
      <c r="Y260">
        <v>53.133122541986623</v>
      </c>
      <c r="Z260">
        <v>53.394718574443232</v>
      </c>
      <c r="AA260">
        <v>131.84499579286268</v>
      </c>
      <c r="AB260">
        <v>154.73754096384911</v>
      </c>
      <c r="AC260">
        <v>182.84999770052161</v>
      </c>
      <c r="AD260">
        <v>81.719365079365076</v>
      </c>
      <c r="AE260">
        <v>168.86970207378192</v>
      </c>
      <c r="AF260">
        <v>140.30487427055112</v>
      </c>
      <c r="AG260">
        <v>-25.4926396</v>
      </c>
      <c r="AH260">
        <v>1040.2733447999999</v>
      </c>
      <c r="AI260">
        <v>1014.7807052000001</v>
      </c>
    </row>
    <row r="261" spans="1:35">
      <c r="A261" t="s">
        <v>367</v>
      </c>
      <c r="B261">
        <v>100.49942157428067</v>
      </c>
      <c r="C261">
        <v>100.65031003111557</v>
      </c>
      <c r="D261">
        <v>102.38309180298708</v>
      </c>
      <c r="E261">
        <v>102.02623911486582</v>
      </c>
      <c r="F261">
        <v>3.2821866479858794</v>
      </c>
      <c r="G261">
        <v>2.0574492219540201</v>
      </c>
      <c r="H261">
        <v>103.06030315655434</v>
      </c>
      <c r="I261">
        <v>99.510545036189725</v>
      </c>
      <c r="J261">
        <v>99.314097154040411</v>
      </c>
      <c r="K261">
        <v>93.585882501704674</v>
      </c>
      <c r="L261">
        <v>95.355139686340834</v>
      </c>
      <c r="M261">
        <v>100.33035792142392</v>
      </c>
      <c r="N261">
        <v>6.1901287981021209</v>
      </c>
      <c r="O261">
        <v>102.99710272161813</v>
      </c>
      <c r="P261">
        <v>157.82661983980879</v>
      </c>
      <c r="Q261">
        <v>115.08566236311789</v>
      </c>
      <c r="R261">
        <v>160.57478078470942</v>
      </c>
      <c r="S261">
        <v>101.50075427441595</v>
      </c>
      <c r="T261">
        <v>101.10728127241642</v>
      </c>
      <c r="U261">
        <v>99.601793330669196</v>
      </c>
      <c r="V261">
        <v>100.25477360185513</v>
      </c>
      <c r="W261">
        <v>114.62306697703596</v>
      </c>
      <c r="X261">
        <v>202.8216069869236</v>
      </c>
      <c r="Y261">
        <v>53.738784873410275</v>
      </c>
      <c r="Z261">
        <v>54.049854846002575</v>
      </c>
      <c r="AA261">
        <v>135.58360107761368</v>
      </c>
      <c r="AB261">
        <v>161.1716124251233</v>
      </c>
      <c r="AC261">
        <v>190.00057566535114</v>
      </c>
      <c r="AD261">
        <v>84.534545454545466</v>
      </c>
      <c r="AE261">
        <v>175.61397755322673</v>
      </c>
      <c r="AF261">
        <v>149.8460197700025</v>
      </c>
      <c r="AG261">
        <v>-36.289692700000003</v>
      </c>
      <c r="AH261">
        <v>1073.3966656</v>
      </c>
      <c r="AI261">
        <v>1037.1069729000001</v>
      </c>
    </row>
    <row r="262" spans="1:35">
      <c r="A262" t="s">
        <v>368</v>
      </c>
      <c r="B262">
        <v>100.98703958478377</v>
      </c>
      <c r="C262">
        <v>101.49910511346776</v>
      </c>
      <c r="D262">
        <v>103.24444247257941</v>
      </c>
      <c r="E262">
        <v>102.81489887621831</v>
      </c>
      <c r="F262">
        <v>3.6387324310828131</v>
      </c>
      <c r="G262">
        <v>2.0639799152881895</v>
      </c>
      <c r="H262">
        <v>107.7445539065875</v>
      </c>
      <c r="I262">
        <v>100</v>
      </c>
      <c r="J262">
        <v>100</v>
      </c>
      <c r="K262">
        <v>100</v>
      </c>
      <c r="L262">
        <v>100</v>
      </c>
      <c r="M262">
        <v>100.46568121487427</v>
      </c>
      <c r="N262">
        <v>6.1600865768197464</v>
      </c>
      <c r="O262">
        <v>103.46998494198027</v>
      </c>
      <c r="P262">
        <v>166.80358189410211</v>
      </c>
      <c r="Q262">
        <v>118.96980893408708</v>
      </c>
      <c r="R262">
        <v>177.96828343189145</v>
      </c>
      <c r="S262">
        <v>101.9571013007716</v>
      </c>
      <c r="T262">
        <v>101.50115670333024</v>
      </c>
      <c r="U262">
        <v>101.93721677599767</v>
      </c>
      <c r="V262">
        <v>101.13719536205544</v>
      </c>
      <c r="W262">
        <v>121.9208366934683</v>
      </c>
      <c r="X262">
        <v>213.35857333467814</v>
      </c>
      <c r="Y262">
        <v>53.725017253177647</v>
      </c>
      <c r="Z262">
        <v>53.908480771968556</v>
      </c>
      <c r="AA262">
        <v>142.49524154164132</v>
      </c>
      <c r="AB262">
        <v>168.21193083986952</v>
      </c>
      <c r="AC262">
        <v>201.96497239841582</v>
      </c>
      <c r="AD262">
        <v>90.068260869565208</v>
      </c>
      <c r="AE262">
        <v>190.29841242560033</v>
      </c>
      <c r="AF262">
        <v>159.99882742543718</v>
      </c>
      <c r="AG262">
        <v>-36.379757300000001</v>
      </c>
      <c r="AH262">
        <v>1079.5692736999999</v>
      </c>
      <c r="AI262">
        <v>1043.1895164</v>
      </c>
    </row>
    <row r="263" spans="1:35">
      <c r="A263" t="s">
        <v>369</v>
      </c>
      <c r="B263">
        <v>100.69605933997235</v>
      </c>
      <c r="C263">
        <v>101.2604083524504</v>
      </c>
      <c r="D263">
        <v>103.96216257215951</v>
      </c>
      <c r="E263">
        <v>103.22672267422155</v>
      </c>
      <c r="F263">
        <v>3.5757596374097234</v>
      </c>
      <c r="G263">
        <v>2.2267940116152305</v>
      </c>
      <c r="H263">
        <v>109.15899622056733</v>
      </c>
      <c r="I263">
        <v>100.42305394061111</v>
      </c>
      <c r="J263">
        <v>100.6551234444639</v>
      </c>
      <c r="K263">
        <v>101.5732507132852</v>
      </c>
      <c r="L263">
        <v>101.12507735832061</v>
      </c>
      <c r="M263">
        <v>100.52771020386953</v>
      </c>
      <c r="N263">
        <v>6.1267963139309574</v>
      </c>
      <c r="O263">
        <v>104.74292120095001</v>
      </c>
      <c r="P263">
        <v>172.98143594672089</v>
      </c>
      <c r="Q263">
        <v>128.1300437691786</v>
      </c>
      <c r="R263">
        <v>195.96242140398437</v>
      </c>
      <c r="S263">
        <v>102.47605719122046</v>
      </c>
      <c r="T263">
        <v>101.88669531165814</v>
      </c>
      <c r="U263">
        <v>102.11937495073687</v>
      </c>
      <c r="V263">
        <v>101.32759693587334</v>
      </c>
      <c r="W263">
        <v>125.78468233368295</v>
      </c>
      <c r="X263">
        <v>225.0573352323446</v>
      </c>
      <c r="Y263">
        <v>54.516666205633065</v>
      </c>
      <c r="Z263">
        <v>54.614284698331623</v>
      </c>
      <c r="AA263">
        <v>147.43101583416563</v>
      </c>
      <c r="AB263">
        <v>178.88147258086175</v>
      </c>
      <c r="AC263">
        <v>209.93946294899993</v>
      </c>
      <c r="AD263">
        <v>92.663809523809519</v>
      </c>
      <c r="AE263">
        <v>194.38593959138157</v>
      </c>
      <c r="AF263">
        <v>171.98706863404956</v>
      </c>
      <c r="AG263">
        <v>-59.6195831</v>
      </c>
      <c r="AH263">
        <v>1139.3495874</v>
      </c>
      <c r="AI263">
        <v>1079.7300043</v>
      </c>
    </row>
    <row r="264" spans="1:35">
      <c r="A264" t="s">
        <v>370</v>
      </c>
      <c r="B264">
        <v>101.66665261168774</v>
      </c>
      <c r="C264">
        <v>102.56094330175789</v>
      </c>
      <c r="D264">
        <v>104.00057984093161</v>
      </c>
      <c r="E264">
        <v>103.29389171286576</v>
      </c>
      <c r="F264">
        <v>3.8249612821227621</v>
      </c>
      <c r="G264">
        <v>2.2557327009432333</v>
      </c>
      <c r="H264">
        <v>111.94323371267562</v>
      </c>
      <c r="I264">
        <v>101.02624676135959</v>
      </c>
      <c r="J264">
        <v>101.3547019002182</v>
      </c>
      <c r="K264">
        <v>103.8580183439137</v>
      </c>
      <c r="L264">
        <v>102.78497033236059</v>
      </c>
      <c r="M264">
        <v>100.67443882613003</v>
      </c>
      <c r="N264">
        <v>6.1131877709280253</v>
      </c>
      <c r="O264">
        <v>105.00115306059303</v>
      </c>
      <c r="P264">
        <v>179.46816796524558</v>
      </c>
      <c r="Q264">
        <v>138.16135743326214</v>
      </c>
      <c r="R264">
        <v>187.40827312776136</v>
      </c>
      <c r="S264">
        <v>102.77269858049493</v>
      </c>
      <c r="T264">
        <v>102.17121896673591</v>
      </c>
      <c r="U264">
        <v>102.40182370816231</v>
      </c>
      <c r="V264">
        <v>101.54385998529148</v>
      </c>
      <c r="W264">
        <v>129.46603235176758</v>
      </c>
      <c r="X264">
        <v>234.68768189901016</v>
      </c>
      <c r="Y264">
        <v>55.906563120898028</v>
      </c>
      <c r="Z264">
        <v>55.439186279069091</v>
      </c>
      <c r="AA264">
        <v>152.97334091716286</v>
      </c>
      <c r="AB264">
        <v>177.98962981339713</v>
      </c>
      <c r="AC264">
        <v>217.79225536381583</v>
      </c>
      <c r="AD264">
        <v>97.732000000000014</v>
      </c>
      <c r="AE264">
        <v>202.93466474710581</v>
      </c>
      <c r="AF264">
        <v>187.20527085098246</v>
      </c>
      <c r="AG264">
        <v>-42.062310699999998</v>
      </c>
      <c r="AH264">
        <v>1129.9734424999999</v>
      </c>
      <c r="AI264">
        <v>1087.9111318</v>
      </c>
    </row>
    <row r="265" spans="1:35">
      <c r="A265" t="s">
        <v>371</v>
      </c>
      <c r="B265">
        <v>100.97806494265639</v>
      </c>
      <c r="C265">
        <v>101.10830850776001</v>
      </c>
      <c r="D265">
        <v>104.3098942450023</v>
      </c>
      <c r="E265">
        <v>102.61064587557449</v>
      </c>
      <c r="F265">
        <v>3.7424441720946149</v>
      </c>
      <c r="G265">
        <v>2.2927969743602015</v>
      </c>
      <c r="H265">
        <v>111.66979221971995</v>
      </c>
      <c r="I265">
        <v>101.63174252150726</v>
      </c>
      <c r="J265">
        <v>101.85530666381237</v>
      </c>
      <c r="K265">
        <v>104.51514565193081</v>
      </c>
      <c r="L265">
        <v>102.48424993579752</v>
      </c>
      <c r="M265">
        <v>100.76943586729234</v>
      </c>
      <c r="N265">
        <v>6.0508033524750227</v>
      </c>
      <c r="O265">
        <v>105.60238665030992</v>
      </c>
      <c r="P265">
        <v>185.47365141645923</v>
      </c>
      <c r="Q265">
        <v>140.68322643107589</v>
      </c>
      <c r="R265">
        <v>191.07165512919048</v>
      </c>
      <c r="S265">
        <v>103.17884126846381</v>
      </c>
      <c r="T265">
        <v>102.57033817333456</v>
      </c>
      <c r="U265">
        <v>102.70034585185218</v>
      </c>
      <c r="V265">
        <v>101.77286308562347</v>
      </c>
      <c r="W265">
        <v>128.41608480391875</v>
      </c>
      <c r="X265">
        <v>221.39146368208085</v>
      </c>
      <c r="Y265">
        <v>54.586818638505889</v>
      </c>
      <c r="Z265">
        <v>54.543543213363826</v>
      </c>
      <c r="AA265">
        <v>150.70348249713439</v>
      </c>
      <c r="AB265">
        <v>177.53194112263679</v>
      </c>
      <c r="AC265">
        <v>235.76780846488916</v>
      </c>
      <c r="AD265">
        <v>108.64521739130433</v>
      </c>
      <c r="AE265">
        <v>223.06860114878285</v>
      </c>
      <c r="AF265">
        <v>184.06653813755895</v>
      </c>
      <c r="AG265">
        <v>-55.665349300000003</v>
      </c>
      <c r="AH265">
        <v>1178.3332805</v>
      </c>
      <c r="AI265">
        <v>1122.6679312000001</v>
      </c>
    </row>
    <row r="266" spans="1:35">
      <c r="A266" t="s">
        <v>372</v>
      </c>
      <c r="B266">
        <v>100.5183810684032</v>
      </c>
      <c r="C266">
        <v>100.76753658897796</v>
      </c>
      <c r="D266">
        <v>103.82758526839721</v>
      </c>
      <c r="E266">
        <v>102.33026247875461</v>
      </c>
      <c r="F266">
        <v>3.8954901028960163</v>
      </c>
      <c r="G266">
        <v>2.3860674779346245</v>
      </c>
      <c r="H266">
        <v>114.05217106348191</v>
      </c>
      <c r="I266">
        <v>102.20516960348924</v>
      </c>
      <c r="J266">
        <v>102.24578065137348</v>
      </c>
      <c r="K266">
        <v>108.65734211570609</v>
      </c>
      <c r="L266">
        <v>104.10953280247217</v>
      </c>
      <c r="M266">
        <v>100.79696658472108</v>
      </c>
      <c r="N266">
        <v>6.0733345852965543</v>
      </c>
      <c r="O266">
        <v>107.41131248813558</v>
      </c>
      <c r="P266">
        <v>194.87069783582012</v>
      </c>
      <c r="Q266">
        <v>139.07617883901096</v>
      </c>
      <c r="R266">
        <v>190.09985857668178</v>
      </c>
      <c r="S266">
        <v>103.60596716758337</v>
      </c>
      <c r="T266">
        <v>102.98270467618507</v>
      </c>
      <c r="U266">
        <v>102.99357285924717</v>
      </c>
      <c r="V266">
        <v>101.99576688279859</v>
      </c>
      <c r="W266">
        <v>132.80219211593132</v>
      </c>
      <c r="X266">
        <v>226.94933233024102</v>
      </c>
      <c r="Y266">
        <v>53.730791333758503</v>
      </c>
      <c r="Z266">
        <v>53.636897787507188</v>
      </c>
      <c r="AA266">
        <v>154.98394984742777</v>
      </c>
      <c r="AB266">
        <v>198.01369903946366</v>
      </c>
      <c r="AC266">
        <v>252.56585520286967</v>
      </c>
      <c r="AD266">
        <v>116.31698412698411</v>
      </c>
      <c r="AE266">
        <v>236.04613938172352</v>
      </c>
      <c r="AF266">
        <v>186.51421634002577</v>
      </c>
      <c r="AG266">
        <v>-46.030776799999998</v>
      </c>
      <c r="AH266">
        <v>1182.9129809999999</v>
      </c>
      <c r="AI266">
        <v>1136.8822041999999</v>
      </c>
    </row>
    <row r="267" spans="1:35">
      <c r="A267" t="s">
        <v>373</v>
      </c>
      <c r="B267">
        <v>99.94673624628912</v>
      </c>
      <c r="C267">
        <v>100.11060544633158</v>
      </c>
      <c r="D267">
        <v>104.52825804085664</v>
      </c>
      <c r="E267">
        <v>103.3798055903072</v>
      </c>
      <c r="F267">
        <v>3.5944786454347817</v>
      </c>
      <c r="G267">
        <v>2.4190132494156771</v>
      </c>
      <c r="H267">
        <v>110.77997927777152</v>
      </c>
      <c r="I267">
        <v>102.80221673226447</v>
      </c>
      <c r="J267">
        <v>103.0022591743697</v>
      </c>
      <c r="K267">
        <v>104.96550947395455</v>
      </c>
      <c r="L267">
        <v>101.82772085152408</v>
      </c>
      <c r="M267">
        <v>100.823678677823</v>
      </c>
      <c r="N267">
        <v>6.0587526099521831</v>
      </c>
      <c r="O267">
        <v>107.50921825590555</v>
      </c>
      <c r="P267">
        <v>187.74133461409113</v>
      </c>
      <c r="Q267">
        <v>138.5737642493435</v>
      </c>
      <c r="R267">
        <v>184.75974097362797</v>
      </c>
      <c r="S267">
        <v>103.97554590443549</v>
      </c>
      <c r="T267">
        <v>103.25317372301051</v>
      </c>
      <c r="U267">
        <v>103.32639619350977</v>
      </c>
      <c r="V267">
        <v>102.2410477013855</v>
      </c>
      <c r="W267">
        <v>129.79625148815614</v>
      </c>
      <c r="X267">
        <v>218.56779417007394</v>
      </c>
      <c r="Y267">
        <v>52.786419020798846</v>
      </c>
      <c r="Z267">
        <v>52.761049999664962</v>
      </c>
      <c r="AA267">
        <v>151.09438655802688</v>
      </c>
      <c r="AB267">
        <v>204.98870823141098</v>
      </c>
      <c r="AC267">
        <v>240.75020452075844</v>
      </c>
      <c r="AD267">
        <v>108.18303030303032</v>
      </c>
      <c r="AE267">
        <v>219.71455780495043</v>
      </c>
      <c r="AF267">
        <v>167.84113646507245</v>
      </c>
      <c r="AG267">
        <v>-70.933195299999994</v>
      </c>
      <c r="AH267">
        <v>1212.7861072999999</v>
      </c>
      <c r="AI267">
        <v>1141.8529120000001</v>
      </c>
    </row>
    <row r="268" spans="1:35">
      <c r="A268" t="s">
        <v>374</v>
      </c>
      <c r="B268">
        <v>100.10032588463839</v>
      </c>
      <c r="C268">
        <v>99.852378957335503</v>
      </c>
      <c r="D268">
        <v>105.2397915748315</v>
      </c>
      <c r="E268">
        <v>103.78817982772004</v>
      </c>
      <c r="F268">
        <v>3.5864898801069227</v>
      </c>
      <c r="G268">
        <v>2.4440683625125139</v>
      </c>
      <c r="H268">
        <v>109.70080101021549</v>
      </c>
      <c r="I268">
        <v>103.48261163044232</v>
      </c>
      <c r="J268">
        <v>103.44737568010716</v>
      </c>
      <c r="K268">
        <v>103.6248839757296</v>
      </c>
      <c r="L268">
        <v>100.31826729866469</v>
      </c>
      <c r="M268">
        <v>100.8051518434377</v>
      </c>
      <c r="N268">
        <v>6.0866941947671505</v>
      </c>
      <c r="O268">
        <v>108.63702076927541</v>
      </c>
      <c r="P268">
        <v>185.93717680258968</v>
      </c>
      <c r="Q268">
        <v>133.91703542278486</v>
      </c>
      <c r="R268">
        <v>183.59646338029057</v>
      </c>
      <c r="S268">
        <v>104.23359820623099</v>
      </c>
      <c r="T268">
        <v>103.41301536578185</v>
      </c>
      <c r="U268">
        <v>103.57223257419199</v>
      </c>
      <c r="V268">
        <v>102.42074954742806</v>
      </c>
      <c r="W268">
        <v>127.85077536345601</v>
      </c>
      <c r="X268">
        <v>214.18751535300549</v>
      </c>
      <c r="Y268">
        <v>51.963026470611915</v>
      </c>
      <c r="Z268">
        <v>51.890996287285262</v>
      </c>
      <c r="AA268">
        <v>150.02237592872325</v>
      </c>
      <c r="AB268">
        <v>210.2453415045178</v>
      </c>
      <c r="AC268">
        <v>237.88701459901742</v>
      </c>
      <c r="AD268">
        <v>105.84545454545454</v>
      </c>
      <c r="AE268">
        <v>214.77347938787202</v>
      </c>
      <c r="AF268">
        <v>167.6343561943809</v>
      </c>
      <c r="AG268">
        <v>-59.570253399999999</v>
      </c>
      <c r="AH268">
        <v>1199.5200976000001</v>
      </c>
      <c r="AI268">
        <v>1139.9498441999999</v>
      </c>
    </row>
    <row r="269" spans="1:35">
      <c r="A269" t="s">
        <v>375</v>
      </c>
      <c r="B269">
        <v>100.18133131722105</v>
      </c>
      <c r="C269">
        <v>99.967501529719954</v>
      </c>
      <c r="D269">
        <v>105.53959419798755</v>
      </c>
      <c r="E269">
        <v>104.29496562048237</v>
      </c>
      <c r="F269">
        <v>3.6361422117009439</v>
      </c>
      <c r="G269">
        <v>2.5447097559192189</v>
      </c>
      <c r="H269">
        <v>107.44541915655145</v>
      </c>
      <c r="I269">
        <v>104.47195810391439</v>
      </c>
      <c r="J269">
        <v>104.34188798637658</v>
      </c>
      <c r="K269">
        <v>101.54005384945053</v>
      </c>
      <c r="L269">
        <v>97.770100173430237</v>
      </c>
      <c r="M269">
        <v>100.90694567478531</v>
      </c>
      <c r="N269">
        <v>6.0848161195836541</v>
      </c>
      <c r="O269">
        <v>109.42626126559338</v>
      </c>
      <c r="P269">
        <v>188.47069685358775</v>
      </c>
      <c r="Q269">
        <v>132.52354559883605</v>
      </c>
      <c r="R269">
        <v>182.27141200791723</v>
      </c>
      <c r="S269">
        <v>104.53463980552273</v>
      </c>
      <c r="T269">
        <v>103.650443511573</v>
      </c>
      <c r="U269">
        <v>103.78661290550488</v>
      </c>
      <c r="V269">
        <v>102.58280789252787</v>
      </c>
      <c r="W269">
        <v>126.96076018007869</v>
      </c>
      <c r="X269">
        <v>219.01101015761867</v>
      </c>
      <c r="Y269">
        <v>51.00864334753161</v>
      </c>
      <c r="Z269">
        <v>50.867578945934788</v>
      </c>
      <c r="AA269">
        <v>151.02699768429036</v>
      </c>
      <c r="AB269">
        <v>217.8971972088134</v>
      </c>
      <c r="AC269">
        <v>242.63204679883199</v>
      </c>
      <c r="AD269">
        <v>107.87936507936506</v>
      </c>
      <c r="AE269">
        <v>219.51575174777614</v>
      </c>
      <c r="AF269">
        <v>161.74414448691911</v>
      </c>
      <c r="AG269">
        <v>-40.532150899999998</v>
      </c>
      <c r="AH269">
        <v>1200.1193765999999</v>
      </c>
      <c r="AI269">
        <v>1159.5872257000001</v>
      </c>
    </row>
    <row r="270" spans="1:35">
      <c r="A270" t="s">
        <v>376</v>
      </c>
      <c r="B270">
        <v>97.885290711327571</v>
      </c>
      <c r="C270">
        <v>97.141942790538195</v>
      </c>
      <c r="D270">
        <v>106.01636044991565</v>
      </c>
      <c r="E270">
        <v>104.83358746071048</v>
      </c>
      <c r="F270">
        <v>3.1630194724056091</v>
      </c>
      <c r="G270">
        <v>2.5440589475953028</v>
      </c>
      <c r="H270">
        <v>99.105463374382069</v>
      </c>
      <c r="I270">
        <v>105.7559487750686</v>
      </c>
      <c r="J270">
        <v>106.35591508297249</v>
      </c>
      <c r="K270">
        <v>92.43815814201578</v>
      </c>
      <c r="L270">
        <v>89.485005174413701</v>
      </c>
      <c r="M270">
        <v>101.02877164010991</v>
      </c>
      <c r="N270">
        <v>6.0617190155790919</v>
      </c>
      <c r="O270">
        <v>109.70274190598397</v>
      </c>
      <c r="P270">
        <v>184.134851319023</v>
      </c>
      <c r="Q270">
        <v>133.27996458538001</v>
      </c>
      <c r="R270">
        <v>182.62307200317318</v>
      </c>
      <c r="S270">
        <v>104.81932984930475</v>
      </c>
      <c r="T270">
        <v>103.88589728071587</v>
      </c>
      <c r="U270">
        <v>104.07002792961026</v>
      </c>
      <c r="V270">
        <v>102.79311133584623</v>
      </c>
      <c r="W270">
        <v>126.56096371498175</v>
      </c>
      <c r="X270">
        <v>213.29557852029271</v>
      </c>
      <c r="Y270">
        <v>50.87444569325168</v>
      </c>
      <c r="Z270">
        <v>50.726579244272926</v>
      </c>
      <c r="AA270">
        <v>151.9241890566289</v>
      </c>
      <c r="AB270">
        <v>218.59645044366289</v>
      </c>
      <c r="AC270">
        <v>230.72674767183</v>
      </c>
      <c r="AD270">
        <v>100.45478260869565</v>
      </c>
      <c r="AE270">
        <v>203.03223399698012</v>
      </c>
      <c r="AF270">
        <v>152.96385067442205</v>
      </c>
      <c r="AG270">
        <v>-60.575288899999997</v>
      </c>
      <c r="AH270">
        <v>1238.8444512000001</v>
      </c>
      <c r="AI270">
        <v>1178.2691623000001</v>
      </c>
    </row>
    <row r="271" spans="1:35">
      <c r="A271" t="s">
        <v>377</v>
      </c>
      <c r="B271">
        <v>97.868249586268561</v>
      </c>
      <c r="C271">
        <v>97.263035705426788</v>
      </c>
      <c r="D271">
        <v>105.89514265481515</v>
      </c>
      <c r="E271">
        <v>104.55799675819515</v>
      </c>
      <c r="F271">
        <v>2.9060281011454832</v>
      </c>
      <c r="G271">
        <v>2.5272948208360493</v>
      </c>
      <c r="H271">
        <v>92.838428725674021</v>
      </c>
      <c r="I271">
        <v>106.34174282418607</v>
      </c>
      <c r="J271">
        <v>106.90067606583271</v>
      </c>
      <c r="K271">
        <v>82.425630113796927</v>
      </c>
      <c r="L271">
        <v>83.375022705907597</v>
      </c>
      <c r="M271">
        <v>101.14381647864663</v>
      </c>
      <c r="N271">
        <v>6.0687696623369982</v>
      </c>
      <c r="O271">
        <v>110.13969716459219</v>
      </c>
      <c r="P271">
        <v>182.10749205110676</v>
      </c>
      <c r="Q271">
        <v>130.31277255534164</v>
      </c>
      <c r="R271">
        <v>182.79367564695855</v>
      </c>
      <c r="S271">
        <v>105.16965459153758</v>
      </c>
      <c r="T271">
        <v>104.19248316811347</v>
      </c>
      <c r="U271">
        <v>104.35391422275555</v>
      </c>
      <c r="V271">
        <v>103.05796571350139</v>
      </c>
      <c r="W271">
        <v>120.63699399481941</v>
      </c>
      <c r="X271">
        <v>206.26628954824653</v>
      </c>
      <c r="Y271">
        <v>50.43884130956706</v>
      </c>
      <c r="Z271">
        <v>50.311331206554847</v>
      </c>
      <c r="AA271">
        <v>147.5671807395037</v>
      </c>
      <c r="AB271">
        <v>216.76271840757596</v>
      </c>
      <c r="AC271">
        <v>232.06916596871361</v>
      </c>
      <c r="AD271">
        <v>101.3551515151515</v>
      </c>
      <c r="AE271">
        <v>208.89642828651938</v>
      </c>
      <c r="AF271">
        <v>149.95584064752151</v>
      </c>
      <c r="AG271">
        <v>-51.809830499999997</v>
      </c>
      <c r="AH271">
        <v>1200.0355400000001</v>
      </c>
      <c r="AI271">
        <v>1148.2257095</v>
      </c>
    </row>
    <row r="272" spans="1:35">
      <c r="A272" t="s">
        <v>378</v>
      </c>
      <c r="B272">
        <v>96.615601011600589</v>
      </c>
      <c r="C272">
        <v>96.019531479886055</v>
      </c>
      <c r="D272">
        <v>105.62459427445565</v>
      </c>
      <c r="E272">
        <v>104.65754138985173</v>
      </c>
      <c r="F272">
        <v>3.0924506010924842</v>
      </c>
      <c r="G272">
        <v>2.5140543603539482</v>
      </c>
      <c r="H272">
        <v>100.41449611400142</v>
      </c>
      <c r="I272">
        <v>107.00877523198477</v>
      </c>
      <c r="J272">
        <v>107.58735934395428</v>
      </c>
      <c r="K272">
        <v>91.594088767696917</v>
      </c>
      <c r="L272">
        <v>90.511107763080659</v>
      </c>
      <c r="M272">
        <v>101.2949560375238</v>
      </c>
      <c r="N272">
        <v>6.0267439093018114</v>
      </c>
      <c r="O272">
        <v>110.9754484764066</v>
      </c>
      <c r="P272">
        <v>175.68428265031281</v>
      </c>
      <c r="Q272">
        <v>120.87450369464527</v>
      </c>
      <c r="R272">
        <v>177.13350660188539</v>
      </c>
      <c r="S272">
        <v>105.49409973648073</v>
      </c>
      <c r="T272">
        <v>104.43543490791403</v>
      </c>
      <c r="U272">
        <v>104.59227076570888</v>
      </c>
      <c r="V272">
        <v>103.23308766877024</v>
      </c>
      <c r="W272">
        <v>118.24710845754521</v>
      </c>
      <c r="X272">
        <v>182.79272309706354</v>
      </c>
      <c r="Y272">
        <v>50.184158665838019</v>
      </c>
      <c r="Z272">
        <v>50.468361674568584</v>
      </c>
      <c r="AA272">
        <v>138.72238441618518</v>
      </c>
      <c r="AB272">
        <v>219.25062892447826</v>
      </c>
      <c r="AC272">
        <v>229.14871990710444</v>
      </c>
      <c r="AD272">
        <v>99.919841269841285</v>
      </c>
      <c r="AE272">
        <v>206.15535892014157</v>
      </c>
      <c r="AF272">
        <v>142.20726638388004</v>
      </c>
      <c r="AG272">
        <v>-65.137205899999998</v>
      </c>
      <c r="AH272">
        <v>1195.2275281</v>
      </c>
      <c r="AI272">
        <v>1130.0903221999999</v>
      </c>
    </row>
    <row r="273" spans="1:35">
      <c r="A273" t="s">
        <v>379</v>
      </c>
      <c r="B273">
        <v>98.438767208425901</v>
      </c>
      <c r="C273">
        <v>98.520683145786492</v>
      </c>
      <c r="D273">
        <v>106.1274716523705</v>
      </c>
      <c r="E273">
        <v>104.73680835997909</v>
      </c>
      <c r="F273">
        <v>3.087841379318669</v>
      </c>
      <c r="G273">
        <v>2.4455925128052525</v>
      </c>
      <c r="H273">
        <v>97.944472044055445</v>
      </c>
      <c r="I273">
        <v>107.61820430550672</v>
      </c>
      <c r="J273">
        <v>108.24654661790467</v>
      </c>
      <c r="K273">
        <v>87.507164287647214</v>
      </c>
      <c r="L273">
        <v>88.149907371127384</v>
      </c>
      <c r="M273">
        <v>101.4422883939815</v>
      </c>
      <c r="N273">
        <v>5.9953918732234124</v>
      </c>
      <c r="O273">
        <v>111.00118127075021</v>
      </c>
      <c r="P273">
        <v>178.04025640676167</v>
      </c>
      <c r="Q273">
        <v>119.72694511674173</v>
      </c>
      <c r="R273">
        <v>168.93517373767475</v>
      </c>
      <c r="S273">
        <v>105.77673757087082</v>
      </c>
      <c r="T273">
        <v>104.66119488367684</v>
      </c>
      <c r="U273">
        <v>104.86528264398044</v>
      </c>
      <c r="V273">
        <v>103.43101108869432</v>
      </c>
      <c r="W273">
        <v>118.05669557818973</v>
      </c>
      <c r="X273">
        <v>175.17952256386903</v>
      </c>
      <c r="Y273">
        <v>49.328637794673192</v>
      </c>
      <c r="Z273">
        <v>49.45191185173055</v>
      </c>
      <c r="AA273">
        <v>137.48637846016834</v>
      </c>
      <c r="AB273">
        <v>215.85123755695804</v>
      </c>
      <c r="AC273">
        <v>236.70040013805149</v>
      </c>
      <c r="AD273">
        <v>105.36242424242424</v>
      </c>
      <c r="AE273">
        <v>218.32828294018759</v>
      </c>
      <c r="AF273">
        <v>132.14472734245371</v>
      </c>
      <c r="AG273">
        <v>-68.509293400000004</v>
      </c>
      <c r="AH273">
        <v>1206.1053142999999</v>
      </c>
      <c r="AI273">
        <v>1137.5960209</v>
      </c>
    </row>
    <row r="274" spans="1:35">
      <c r="A274" t="s">
        <v>380</v>
      </c>
      <c r="B274">
        <v>100.42607521266012</v>
      </c>
      <c r="C274">
        <v>100.53237548422283</v>
      </c>
      <c r="D274">
        <v>106.9484756236654</v>
      </c>
      <c r="E274">
        <v>105.28137987647033</v>
      </c>
      <c r="F274">
        <v>2.9650905682737192</v>
      </c>
      <c r="G274">
        <v>2.3600425302138066</v>
      </c>
      <c r="H274">
        <v>97.541977480457902</v>
      </c>
      <c r="I274">
        <v>108.39659627538609</v>
      </c>
      <c r="J274">
        <v>108.76062168586245</v>
      </c>
      <c r="K274">
        <v>86.333142596030712</v>
      </c>
      <c r="L274">
        <v>88.092210283023761</v>
      </c>
      <c r="M274">
        <v>101.52607071981497</v>
      </c>
      <c r="N274">
        <v>5.9744087639584773</v>
      </c>
      <c r="O274">
        <v>111.87730388838571</v>
      </c>
      <c r="P274">
        <v>174.76123515274494</v>
      </c>
      <c r="Q274">
        <v>116.82840867326591</v>
      </c>
      <c r="R274">
        <v>165.00877677094735</v>
      </c>
      <c r="S274">
        <v>105.96096432492715</v>
      </c>
      <c r="T274">
        <v>104.80159674259836</v>
      </c>
      <c r="U274">
        <v>105.09324491137771</v>
      </c>
      <c r="V274">
        <v>103.62426709170106</v>
      </c>
      <c r="W274">
        <v>115.07819537229739</v>
      </c>
      <c r="X274">
        <v>174.89437150549674</v>
      </c>
      <c r="Y274">
        <v>50.457100791543468</v>
      </c>
      <c r="Z274">
        <v>50.508843101210502</v>
      </c>
      <c r="AA274">
        <v>133.71259039901713</v>
      </c>
      <c r="AB274">
        <v>215.90459264439343</v>
      </c>
      <c r="AC274">
        <v>234.13704637354604</v>
      </c>
      <c r="AD274">
        <v>104.26363636363637</v>
      </c>
      <c r="AE274">
        <v>218.88018469007034</v>
      </c>
      <c r="AF274">
        <v>128.09923395175574</v>
      </c>
      <c r="AG274">
        <v>-57.405976600000002</v>
      </c>
      <c r="AH274">
        <v>1187.5574511</v>
      </c>
      <c r="AI274">
        <v>1130.1514744999999</v>
      </c>
    </row>
    <row r="275" spans="1:35">
      <c r="A275" t="s">
        <v>381</v>
      </c>
      <c r="B275">
        <v>100.62319020084949</v>
      </c>
      <c r="C275">
        <v>100.34852218987747</v>
      </c>
      <c r="D275">
        <v>107.08201182624978</v>
      </c>
      <c r="E275">
        <v>105.41595839820499</v>
      </c>
      <c r="F275">
        <v>2.817013604925461</v>
      </c>
      <c r="G275">
        <v>2.4793698332909524</v>
      </c>
      <c r="H275">
        <v>102.2378721482422</v>
      </c>
      <c r="I275">
        <v>109.04143792430578</v>
      </c>
      <c r="J275">
        <v>109.15084396350827</v>
      </c>
      <c r="K275">
        <v>92.614159821902945</v>
      </c>
      <c r="L275">
        <v>93.037412167661302</v>
      </c>
      <c r="M275">
        <v>101.5623549155016</v>
      </c>
      <c r="N275">
        <v>5.9567350780138115</v>
      </c>
      <c r="O275">
        <v>112.24847171680152</v>
      </c>
      <c r="P275">
        <v>177.61859401088353</v>
      </c>
      <c r="Q275">
        <v>115.95694940895275</v>
      </c>
      <c r="R275">
        <v>170.12516407995241</v>
      </c>
      <c r="S275">
        <v>106.27243276659422</v>
      </c>
      <c r="T275">
        <v>105.08358860982815</v>
      </c>
      <c r="U275">
        <v>105.32009870787911</v>
      </c>
      <c r="V275">
        <v>103.82356719630586</v>
      </c>
      <c r="W275">
        <v>117.84453180774153</v>
      </c>
      <c r="X275">
        <v>183.21517486505689</v>
      </c>
      <c r="Y275">
        <v>51.380756690704096</v>
      </c>
      <c r="Z275">
        <v>51.419004192381166</v>
      </c>
      <c r="AA275">
        <v>136.81511385798376</v>
      </c>
      <c r="AB275">
        <v>208.45115241814261</v>
      </c>
      <c r="AC275">
        <v>236.6397809281508</v>
      </c>
      <c r="AD275">
        <v>106.8930303030303</v>
      </c>
      <c r="AE275">
        <v>225.89115617642514</v>
      </c>
      <c r="AF275">
        <v>132.99197136773969</v>
      </c>
      <c r="AG275">
        <v>-62.146864299999997</v>
      </c>
      <c r="AH275">
        <v>1197.8562783</v>
      </c>
      <c r="AI275">
        <v>1135.7094139999999</v>
      </c>
    </row>
    <row r="276" spans="1:35">
      <c r="A276" t="s">
        <v>382</v>
      </c>
      <c r="B276">
        <v>101.78333746014981</v>
      </c>
      <c r="C276">
        <v>102.04519047236597</v>
      </c>
      <c r="D276">
        <v>108.04250348345521</v>
      </c>
      <c r="E276">
        <v>105.93677030810962</v>
      </c>
      <c r="F276">
        <v>2.7807420087265728</v>
      </c>
      <c r="G276">
        <v>2.4733476768818421</v>
      </c>
      <c r="H276">
        <v>107.38782166510579</v>
      </c>
      <c r="I276">
        <v>109.68513653976603</v>
      </c>
      <c r="J276">
        <v>109.52637488015687</v>
      </c>
      <c r="K276">
        <v>97.417095187994846</v>
      </c>
      <c r="L276">
        <v>97.389951826051956</v>
      </c>
      <c r="M276">
        <v>101.63910376997866</v>
      </c>
      <c r="N276">
        <v>5.9701826144012919</v>
      </c>
      <c r="O276">
        <v>114.00784261895838</v>
      </c>
      <c r="P276">
        <v>183.12773659145046</v>
      </c>
      <c r="Q276">
        <v>114.18734587519316</v>
      </c>
      <c r="R276">
        <v>170.8758848092555</v>
      </c>
      <c r="S276">
        <v>106.56708830133451</v>
      </c>
      <c r="T276">
        <v>105.33539318606029</v>
      </c>
      <c r="U276">
        <v>105.48464940953701</v>
      </c>
      <c r="V276">
        <v>103.95616028341288</v>
      </c>
      <c r="W276">
        <v>120.59323284738623</v>
      </c>
      <c r="X276">
        <v>187.27385824858268</v>
      </c>
      <c r="Y276">
        <v>51.096720835471956</v>
      </c>
      <c r="Z276">
        <v>51.329104598870842</v>
      </c>
      <c r="AA276">
        <v>140.7850249400272</v>
      </c>
      <c r="AB276">
        <v>201.94245992475476</v>
      </c>
      <c r="AC276">
        <v>244.37538237063012</v>
      </c>
      <c r="AD276">
        <v>112.70380952380951</v>
      </c>
      <c r="AE276">
        <v>236.12054467216319</v>
      </c>
      <c r="AF276">
        <v>137.75772241028153</v>
      </c>
      <c r="AG276">
        <v>-72.356189499999999</v>
      </c>
      <c r="AH276">
        <v>1224.4790266</v>
      </c>
      <c r="AI276">
        <v>1152.1228371</v>
      </c>
    </row>
    <row r="277" spans="1:35">
      <c r="A277" t="s">
        <v>383</v>
      </c>
      <c r="B277">
        <v>101.12383746918105</v>
      </c>
      <c r="C277">
        <v>101.49375481973784</v>
      </c>
      <c r="D277">
        <v>107.77739809835423</v>
      </c>
      <c r="E277">
        <v>105.71370135515912</v>
      </c>
      <c r="F277">
        <v>2.7580723088917831</v>
      </c>
      <c r="G277">
        <v>2.4439234262563119</v>
      </c>
      <c r="H277">
        <v>107.4520151825149</v>
      </c>
      <c r="I277">
        <v>110.53889216811727</v>
      </c>
      <c r="J277">
        <v>110.33606200273813</v>
      </c>
      <c r="K277">
        <v>96.544462626641845</v>
      </c>
      <c r="L277">
        <v>97.377225596138473</v>
      </c>
      <c r="M277">
        <v>101.74697035895331</v>
      </c>
      <c r="N277">
        <v>5.992438071703079</v>
      </c>
      <c r="O277">
        <v>114.49935986049309</v>
      </c>
      <c r="P277">
        <v>187.23438803187341</v>
      </c>
      <c r="Q277">
        <v>110.44370872876328</v>
      </c>
      <c r="R277">
        <v>161.71936864266704</v>
      </c>
      <c r="S277">
        <v>106.94079841441888</v>
      </c>
      <c r="T277">
        <v>105.63032890980023</v>
      </c>
      <c r="U277">
        <v>105.7501239403997</v>
      </c>
      <c r="V277">
        <v>104.17807199816703</v>
      </c>
      <c r="W277">
        <v>123.09949405875805</v>
      </c>
      <c r="X277">
        <v>187.70109106417283</v>
      </c>
      <c r="Y277">
        <v>51.177932412192014</v>
      </c>
      <c r="Z277">
        <v>51.166901299021632</v>
      </c>
      <c r="AA277">
        <v>141.53673707725272</v>
      </c>
      <c r="AB277">
        <v>207.26155825486137</v>
      </c>
      <c r="AC277">
        <v>253.33486741662077</v>
      </c>
      <c r="AD277">
        <v>117.785</v>
      </c>
      <c r="AE277">
        <v>248.16123667907581</v>
      </c>
      <c r="AF277">
        <v>135.7068003200487</v>
      </c>
      <c r="AG277">
        <v>-71.1342918</v>
      </c>
      <c r="AH277">
        <v>1223.8759164999999</v>
      </c>
      <c r="AI277">
        <v>1152.7416247000001</v>
      </c>
    </row>
    <row r="278" spans="1:35">
      <c r="A278" t="s">
        <v>384</v>
      </c>
      <c r="B278">
        <v>101.00780332449645</v>
      </c>
      <c r="C278">
        <v>101.3587587404021</v>
      </c>
      <c r="D278">
        <v>107.37556553953165</v>
      </c>
      <c r="E278">
        <v>105.46189927194327</v>
      </c>
      <c r="F278">
        <v>2.722363006676717</v>
      </c>
      <c r="G278">
        <v>2.403221130371743</v>
      </c>
      <c r="H278">
        <v>105.98633267845065</v>
      </c>
      <c r="I278">
        <v>110.96364768775405</v>
      </c>
      <c r="J278">
        <v>110.78160244767814</v>
      </c>
      <c r="K278">
        <v>94.354508316654403</v>
      </c>
      <c r="L278">
        <v>95.136336330836002</v>
      </c>
      <c r="M278">
        <v>101.86022651261923</v>
      </c>
      <c r="N278">
        <v>5.9413569742451893</v>
      </c>
      <c r="O278">
        <v>114.3131166469712</v>
      </c>
      <c r="P278">
        <v>184.22992962297275</v>
      </c>
      <c r="Q278">
        <v>107.30004176001698</v>
      </c>
      <c r="R278">
        <v>157.2452439962978</v>
      </c>
      <c r="S278">
        <v>107.28562061348288</v>
      </c>
      <c r="T278">
        <v>105.90434956471168</v>
      </c>
      <c r="U278">
        <v>106.03598451760685</v>
      </c>
      <c r="V278">
        <v>104.4056308152016</v>
      </c>
      <c r="W278">
        <v>122.16986095625131</v>
      </c>
      <c r="X278">
        <v>186.17544785226792</v>
      </c>
      <c r="Y278">
        <v>50.712558816245853</v>
      </c>
      <c r="Z278">
        <v>51.001668781433438</v>
      </c>
      <c r="AA278">
        <v>141.22359890531962</v>
      </c>
      <c r="AB278">
        <v>209.99996406048973</v>
      </c>
      <c r="AC278">
        <v>246.43748335125534</v>
      </c>
      <c r="AD278">
        <v>113.75079365079364</v>
      </c>
      <c r="AE278">
        <v>239.28052951230242</v>
      </c>
      <c r="AF278">
        <v>135.82200458690062</v>
      </c>
      <c r="AG278">
        <v>-53.669032899999998</v>
      </c>
      <c r="AH278">
        <v>1195.0083884999999</v>
      </c>
      <c r="AI278">
        <v>1141.3393556000001</v>
      </c>
    </row>
    <row r="279" spans="1:35">
      <c r="A279" t="s">
        <v>385</v>
      </c>
      <c r="B279">
        <v>100.80762467903801</v>
      </c>
      <c r="C279">
        <v>100.82050666554699</v>
      </c>
      <c r="D279">
        <v>108.31288949283446</v>
      </c>
      <c r="E279">
        <v>106.10119375322707</v>
      </c>
      <c r="F279">
        <v>2.6875137914749372</v>
      </c>
      <c r="G279">
        <v>2.3777333272923706</v>
      </c>
      <c r="H279">
        <v>98.43540133538437</v>
      </c>
      <c r="I279">
        <v>111.6159949043136</v>
      </c>
      <c r="J279">
        <v>111.57834913309071</v>
      </c>
      <c r="K279">
        <v>83.915823179884967</v>
      </c>
      <c r="L279">
        <v>87.521575527222723</v>
      </c>
      <c r="M279">
        <v>102.0422600105707</v>
      </c>
      <c r="N279">
        <v>5.9197925208750739</v>
      </c>
      <c r="O279">
        <v>114.76016354996005</v>
      </c>
      <c r="P279">
        <v>173.3476511974485</v>
      </c>
      <c r="Q279">
        <v>107.79697081579943</v>
      </c>
      <c r="R279">
        <v>146.91437378130522</v>
      </c>
      <c r="S279">
        <v>107.38705494407243</v>
      </c>
      <c r="T279">
        <v>105.89253646015513</v>
      </c>
      <c r="U279">
        <v>106.24769493737789</v>
      </c>
      <c r="V279">
        <v>104.55028156044067</v>
      </c>
      <c r="W279">
        <v>116.5342386383212</v>
      </c>
      <c r="X279">
        <v>176.15120747384736</v>
      </c>
      <c r="Y279">
        <v>49.624083395501884</v>
      </c>
      <c r="Z279">
        <v>50.017103289237831</v>
      </c>
      <c r="AA279">
        <v>135.32552353845421</v>
      </c>
      <c r="AB279">
        <v>210.91656341930781</v>
      </c>
      <c r="AC279">
        <v>228.3456831090528</v>
      </c>
      <c r="AD279">
        <v>104.15811594202896</v>
      </c>
      <c r="AE279">
        <v>220.83069797265395</v>
      </c>
      <c r="AF279">
        <v>132.79477176929745</v>
      </c>
      <c r="AG279">
        <v>-63.0595681</v>
      </c>
      <c r="AH279">
        <v>1227.5069887</v>
      </c>
      <c r="AI279">
        <v>1164.4474206</v>
      </c>
    </row>
    <row r="280" spans="1:35">
      <c r="A280" t="s">
        <v>386</v>
      </c>
      <c r="B280">
        <v>99.766939125074686</v>
      </c>
      <c r="C280">
        <v>100.02955489835155</v>
      </c>
      <c r="D280">
        <v>108.04995660629091</v>
      </c>
      <c r="E280">
        <v>105.70116814546185</v>
      </c>
      <c r="F280">
        <v>2.5498633976348608</v>
      </c>
      <c r="G280">
        <v>2.3509572663876002</v>
      </c>
      <c r="H280">
        <v>101.56033419175901</v>
      </c>
      <c r="I280">
        <v>112.44112203022539</v>
      </c>
      <c r="J280">
        <v>112.64079847414298</v>
      </c>
      <c r="K280">
        <v>88.380594696857457</v>
      </c>
      <c r="L280">
        <v>91.052695577424515</v>
      </c>
      <c r="M280">
        <v>102.13882499347274</v>
      </c>
      <c r="N280">
        <v>5.9236282446847648</v>
      </c>
      <c r="O280">
        <v>115.32706007209732</v>
      </c>
      <c r="P280">
        <v>162.08035007341985</v>
      </c>
      <c r="Q280">
        <v>103.29564749080424</v>
      </c>
      <c r="R280">
        <v>132.14947708351062</v>
      </c>
      <c r="S280">
        <v>107.46523801275048</v>
      </c>
      <c r="T280">
        <v>105.89772308581264</v>
      </c>
      <c r="U280">
        <v>106.48013170415665</v>
      </c>
      <c r="V280">
        <v>104.70412514553244</v>
      </c>
      <c r="W280">
        <v>116.75688980702866</v>
      </c>
      <c r="X280">
        <v>169.98041123816992</v>
      </c>
      <c r="Y280">
        <v>49.172252589427899</v>
      </c>
      <c r="Z280">
        <v>49.600722756250534</v>
      </c>
      <c r="AA280">
        <v>132.32867492012514</v>
      </c>
      <c r="AB280">
        <v>215.89046501258179</v>
      </c>
      <c r="AC280">
        <v>205.11538467694805</v>
      </c>
      <c r="AD280">
        <v>90.728253968253952</v>
      </c>
      <c r="AE280">
        <v>194.35606048464365</v>
      </c>
      <c r="AF280">
        <v>124.0249227093007</v>
      </c>
      <c r="AG280">
        <v>-46.635856199999999</v>
      </c>
      <c r="AH280">
        <v>1178.2171266</v>
      </c>
      <c r="AI280">
        <v>1131.5812704</v>
      </c>
    </row>
    <row r="281" spans="1:35">
      <c r="A281" t="s">
        <v>387</v>
      </c>
      <c r="B281">
        <v>100.15292789104846</v>
      </c>
      <c r="C281">
        <v>100.48765592433789</v>
      </c>
      <c r="D281">
        <v>108.36283014087947</v>
      </c>
      <c r="E281">
        <v>106.01720903085494</v>
      </c>
      <c r="F281">
        <v>2.4096670017495692</v>
      </c>
      <c r="G281">
        <v>2.238726353575005</v>
      </c>
      <c r="H281">
        <v>102.6146836212255</v>
      </c>
      <c r="I281">
        <v>113.12125414903329</v>
      </c>
      <c r="J281">
        <v>113.86944073695626</v>
      </c>
      <c r="K281">
        <v>89.236116344410746</v>
      </c>
      <c r="L281">
        <v>92.286686679028719</v>
      </c>
      <c r="M281">
        <v>102.17946072662976</v>
      </c>
      <c r="N281">
        <v>5.9330028241480273</v>
      </c>
      <c r="O281">
        <v>115.67921389270089</v>
      </c>
      <c r="P281">
        <v>167.31402559156473</v>
      </c>
      <c r="Q281">
        <v>108.29026856361374</v>
      </c>
      <c r="R281">
        <v>132.83830196551349</v>
      </c>
      <c r="S281">
        <v>107.68345616400146</v>
      </c>
      <c r="T281">
        <v>106.05897699787401</v>
      </c>
      <c r="U281">
        <v>106.71029979160367</v>
      </c>
      <c r="V281">
        <v>104.89394646430128</v>
      </c>
      <c r="W281">
        <v>123.55572981050605</v>
      </c>
      <c r="X281">
        <v>166.35899971121523</v>
      </c>
      <c r="Y281">
        <v>48.526738890298894</v>
      </c>
      <c r="Z281">
        <v>49.221020202954008</v>
      </c>
      <c r="AA281">
        <v>134.39966812721249</v>
      </c>
      <c r="AB281">
        <v>212.2266142912658</v>
      </c>
      <c r="AC281">
        <v>214.92379899534706</v>
      </c>
      <c r="AD281">
        <v>96.750454545454559</v>
      </c>
      <c r="AE281">
        <v>208.46653920297831</v>
      </c>
      <c r="AF281">
        <v>123.22005092680313</v>
      </c>
      <c r="AG281">
        <v>-52.313309199999999</v>
      </c>
      <c r="AH281">
        <v>1167.5647873999999</v>
      </c>
      <c r="AI281">
        <v>1115.2514782000001</v>
      </c>
    </row>
    <row r="282" spans="1:35">
      <c r="A282" t="s">
        <v>388</v>
      </c>
      <c r="B282">
        <v>99.549962025481804</v>
      </c>
      <c r="C282">
        <v>99.673554885922229</v>
      </c>
      <c r="D282">
        <v>108.3724214276109</v>
      </c>
      <c r="E282">
        <v>106.00480017533647</v>
      </c>
      <c r="F282">
        <v>2.3452907794693147</v>
      </c>
      <c r="G282">
        <v>2.2133598411791722</v>
      </c>
      <c r="H282">
        <v>104.05880625753674</v>
      </c>
      <c r="I282">
        <v>113.7361053134286</v>
      </c>
      <c r="J282">
        <v>114.75642735571402</v>
      </c>
      <c r="K282">
        <v>90.951298291365362</v>
      </c>
      <c r="L282">
        <v>93.464607855625388</v>
      </c>
      <c r="M282">
        <v>102.19787872036254</v>
      </c>
      <c r="N282">
        <v>5.9146546400146685</v>
      </c>
      <c r="O282">
        <v>116.52826806032212</v>
      </c>
      <c r="P282">
        <v>171.97439708442298</v>
      </c>
      <c r="Q282">
        <v>107.08804994578956</v>
      </c>
      <c r="R282">
        <v>135.88051469884721</v>
      </c>
      <c r="S282">
        <v>108.17115283348544</v>
      </c>
      <c r="T282">
        <v>106.48227605687582</v>
      </c>
      <c r="U282">
        <v>106.93500251549915</v>
      </c>
      <c r="V282">
        <v>105.03176840638177</v>
      </c>
      <c r="W282">
        <v>124.87643965800201</v>
      </c>
      <c r="X282">
        <v>154.20961964448682</v>
      </c>
      <c r="Y282">
        <v>48.822832364939316</v>
      </c>
      <c r="Z282">
        <v>49.153377633170827</v>
      </c>
      <c r="AA282">
        <v>132.97887510169247</v>
      </c>
      <c r="AB282">
        <v>207.68100538436391</v>
      </c>
      <c r="AC282">
        <v>228.38041890547041</v>
      </c>
      <c r="AD282">
        <v>105.28043478260869</v>
      </c>
      <c r="AE282">
        <v>225.8608633194103</v>
      </c>
      <c r="AF282">
        <v>120.04965358844375</v>
      </c>
      <c r="AG282">
        <v>-53.1827416</v>
      </c>
      <c r="AH282">
        <v>1185.1130410999999</v>
      </c>
      <c r="AI282">
        <v>1131.9302995</v>
      </c>
    </row>
    <row r="283" spans="1:35">
      <c r="A283" t="s">
        <v>389</v>
      </c>
      <c r="B283">
        <v>100.69616819277661</v>
      </c>
      <c r="C283">
        <v>100.92619268611455</v>
      </c>
      <c r="D283">
        <v>107.97708046365931</v>
      </c>
      <c r="E283">
        <v>105.20670402844505</v>
      </c>
      <c r="F283">
        <v>2.2506356453587926</v>
      </c>
      <c r="G283">
        <v>2.2163896814489119</v>
      </c>
      <c r="H283">
        <v>106.05142836231376</v>
      </c>
      <c r="I283">
        <v>114.53195202804427</v>
      </c>
      <c r="J283">
        <v>115.84831685342279</v>
      </c>
      <c r="K283">
        <v>94.114343042501076</v>
      </c>
      <c r="L283">
        <v>95.681332524307678</v>
      </c>
      <c r="M283">
        <v>102.29580265974529</v>
      </c>
      <c r="N283">
        <v>5.8978486495777718</v>
      </c>
      <c r="O283">
        <v>117.25849309013319</v>
      </c>
      <c r="P283">
        <v>173.70715946887171</v>
      </c>
      <c r="Q283">
        <v>108.24556998330073</v>
      </c>
      <c r="R283">
        <v>133.29704022439071</v>
      </c>
      <c r="S283">
        <v>108.55680723849123</v>
      </c>
      <c r="T283">
        <v>106.85163273943539</v>
      </c>
      <c r="U283">
        <v>107.22617010022115</v>
      </c>
      <c r="V283">
        <v>105.28668990620649</v>
      </c>
      <c r="W283">
        <v>122.34305021669648</v>
      </c>
      <c r="X283">
        <v>156.92482090617159</v>
      </c>
      <c r="Y283">
        <v>48.964464924853623</v>
      </c>
      <c r="Z283">
        <v>49.268009133979518</v>
      </c>
      <c r="AA283">
        <v>134.56243132076744</v>
      </c>
      <c r="AB283">
        <v>209.34032853689095</v>
      </c>
      <c r="AC283">
        <v>230.32900417911242</v>
      </c>
      <c r="AD283">
        <v>106.31766666666665</v>
      </c>
      <c r="AE283">
        <v>224.3928341914835</v>
      </c>
      <c r="AF283">
        <v>122.55314199917372</v>
      </c>
      <c r="AG283">
        <v>-48.441182400000002</v>
      </c>
      <c r="AH283">
        <v>1196.3435649999999</v>
      </c>
      <c r="AI283">
        <v>1147.9023826</v>
      </c>
    </row>
    <row r="284" spans="1:35">
      <c r="A284" t="s">
        <v>390</v>
      </c>
      <c r="B284">
        <v>101.78979453625657</v>
      </c>
      <c r="C284">
        <v>101.9936268228641</v>
      </c>
      <c r="D284">
        <v>108.59182142723913</v>
      </c>
      <c r="E284">
        <v>105.5055496339055</v>
      </c>
      <c r="F284">
        <v>2.2294255892115693</v>
      </c>
      <c r="G284">
        <v>2.1950900127416562</v>
      </c>
      <c r="H284">
        <v>105.90351557792812</v>
      </c>
      <c r="I284">
        <v>115.20056773964778</v>
      </c>
      <c r="J284">
        <v>116.73434948684694</v>
      </c>
      <c r="K284">
        <v>94.368605580925404</v>
      </c>
      <c r="L284">
        <v>96.157844579210703</v>
      </c>
      <c r="M284">
        <v>102.32169463865206</v>
      </c>
      <c r="N284">
        <v>5.8986505502143309</v>
      </c>
      <c r="O284">
        <v>117.42418307311111</v>
      </c>
      <c r="P284">
        <v>172.09686828229323</v>
      </c>
      <c r="Q284">
        <v>105.37039534704142</v>
      </c>
      <c r="R284">
        <v>126.18648174742651</v>
      </c>
      <c r="S284">
        <v>108.80308603054863</v>
      </c>
      <c r="T284">
        <v>107.09093985396522</v>
      </c>
      <c r="U284">
        <v>107.50006154780982</v>
      </c>
      <c r="V284">
        <v>105.49387340997916</v>
      </c>
      <c r="W284">
        <v>121.5073146427973</v>
      </c>
      <c r="X284">
        <v>162.63341061421184</v>
      </c>
      <c r="Y284">
        <v>49.396300298575618</v>
      </c>
      <c r="Z284">
        <v>49.907094173583388</v>
      </c>
      <c r="AA284">
        <v>135.08654434720705</v>
      </c>
      <c r="AB284">
        <v>210.36483494684293</v>
      </c>
      <c r="AC284">
        <v>225.63135207279143</v>
      </c>
      <c r="AD284">
        <v>103.38898550724636</v>
      </c>
      <c r="AE284">
        <v>217.89039033524031</v>
      </c>
      <c r="AF284">
        <v>123.4756242718296</v>
      </c>
      <c r="AG284">
        <v>-56.118247199999999</v>
      </c>
      <c r="AH284">
        <v>1204.6860678999999</v>
      </c>
      <c r="AI284">
        <v>1148.5678207000001</v>
      </c>
    </row>
    <row r="285" spans="1:35">
      <c r="A285" t="s">
        <v>391</v>
      </c>
      <c r="B285">
        <v>101.67764363184502</v>
      </c>
      <c r="C285">
        <v>101.84071435799022</v>
      </c>
      <c r="D285">
        <v>108.73294479328941</v>
      </c>
      <c r="E285">
        <v>105.48821607910594</v>
      </c>
      <c r="F285">
        <v>2.1766901615591263</v>
      </c>
      <c r="G285">
        <v>2.1900380904622283</v>
      </c>
      <c r="H285">
        <v>106.80027755289056</v>
      </c>
      <c r="I285">
        <v>115.70499068430983</v>
      </c>
      <c r="J285">
        <v>117.33009053647272</v>
      </c>
      <c r="K285">
        <v>95.655876154404353</v>
      </c>
      <c r="L285">
        <v>97.733692220660885</v>
      </c>
      <c r="M285">
        <v>102.33332157645411</v>
      </c>
      <c r="N285">
        <v>5.9113379181960344</v>
      </c>
      <c r="O285">
        <v>117.34045081873067</v>
      </c>
      <c r="P285">
        <v>169.75116132995362</v>
      </c>
      <c r="Q285">
        <v>100.90320516512624</v>
      </c>
      <c r="R285">
        <v>129.05902403613399</v>
      </c>
      <c r="S285">
        <v>109.00652462220771</v>
      </c>
      <c r="T285">
        <v>107.1877644456263</v>
      </c>
      <c r="U285">
        <v>107.72226277285431</v>
      </c>
      <c r="V285">
        <v>105.66434884755589</v>
      </c>
      <c r="W285">
        <v>120.52980956113988</v>
      </c>
      <c r="X285">
        <v>162.69193832813815</v>
      </c>
      <c r="Y285">
        <v>49.563937127803008</v>
      </c>
      <c r="Z285">
        <v>50.187776923300639</v>
      </c>
      <c r="AA285">
        <v>133.64123341547855</v>
      </c>
      <c r="AB285">
        <v>211.87652795648907</v>
      </c>
      <c r="AC285">
        <v>221.98324538315228</v>
      </c>
      <c r="AD285">
        <v>101.16575757575757</v>
      </c>
      <c r="AE285">
        <v>214.73723579838028</v>
      </c>
      <c r="AF285">
        <v>122.60777854291372</v>
      </c>
      <c r="AG285">
        <v>-64.580943399999995</v>
      </c>
      <c r="AH285">
        <v>1204.779544</v>
      </c>
      <c r="AI285">
        <v>1140.1986006</v>
      </c>
    </row>
    <row r="286" spans="1:35">
      <c r="A286" t="s">
        <v>392</v>
      </c>
      <c r="B286">
        <v>100.74722639290891</v>
      </c>
      <c r="C286">
        <v>100.81982897673393</v>
      </c>
      <c r="D286">
        <v>109.08945950539749</v>
      </c>
      <c r="E286">
        <v>105.91741377828706</v>
      </c>
      <c r="F286">
        <v>2.0884421370208419</v>
      </c>
      <c r="G286">
        <v>2.1775590092344395</v>
      </c>
      <c r="H286">
        <v>111.49638588709792</v>
      </c>
      <c r="I286">
        <v>116.6533074292164</v>
      </c>
      <c r="J286">
        <v>118.8292377817292</v>
      </c>
      <c r="K286">
        <v>98.787778779240369</v>
      </c>
      <c r="L286">
        <v>100.80971648943799</v>
      </c>
      <c r="M286">
        <v>102.28065658712634</v>
      </c>
      <c r="N286">
        <v>5.9322195078458995</v>
      </c>
      <c r="O286">
        <v>118.19100796023589</v>
      </c>
      <c r="P286">
        <v>170.53821402927176</v>
      </c>
      <c r="Q286">
        <v>98.484537370532465</v>
      </c>
      <c r="R286">
        <v>137.70963520735734</v>
      </c>
      <c r="S286">
        <v>109.3587994742371</v>
      </c>
      <c r="T286">
        <v>107.41330630731754</v>
      </c>
      <c r="U286">
        <v>107.97474583724285</v>
      </c>
      <c r="V286">
        <v>105.85451272818251</v>
      </c>
      <c r="W286">
        <v>120.66788241996602</v>
      </c>
      <c r="X286">
        <v>171.85464571819227</v>
      </c>
      <c r="Y286">
        <v>49.827324693732479</v>
      </c>
      <c r="Z286">
        <v>50.554817717804042</v>
      </c>
      <c r="AA286">
        <v>134.96597772170693</v>
      </c>
      <c r="AB286">
        <v>212.27652687934858</v>
      </c>
      <c r="AC286">
        <v>221.99254097164575</v>
      </c>
      <c r="AD286">
        <v>101.16666666666664</v>
      </c>
      <c r="AE286">
        <v>213.42350584364127</v>
      </c>
      <c r="AF286">
        <v>124.25906808063732</v>
      </c>
      <c r="AG286">
        <v>-48.784255700000003</v>
      </c>
      <c r="AH286">
        <v>1197.2001129</v>
      </c>
      <c r="AI286">
        <v>1148.4158571999999</v>
      </c>
    </row>
    <row r="287" spans="1:35">
      <c r="A287" t="s">
        <v>393</v>
      </c>
      <c r="B287">
        <v>100.08817429829092</v>
      </c>
      <c r="C287">
        <v>99.921274490453342</v>
      </c>
      <c r="D287">
        <v>109.27713549996308</v>
      </c>
      <c r="E287">
        <v>105.82637418598557</v>
      </c>
      <c r="F287">
        <v>2.3485686279081754</v>
      </c>
      <c r="G287">
        <v>2.2849822618652249</v>
      </c>
      <c r="H287">
        <v>116.21349645034111</v>
      </c>
      <c r="I287">
        <v>117.28864883977369</v>
      </c>
      <c r="J287">
        <v>119.30988190575589</v>
      </c>
      <c r="K287">
        <v>103.23634634933097</v>
      </c>
      <c r="L287">
        <v>105.08702966081387</v>
      </c>
      <c r="M287">
        <v>102.41983139523599</v>
      </c>
      <c r="N287">
        <v>5.9935863765036519</v>
      </c>
      <c r="O287">
        <v>118.92628739224862</v>
      </c>
      <c r="P287">
        <v>174.69494768737073</v>
      </c>
      <c r="Q287">
        <v>98.549740655418049</v>
      </c>
      <c r="R287">
        <v>136.22635065015456</v>
      </c>
      <c r="S287">
        <v>109.6979812625644</v>
      </c>
      <c r="T287">
        <v>107.66483873118243</v>
      </c>
      <c r="U287">
        <v>108.16801825539638</v>
      </c>
      <c r="V287">
        <v>106.02045755482538</v>
      </c>
      <c r="W287">
        <v>122.09597533335727</v>
      </c>
      <c r="X287">
        <v>183.41363306458015</v>
      </c>
      <c r="Y287">
        <v>50.784264412774391</v>
      </c>
      <c r="Z287">
        <v>51.276401338016292</v>
      </c>
      <c r="AA287">
        <v>137.67090256700612</v>
      </c>
      <c r="AB287">
        <v>211.42375003335215</v>
      </c>
      <c r="AC287">
        <v>228.24927882025304</v>
      </c>
      <c r="AD287">
        <v>105.04144927536234</v>
      </c>
      <c r="AE287">
        <v>222.00831627705111</v>
      </c>
      <c r="AF287">
        <v>126.62622371401628</v>
      </c>
      <c r="AG287">
        <v>-69.036425800000004</v>
      </c>
      <c r="AH287">
        <v>1238.2720485</v>
      </c>
      <c r="AI287">
        <v>1169.2356227</v>
      </c>
    </row>
    <row r="288" spans="1:35">
      <c r="A288" t="s">
        <v>394</v>
      </c>
      <c r="B288">
        <v>101.54193463457317</v>
      </c>
      <c r="C288">
        <v>101.7122432393499</v>
      </c>
      <c r="D288">
        <v>109.4800260252579</v>
      </c>
      <c r="E288">
        <v>106.12999957449108</v>
      </c>
      <c r="F288">
        <v>2.4947618836001828</v>
      </c>
      <c r="G288">
        <v>2.281533859227268</v>
      </c>
      <c r="H288">
        <v>117.21399463069582</v>
      </c>
      <c r="I288">
        <v>117.74460920910845</v>
      </c>
      <c r="J288">
        <v>119.89726013336576</v>
      </c>
      <c r="K288">
        <v>101.6176190554455</v>
      </c>
      <c r="L288">
        <v>104.8705339173728</v>
      </c>
      <c r="M288">
        <v>102.50260249454692</v>
      </c>
      <c r="N288">
        <v>5.9503433966379378</v>
      </c>
      <c r="O288">
        <v>119.66494388343547</v>
      </c>
      <c r="P288">
        <v>176.17779766521221</v>
      </c>
      <c r="Q288">
        <v>97.535702452118358</v>
      </c>
      <c r="R288">
        <v>137.71980342302746</v>
      </c>
      <c r="S288">
        <v>110.11877995575357</v>
      </c>
      <c r="T288">
        <v>108.00512490869616</v>
      </c>
      <c r="U288">
        <v>108.38801223456198</v>
      </c>
      <c r="V288">
        <v>106.18824963565905</v>
      </c>
      <c r="W288">
        <v>121.33550462915659</v>
      </c>
      <c r="X288">
        <v>185.80548519520644</v>
      </c>
      <c r="Y288">
        <v>50.550746459385039</v>
      </c>
      <c r="Z288">
        <v>50.924679704752101</v>
      </c>
      <c r="AA288">
        <v>137.07399699335079</v>
      </c>
      <c r="AB288">
        <v>210.96097249829828</v>
      </c>
      <c r="AC288">
        <v>232.74044183137357</v>
      </c>
      <c r="AD288">
        <v>107.657</v>
      </c>
      <c r="AE288">
        <v>228.80521777968238</v>
      </c>
      <c r="AF288">
        <v>125.00540336905179</v>
      </c>
      <c r="AG288">
        <v>-45.801116299999997</v>
      </c>
      <c r="AH288">
        <v>1223.5800965000001</v>
      </c>
      <c r="AI288">
        <v>1177.7789802</v>
      </c>
    </row>
    <row r="289" spans="1:35">
      <c r="A289" t="s">
        <v>395</v>
      </c>
      <c r="B289">
        <v>100.37297156868109</v>
      </c>
      <c r="C289">
        <v>100.528447080354</v>
      </c>
      <c r="D289">
        <v>110.17036759878916</v>
      </c>
      <c r="E289">
        <v>106.78022165457224</v>
      </c>
      <c r="F289">
        <v>2.4367792139754769</v>
      </c>
      <c r="G289">
        <v>2.2592696448609724</v>
      </c>
      <c r="H289">
        <v>118.41654452156311</v>
      </c>
      <c r="I289">
        <v>118.74660613645915</v>
      </c>
      <c r="J289">
        <v>120.96313262597209</v>
      </c>
      <c r="K289">
        <v>101.85371229748385</v>
      </c>
      <c r="L289">
        <v>105.821656065361</v>
      </c>
      <c r="M289">
        <v>102.53225200976748</v>
      </c>
      <c r="N289">
        <v>5.9320812594290828</v>
      </c>
      <c r="O289">
        <v>120.11135748612021</v>
      </c>
      <c r="P289">
        <v>171.58681229887668</v>
      </c>
      <c r="Q289">
        <v>97.359210526852323</v>
      </c>
      <c r="R289">
        <v>133.44530774006529</v>
      </c>
      <c r="S289">
        <v>110.17661438568918</v>
      </c>
      <c r="T289">
        <v>108.02342900619668</v>
      </c>
      <c r="U289">
        <v>108.64119222656565</v>
      </c>
      <c r="V289">
        <v>106.41923954276629</v>
      </c>
      <c r="W289">
        <v>121.5997756607396</v>
      </c>
      <c r="X289">
        <v>172.55957454233271</v>
      </c>
      <c r="Y289">
        <v>50.579481366270009</v>
      </c>
      <c r="Z289">
        <v>50.912684923854009</v>
      </c>
      <c r="AA289">
        <v>133.85826061472073</v>
      </c>
      <c r="AB289">
        <v>220.0043161045725</v>
      </c>
      <c r="AC289">
        <v>226.16019409680399</v>
      </c>
      <c r="AD289">
        <v>102.61349206349206</v>
      </c>
      <c r="AE289">
        <v>221.55364469248869</v>
      </c>
      <c r="AF289">
        <v>124.03353252291816</v>
      </c>
      <c r="AG289">
        <v>-36.558248599999999</v>
      </c>
      <c r="AH289">
        <v>1200.6952722000001</v>
      </c>
      <c r="AI289">
        <v>1164.1370236</v>
      </c>
    </row>
    <row r="290" spans="1:35">
      <c r="A290" t="s">
        <v>396</v>
      </c>
      <c r="B290">
        <v>101.30208059726844</v>
      </c>
      <c r="C290">
        <v>101.6402886126499</v>
      </c>
      <c r="D290">
        <v>110.73765045069047</v>
      </c>
      <c r="E290">
        <v>107.20133626525981</v>
      </c>
      <c r="F290">
        <v>2.3351016526176052</v>
      </c>
      <c r="G290">
        <v>2.2629195758396823</v>
      </c>
      <c r="H290">
        <v>120.65121229535427</v>
      </c>
      <c r="I290">
        <v>119.2602084160941</v>
      </c>
      <c r="J290">
        <v>121.97285287998963</v>
      </c>
      <c r="K290">
        <v>104.61141342344563</v>
      </c>
      <c r="L290">
        <v>108.09310153932931</v>
      </c>
      <c r="M290">
        <v>102.64795978486167</v>
      </c>
      <c r="N290">
        <v>5.9493298369158572</v>
      </c>
      <c r="O290">
        <v>121.41118799179502</v>
      </c>
      <c r="P290">
        <v>168.3208811438106</v>
      </c>
      <c r="Q290">
        <v>95.956531109152792</v>
      </c>
      <c r="R290">
        <v>130.09184187832255</v>
      </c>
      <c r="S290">
        <v>110.31499502454727</v>
      </c>
      <c r="T290">
        <v>108.07721029780009</v>
      </c>
      <c r="U290">
        <v>108.79527606813868</v>
      </c>
      <c r="V290">
        <v>106.51915418492428</v>
      </c>
      <c r="W290">
        <v>124.07904589673198</v>
      </c>
      <c r="X290">
        <v>166.76636709970964</v>
      </c>
      <c r="Y290">
        <v>50.042823515401331</v>
      </c>
      <c r="Z290">
        <v>50.301461088407088</v>
      </c>
      <c r="AA290">
        <v>131.93115012457463</v>
      </c>
      <c r="AB290">
        <v>224.21724113074995</v>
      </c>
      <c r="AC290">
        <v>220.95769320756696</v>
      </c>
      <c r="AD290">
        <v>98.851969696969718</v>
      </c>
      <c r="AE290">
        <v>213.3130410608488</v>
      </c>
      <c r="AF290">
        <v>123.43200383555597</v>
      </c>
      <c r="AG290">
        <v>-50.723833900000002</v>
      </c>
      <c r="AH290">
        <v>1216.9837021999999</v>
      </c>
      <c r="AI290">
        <v>1166.2598683000001</v>
      </c>
    </row>
    <row r="291" spans="1:35">
      <c r="A291" t="s">
        <v>397</v>
      </c>
      <c r="B291">
        <v>101.47773827195455</v>
      </c>
      <c r="C291">
        <v>102.13873664284662</v>
      </c>
      <c r="D291">
        <v>110.98949784669054</v>
      </c>
      <c r="E291">
        <v>107.52066549199751</v>
      </c>
      <c r="F291">
        <v>2.3676635550924998</v>
      </c>
      <c r="G291">
        <v>2.2043931567259381</v>
      </c>
      <c r="H291">
        <v>122.2077187753023</v>
      </c>
      <c r="I291">
        <v>119.97923403214983</v>
      </c>
      <c r="J291">
        <v>122.79447365557796</v>
      </c>
      <c r="K291">
        <v>103.11755787499715</v>
      </c>
      <c r="L291">
        <v>108.66073508880729</v>
      </c>
      <c r="M291">
        <v>102.77987765993825</v>
      </c>
      <c r="N291">
        <v>5.9340807480561413</v>
      </c>
      <c r="O291">
        <v>123.12788016355458</v>
      </c>
      <c r="P291">
        <v>167.1667820877594</v>
      </c>
      <c r="Q291">
        <v>95.724726445978419</v>
      </c>
      <c r="R291">
        <v>129.8745806875516</v>
      </c>
      <c r="S291">
        <v>110.46750021094516</v>
      </c>
      <c r="T291">
        <v>108.19185291155668</v>
      </c>
      <c r="U291">
        <v>108.98203943333399</v>
      </c>
      <c r="V291">
        <v>106.68479548685966</v>
      </c>
      <c r="W291">
        <v>126.57965712143468</v>
      </c>
      <c r="X291">
        <v>159.23665834184712</v>
      </c>
      <c r="Y291">
        <v>50.382475852670652</v>
      </c>
      <c r="Z291">
        <v>50.263931034073998</v>
      </c>
      <c r="AA291">
        <v>130.40029305621113</v>
      </c>
      <c r="AB291">
        <v>217.33331336979981</v>
      </c>
      <c r="AC291">
        <v>220.34856494773064</v>
      </c>
      <c r="AD291">
        <v>99.348260869565209</v>
      </c>
      <c r="AE291">
        <v>215.01151708275123</v>
      </c>
      <c r="AF291">
        <v>126.88538401888484</v>
      </c>
      <c r="AG291">
        <v>-54.094511199999999</v>
      </c>
      <c r="AH291">
        <v>1202.9663112000001</v>
      </c>
      <c r="AI291">
        <v>1148.8717999999999</v>
      </c>
    </row>
    <row r="292" spans="1:35">
      <c r="A292" t="s">
        <v>398</v>
      </c>
      <c r="B292">
        <v>102.40352874158665</v>
      </c>
      <c r="C292">
        <v>103.38057615007313</v>
      </c>
      <c r="D292">
        <v>110.88171665442388</v>
      </c>
      <c r="E292">
        <v>107.50950346837622</v>
      </c>
      <c r="F292">
        <v>2.7187795477542602</v>
      </c>
      <c r="G292">
        <v>2.1983728884214382</v>
      </c>
      <c r="H292">
        <v>115.90314044016625</v>
      </c>
      <c r="I292">
        <v>120.51226594612685</v>
      </c>
      <c r="J292">
        <v>123.36634038411766</v>
      </c>
      <c r="K292">
        <v>98.387572591517269</v>
      </c>
      <c r="L292">
        <v>104.1175236897105</v>
      </c>
      <c r="M292">
        <v>102.91448656509556</v>
      </c>
      <c r="N292">
        <v>5.9305005613888619</v>
      </c>
      <c r="O292">
        <v>124.38124731386696</v>
      </c>
      <c r="P292">
        <v>164.70124242958849</v>
      </c>
      <c r="Q292">
        <v>89.186703610896842</v>
      </c>
      <c r="R292">
        <v>124.10990603582938</v>
      </c>
      <c r="S292">
        <v>110.84708030110077</v>
      </c>
      <c r="T292">
        <v>108.48321717519187</v>
      </c>
      <c r="U292">
        <v>109.2337642382566</v>
      </c>
      <c r="V292">
        <v>106.87783931077423</v>
      </c>
      <c r="W292">
        <v>124.59968267830176</v>
      </c>
      <c r="X292">
        <v>152.21171064458161</v>
      </c>
      <c r="Y292">
        <v>50.30410061678176</v>
      </c>
      <c r="Z292">
        <v>50.10099154735444</v>
      </c>
      <c r="AA292">
        <v>126.48263271341773</v>
      </c>
      <c r="AB292">
        <v>217.09234104380997</v>
      </c>
      <c r="AC292">
        <v>219.98348059465556</v>
      </c>
      <c r="AD292">
        <v>99.742666666666679</v>
      </c>
      <c r="AE292">
        <v>213.77897979107274</v>
      </c>
      <c r="AF292">
        <v>124.56361482848482</v>
      </c>
      <c r="AG292">
        <v>-34.126257999999986</v>
      </c>
      <c r="AH292">
        <v>1179.896446</v>
      </c>
      <c r="AI292">
        <v>1145.770188</v>
      </c>
    </row>
    <row r="293" spans="1:35">
      <c r="A293" t="s">
        <v>399</v>
      </c>
      <c r="B293">
        <v>102.25633331183924</v>
      </c>
      <c r="C293">
        <v>103.22102309085153</v>
      </c>
      <c r="D293">
        <v>111.5144806494402</v>
      </c>
      <c r="E293">
        <v>107.82317622425084</v>
      </c>
      <c r="F293">
        <v>2.8004701540094188</v>
      </c>
      <c r="G293">
        <v>2.220276325366207</v>
      </c>
      <c r="H293">
        <v>120.38785332841499</v>
      </c>
      <c r="I293">
        <v>121.21391202531733</v>
      </c>
      <c r="J293">
        <v>124.04878718774101</v>
      </c>
      <c r="K293">
        <v>102.4904809385696</v>
      </c>
      <c r="L293">
        <v>107.93398734452249</v>
      </c>
      <c r="M293">
        <v>102.78671409257925</v>
      </c>
      <c r="N293">
        <v>5.8839356622389136</v>
      </c>
      <c r="O293">
        <v>125.76527950487866</v>
      </c>
      <c r="P293">
        <v>166.66751215381376</v>
      </c>
      <c r="Q293">
        <v>91.214411548144625</v>
      </c>
      <c r="R293">
        <v>115.15931580082881</v>
      </c>
      <c r="S293">
        <v>111.25565877602025</v>
      </c>
      <c r="T293">
        <v>108.79163398544445</v>
      </c>
      <c r="U293">
        <v>109.53087593706965</v>
      </c>
      <c r="V293">
        <v>107.114837757519</v>
      </c>
      <c r="W293">
        <v>122.60813788307756</v>
      </c>
      <c r="X293">
        <v>155.91798851580947</v>
      </c>
      <c r="Y293">
        <v>50.856328933727113</v>
      </c>
      <c r="Z293">
        <v>50.389656359769027</v>
      </c>
      <c r="AA293">
        <v>124.94162136947517</v>
      </c>
      <c r="AB293">
        <v>208.62795826811973</v>
      </c>
      <c r="AC293">
        <v>227.02294237799063</v>
      </c>
      <c r="AD293">
        <v>105.20782608695654</v>
      </c>
      <c r="AE293">
        <v>226.91169446895699</v>
      </c>
      <c r="AF293">
        <v>119.12028494161505</v>
      </c>
      <c r="AG293">
        <v>-59.2314559</v>
      </c>
      <c r="AH293">
        <v>1206.4645352</v>
      </c>
      <c r="AI293">
        <v>1147.2330793000001</v>
      </c>
    </row>
    <row r="294" spans="1:35">
      <c r="A294" t="s">
        <v>400</v>
      </c>
      <c r="B294">
        <v>102.1077814379579</v>
      </c>
      <c r="C294">
        <v>103.19107159622443</v>
      </c>
      <c r="D294">
        <v>112.1718516879473</v>
      </c>
      <c r="E294">
        <v>108.34460591261987</v>
      </c>
      <c r="F294">
        <v>2.9763273901564498</v>
      </c>
      <c r="G294">
        <v>2.2368940231709509</v>
      </c>
      <c r="H294">
        <v>118.9141008734711</v>
      </c>
      <c r="I294">
        <v>121.98663755585237</v>
      </c>
      <c r="J294">
        <v>124.77745854567391</v>
      </c>
      <c r="K294">
        <v>100.32468309468709</v>
      </c>
      <c r="L294">
        <v>106.51436399703753</v>
      </c>
      <c r="M294">
        <v>102.87711447020843</v>
      </c>
      <c r="N294">
        <v>5.8705320500151981</v>
      </c>
      <c r="O294">
        <v>126.58992678107977</v>
      </c>
      <c r="P294">
        <v>169.3118023831768</v>
      </c>
      <c r="Q294">
        <v>91.488833307856822</v>
      </c>
      <c r="R294">
        <v>115.31869052229366</v>
      </c>
      <c r="S294">
        <v>111.61126032374523</v>
      </c>
      <c r="T294">
        <v>109.06138645625268</v>
      </c>
      <c r="U294">
        <v>109.78297705401272</v>
      </c>
      <c r="V294">
        <v>107.28992295584385</v>
      </c>
      <c r="W294">
        <v>119.28744551365416</v>
      </c>
      <c r="X294">
        <v>163.35895747504452</v>
      </c>
      <c r="Y294">
        <v>52.14572845935389</v>
      </c>
      <c r="Z294">
        <v>51.512211865578244</v>
      </c>
      <c r="AA294">
        <v>125.81127812560844</v>
      </c>
      <c r="AB294">
        <v>205.9637457575389</v>
      </c>
      <c r="AC294">
        <v>232.23419438464921</v>
      </c>
      <c r="AD294">
        <v>108.05863636363634</v>
      </c>
      <c r="AE294">
        <v>230.85183275812915</v>
      </c>
      <c r="AF294">
        <v>119.64244704566147</v>
      </c>
      <c r="AG294">
        <v>-32.426212599999999</v>
      </c>
      <c r="AH294">
        <v>1204.1678377000001</v>
      </c>
      <c r="AI294">
        <v>1171.7416251</v>
      </c>
    </row>
    <row r="295" spans="1:35">
      <c r="A295" t="s">
        <v>401</v>
      </c>
      <c r="B295">
        <v>102.06990995447818</v>
      </c>
      <c r="C295">
        <v>103.25070332036276</v>
      </c>
      <c r="D295">
        <v>112.6767580321356</v>
      </c>
      <c r="E295">
        <v>108.78122730309896</v>
      </c>
      <c r="F295">
        <v>3.0935815867272538</v>
      </c>
      <c r="G295">
        <v>2.2421037623483708</v>
      </c>
      <c r="H295">
        <v>123.95273237675899</v>
      </c>
      <c r="I295">
        <v>122.69290799785395</v>
      </c>
      <c r="J295">
        <v>125.73063063950354</v>
      </c>
      <c r="K295">
        <v>106.47114607145278</v>
      </c>
      <c r="L295">
        <v>111.25387962331368</v>
      </c>
      <c r="M295">
        <v>102.97582451926976</v>
      </c>
      <c r="N295">
        <v>5.8664665243032781</v>
      </c>
      <c r="O295">
        <v>127.00502417577226</v>
      </c>
      <c r="P295">
        <v>168.68031130851102</v>
      </c>
      <c r="Q295">
        <v>89.17555311715148</v>
      </c>
      <c r="R295">
        <v>116.28080895144669</v>
      </c>
      <c r="S295">
        <v>111.92408150673955</v>
      </c>
      <c r="T295">
        <v>109.28816190498792</v>
      </c>
      <c r="U295">
        <v>110.14035773982864</v>
      </c>
      <c r="V295">
        <v>107.58159123368989</v>
      </c>
      <c r="W295">
        <v>115.60460280692234</v>
      </c>
      <c r="X295">
        <v>160.86286437538556</v>
      </c>
      <c r="Y295">
        <v>51.682392169603837</v>
      </c>
      <c r="Z295">
        <v>51.236279039898776</v>
      </c>
      <c r="AA295">
        <v>123.29044103794412</v>
      </c>
      <c r="AB295">
        <v>208.49136173063005</v>
      </c>
      <c r="AC295">
        <v>234.33559383223124</v>
      </c>
      <c r="AD295">
        <v>108.78</v>
      </c>
      <c r="AE295">
        <v>231.7445118089299</v>
      </c>
      <c r="AF295">
        <v>119.31100633021778</v>
      </c>
      <c r="AG295">
        <v>-46.4649736</v>
      </c>
      <c r="AH295">
        <v>1206.9574405000001</v>
      </c>
      <c r="AI295">
        <v>1160.4924669</v>
      </c>
    </row>
    <row r="296" spans="1:35">
      <c r="A296" t="s">
        <v>402</v>
      </c>
      <c r="B296">
        <v>101.320608950609</v>
      </c>
      <c r="C296">
        <v>102.03989554590788</v>
      </c>
      <c r="D296">
        <v>112.82028394191659</v>
      </c>
      <c r="E296">
        <v>108.89694744905411</v>
      </c>
      <c r="F296">
        <v>2.91483326137157</v>
      </c>
      <c r="G296">
        <v>2.2600417411148035</v>
      </c>
      <c r="H296">
        <v>127.78974582687191</v>
      </c>
      <c r="I296">
        <v>123.45618500717642</v>
      </c>
      <c r="J296">
        <v>126.80230527504534</v>
      </c>
      <c r="K296">
        <v>110.98589600967257</v>
      </c>
      <c r="L296">
        <v>115.64914053829636</v>
      </c>
      <c r="M296">
        <v>103.27038177257589</v>
      </c>
      <c r="N296">
        <v>5.8300283211497819</v>
      </c>
      <c r="O296">
        <v>126.67219445126968</v>
      </c>
      <c r="P296">
        <v>166.0099433194859</v>
      </c>
      <c r="Q296">
        <v>88.037884586107197</v>
      </c>
      <c r="R296">
        <v>124.40968499150652</v>
      </c>
      <c r="S296">
        <v>112.18908385549496</v>
      </c>
      <c r="T296">
        <v>109.43657266063124</v>
      </c>
      <c r="U296">
        <v>110.40433562843835</v>
      </c>
      <c r="V296">
        <v>107.78737227154794</v>
      </c>
      <c r="W296">
        <v>114.89894005177693</v>
      </c>
      <c r="X296">
        <v>161.12109614272276</v>
      </c>
      <c r="Y296">
        <v>52.262681462839545</v>
      </c>
      <c r="Z296">
        <v>51.830595295809843</v>
      </c>
      <c r="AA296">
        <v>122.19030088929669</v>
      </c>
      <c r="AB296">
        <v>206.73049421746998</v>
      </c>
      <c r="AC296">
        <v>229.39393156824829</v>
      </c>
      <c r="AD296">
        <v>105.45797101449277</v>
      </c>
      <c r="AE296">
        <v>222.31565183649727</v>
      </c>
      <c r="AF296">
        <v>118.76414649231548</v>
      </c>
      <c r="AG296">
        <v>-45.218653099999997</v>
      </c>
      <c r="AH296">
        <v>1230.2798366</v>
      </c>
      <c r="AI296">
        <v>1185.0611835</v>
      </c>
    </row>
    <row r="297" spans="1:35">
      <c r="A297" t="s">
        <v>403</v>
      </c>
      <c r="B297">
        <v>101.06578706581185</v>
      </c>
      <c r="C297">
        <v>101.90811487915724</v>
      </c>
      <c r="D297">
        <v>113.36571058215084</v>
      </c>
      <c r="E297">
        <v>109.53397392835748</v>
      </c>
      <c r="F297">
        <v>2.8940849229138834</v>
      </c>
      <c r="G297">
        <v>2.2297044237617429</v>
      </c>
      <c r="H297">
        <v>130.36727008593755</v>
      </c>
      <c r="I297">
        <v>124.05330866886646</v>
      </c>
      <c r="J297">
        <v>127.53972225308887</v>
      </c>
      <c r="K297">
        <v>111.83715736907173</v>
      </c>
      <c r="L297">
        <v>117.60230181638084</v>
      </c>
      <c r="M297">
        <v>103.23643042187416</v>
      </c>
      <c r="N297">
        <v>5.7896641130775874</v>
      </c>
      <c r="O297">
        <v>124.80247343732151</v>
      </c>
      <c r="P297">
        <v>164.29808744389149</v>
      </c>
      <c r="Q297">
        <v>86.07138299413505</v>
      </c>
      <c r="R297">
        <v>127.65562723257443</v>
      </c>
      <c r="S297">
        <v>112.56684117260953</v>
      </c>
      <c r="T297">
        <v>109.72421201094957</v>
      </c>
      <c r="U297">
        <v>110.71612833005314</v>
      </c>
      <c r="V297">
        <v>108.06413888147455</v>
      </c>
      <c r="W297">
        <v>115.95552423544113</v>
      </c>
      <c r="X297">
        <v>161.39402232968087</v>
      </c>
      <c r="Y297">
        <v>53.270938274343912</v>
      </c>
      <c r="Z297">
        <v>52.678398807221534</v>
      </c>
      <c r="AA297">
        <v>122.03051339850909</v>
      </c>
      <c r="AB297">
        <v>207.31757849197768</v>
      </c>
      <c r="AC297">
        <v>225.43704860416059</v>
      </c>
      <c r="AD297">
        <v>102.58095238095241</v>
      </c>
      <c r="AE297">
        <v>217.60910233957489</v>
      </c>
      <c r="AF297">
        <v>118.57503690464002</v>
      </c>
      <c r="AG297">
        <v>-24.342434499999985</v>
      </c>
      <c r="AH297">
        <v>1212.1837124000001</v>
      </c>
      <c r="AI297">
        <v>1187.8412779</v>
      </c>
    </row>
    <row r="298" spans="1:35">
      <c r="A298" t="s">
        <v>404</v>
      </c>
      <c r="B298">
        <v>102.05988209051593</v>
      </c>
      <c r="C298">
        <v>102.8707373021293</v>
      </c>
      <c r="D298">
        <v>113.50084148535041</v>
      </c>
      <c r="E298">
        <v>109.52564032074726</v>
      </c>
      <c r="F298">
        <v>3.1027862241554782</v>
      </c>
      <c r="G298">
        <v>2.2261373843803605</v>
      </c>
      <c r="H298">
        <v>131.53050517434082</v>
      </c>
      <c r="I298">
        <v>124.51770758144696</v>
      </c>
      <c r="J298">
        <v>128.73804331784783</v>
      </c>
      <c r="K298">
        <v>112.30600357890697</v>
      </c>
      <c r="L298">
        <v>118.16423410252999</v>
      </c>
      <c r="M298">
        <v>103.19059142910064</v>
      </c>
      <c r="N298">
        <v>5.7692542117811234</v>
      </c>
      <c r="O298">
        <v>128.30196521909579</v>
      </c>
      <c r="P298">
        <v>167.88581634664499</v>
      </c>
      <c r="Q298">
        <v>91.142236891163364</v>
      </c>
      <c r="R298">
        <v>129.52588653700926</v>
      </c>
      <c r="S298">
        <v>112.76001937049855</v>
      </c>
      <c r="T298">
        <v>109.95629237778644</v>
      </c>
      <c r="U298">
        <v>110.92430213860543</v>
      </c>
      <c r="V298">
        <v>108.22861147901261</v>
      </c>
      <c r="W298">
        <v>117.22383919153249</v>
      </c>
      <c r="X298">
        <v>162.38486296209288</v>
      </c>
      <c r="Y298">
        <v>53.322995767801771</v>
      </c>
      <c r="Z298">
        <v>52.66382136512329</v>
      </c>
      <c r="AA298">
        <v>122.53685242216939</v>
      </c>
      <c r="AB298">
        <v>220.20165763952085</v>
      </c>
      <c r="AC298">
        <v>233.48192889050762</v>
      </c>
      <c r="AD298">
        <v>105.49303030303031</v>
      </c>
      <c r="AE298">
        <v>222.56817370315022</v>
      </c>
      <c r="AF298">
        <v>121.22044814961006</v>
      </c>
      <c r="AG298">
        <v>-34.484229499999984</v>
      </c>
      <c r="AH298">
        <v>1215.5921214</v>
      </c>
      <c r="AI298">
        <v>1181.1078918999999</v>
      </c>
    </row>
    <row r="299" spans="1:35">
      <c r="A299" t="s">
        <v>405</v>
      </c>
      <c r="B299">
        <v>102.27288796228156</v>
      </c>
      <c r="C299">
        <v>103.10568946873477</v>
      </c>
      <c r="D299">
        <v>113.87805891680158</v>
      </c>
      <c r="E299">
        <v>109.7931963407043</v>
      </c>
      <c r="F299">
        <v>3.2861945900409317</v>
      </c>
      <c r="G299">
        <v>2.3403034524254536</v>
      </c>
      <c r="H299">
        <v>125.90192556904786</v>
      </c>
      <c r="I299">
        <v>125.29751832433385</v>
      </c>
      <c r="J299">
        <v>128.92564712168922</v>
      </c>
      <c r="K299">
        <v>106.58867814602469</v>
      </c>
      <c r="L299">
        <v>113.39476094397463</v>
      </c>
      <c r="M299">
        <v>103.06080967868196</v>
      </c>
      <c r="N299">
        <v>5.7816566489424659</v>
      </c>
      <c r="O299">
        <v>129.1819979042518</v>
      </c>
      <c r="P299">
        <v>166.68844833450558</v>
      </c>
      <c r="Q299">
        <v>91.936238947346851</v>
      </c>
      <c r="R299">
        <v>127.0517516688428</v>
      </c>
      <c r="S299">
        <v>112.97536401345323</v>
      </c>
      <c r="T299">
        <v>110.15778669265916</v>
      </c>
      <c r="U299">
        <v>111.16198364785788</v>
      </c>
      <c r="V299">
        <v>108.40400269309924</v>
      </c>
      <c r="W299">
        <v>117.76153423921374</v>
      </c>
      <c r="X299">
        <v>159.42779896331297</v>
      </c>
      <c r="Y299">
        <v>52.827101858973606</v>
      </c>
      <c r="Z299">
        <v>52.206027237982305</v>
      </c>
      <c r="AA299">
        <v>122.92071678292494</v>
      </c>
      <c r="AB299">
        <v>225.95601572166478</v>
      </c>
      <c r="AC299">
        <v>229.99734882952936</v>
      </c>
      <c r="AD299">
        <v>102.251884057971</v>
      </c>
      <c r="AE299">
        <v>216.11166234178617</v>
      </c>
      <c r="AF299">
        <v>118.61104688830959</v>
      </c>
      <c r="AG299">
        <v>-53.444772999999984</v>
      </c>
      <c r="AH299">
        <v>1251.9445762</v>
      </c>
      <c r="AI299">
        <v>1198.4998032000001</v>
      </c>
    </row>
    <row r="300" spans="1:35">
      <c r="A300" t="s">
        <v>406</v>
      </c>
      <c r="B300">
        <v>101.63363457982481</v>
      </c>
      <c r="C300">
        <v>102.47516323761806</v>
      </c>
      <c r="D300">
        <v>114.47335406453828</v>
      </c>
      <c r="E300">
        <v>110.3796386433005</v>
      </c>
      <c r="F300">
        <v>3.1187729096691634</v>
      </c>
      <c r="G300">
        <v>2.4103786106821126</v>
      </c>
      <c r="H300">
        <v>129.66307621363319</v>
      </c>
      <c r="I300">
        <v>126.14798446264264</v>
      </c>
      <c r="J300">
        <v>130.298553817412</v>
      </c>
      <c r="K300">
        <v>111.20752728247784</v>
      </c>
      <c r="L300">
        <v>117.112087057116</v>
      </c>
      <c r="M300">
        <v>103.17574089296188</v>
      </c>
      <c r="N300">
        <v>5.7738269689909876</v>
      </c>
      <c r="O300">
        <v>129.5377307831327</v>
      </c>
      <c r="P300">
        <v>170.99184603753946</v>
      </c>
      <c r="Q300">
        <v>104.54761855468841</v>
      </c>
      <c r="R300">
        <v>119.46571027803697</v>
      </c>
      <c r="S300">
        <v>113.24432124256543</v>
      </c>
      <c r="T300">
        <v>110.37305739441659</v>
      </c>
      <c r="U300">
        <v>111.40921391451057</v>
      </c>
      <c r="V300">
        <v>108.61460501612787</v>
      </c>
      <c r="W300">
        <v>121.05185958321108</v>
      </c>
      <c r="X300">
        <v>155.16469472624712</v>
      </c>
      <c r="Y300">
        <v>52.852930146062981</v>
      </c>
      <c r="Z300">
        <v>52.168731497260971</v>
      </c>
      <c r="AA300">
        <v>125.21367952762881</v>
      </c>
      <c r="AB300">
        <v>243.43363346149582</v>
      </c>
      <c r="AC300">
        <v>237.20878910677422</v>
      </c>
      <c r="AD300">
        <v>104.81933333333333</v>
      </c>
      <c r="AE300">
        <v>220.88021353813951</v>
      </c>
      <c r="AF300">
        <v>118.40172537262072</v>
      </c>
      <c r="AG300">
        <v>-64.4315438</v>
      </c>
      <c r="AH300">
        <v>1228.3128423999999</v>
      </c>
      <c r="AI300">
        <v>1163.8812986</v>
      </c>
    </row>
    <row r="301" spans="1:35">
      <c r="A301" t="s">
        <v>407</v>
      </c>
      <c r="B301">
        <v>103.33824579166843</v>
      </c>
      <c r="C301">
        <v>103.96139795559588</v>
      </c>
      <c r="D301">
        <v>114.7078960180081</v>
      </c>
      <c r="E301">
        <v>110.68969342444568</v>
      </c>
      <c r="F301">
        <v>3.1473734912704669</v>
      </c>
      <c r="G301">
        <v>2.4550601218420032</v>
      </c>
      <c r="H301">
        <v>130.78581259294387</v>
      </c>
      <c r="I301">
        <v>126.44222682726014</v>
      </c>
      <c r="J301">
        <v>131.03246345011451</v>
      </c>
      <c r="K301">
        <v>112.25739496052979</v>
      </c>
      <c r="L301">
        <v>117.75243155852128</v>
      </c>
      <c r="M301">
        <v>103.31113652668149</v>
      </c>
      <c r="N301">
        <v>5.762192478035816</v>
      </c>
      <c r="O301">
        <v>130.3106640558926</v>
      </c>
      <c r="P301">
        <v>169.83014901627962</v>
      </c>
      <c r="Q301">
        <v>115.68173936867672</v>
      </c>
      <c r="R301">
        <v>114.78472122749008</v>
      </c>
      <c r="S301">
        <v>113.52986450637444</v>
      </c>
      <c r="T301">
        <v>110.60253802090543</v>
      </c>
      <c r="U301">
        <v>111.73466504504377</v>
      </c>
      <c r="V301">
        <v>108.88657443923817</v>
      </c>
      <c r="W301">
        <v>128.09889023963868</v>
      </c>
      <c r="X301">
        <v>147.98232135232249</v>
      </c>
      <c r="Y301">
        <v>52.206977106324125</v>
      </c>
      <c r="Z301">
        <v>51.539070815422846</v>
      </c>
      <c r="AA301">
        <v>128.42031685761887</v>
      </c>
      <c r="AB301">
        <v>226.90855324136481</v>
      </c>
      <c r="AC301">
        <v>229.72840854930359</v>
      </c>
      <c r="AD301">
        <v>104.04285714285713</v>
      </c>
      <c r="AE301">
        <v>218.15381115161642</v>
      </c>
      <c r="AF301">
        <v>121.42029288214343</v>
      </c>
      <c r="AG301">
        <v>-48.067695999999984</v>
      </c>
      <c r="AH301">
        <v>1228.7450755</v>
      </c>
      <c r="AI301">
        <v>1180.6773794999999</v>
      </c>
    </row>
    <row r="302" spans="1:35">
      <c r="A302" t="s">
        <v>408</v>
      </c>
      <c r="B302">
        <v>102.45698432990386</v>
      </c>
      <c r="C302">
        <v>103.23726657582557</v>
      </c>
      <c r="D302">
        <v>115.41964282687674</v>
      </c>
      <c r="E302">
        <v>111.04306935010062</v>
      </c>
      <c r="F302">
        <v>3.041296930086629</v>
      </c>
      <c r="G302">
        <v>2.4871874450166875</v>
      </c>
      <c r="H302">
        <v>131.40535880247296</v>
      </c>
      <c r="I302">
        <v>127.26009557075571</v>
      </c>
      <c r="J302">
        <v>131.87860491188326</v>
      </c>
      <c r="K302">
        <v>112.66854813630141</v>
      </c>
      <c r="L302">
        <v>117.84393700510287</v>
      </c>
      <c r="M302">
        <v>103.4410106956263</v>
      </c>
      <c r="N302">
        <v>5.6711280726930404</v>
      </c>
      <c r="O302">
        <v>127.57442196897996</v>
      </c>
      <c r="P302">
        <v>170.99844055244972</v>
      </c>
      <c r="Q302">
        <v>116.99634500032502</v>
      </c>
      <c r="R302">
        <v>114.57677947010552</v>
      </c>
      <c r="S302">
        <v>113.87603216959022</v>
      </c>
      <c r="T302">
        <v>110.96727443692653</v>
      </c>
      <c r="U302">
        <v>112.08222023504162</v>
      </c>
      <c r="V302">
        <v>109.22831001476719</v>
      </c>
      <c r="W302">
        <v>130.63854601172844</v>
      </c>
      <c r="X302">
        <v>152.94753476198161</v>
      </c>
      <c r="Y302">
        <v>52.156293171883277</v>
      </c>
      <c r="Z302">
        <v>51.555474147139222</v>
      </c>
      <c r="AA302">
        <v>129.63540891399958</v>
      </c>
      <c r="AB302">
        <v>223.7684297084663</v>
      </c>
      <c r="AC302">
        <v>230.82900433401258</v>
      </c>
      <c r="AD302">
        <v>104.94378787878786</v>
      </c>
      <c r="AE302">
        <v>219.94484978246393</v>
      </c>
      <c r="AF302">
        <v>118.59568514713608</v>
      </c>
      <c r="AG302">
        <v>-39.230530199999997</v>
      </c>
      <c r="AH302">
        <v>1246.0330991000001</v>
      </c>
      <c r="AI302">
        <v>1206.8025689000001</v>
      </c>
    </row>
    <row r="303" spans="1:35">
      <c r="A303" t="s">
        <v>409</v>
      </c>
      <c r="B303">
        <v>102.5941078601317</v>
      </c>
      <c r="C303">
        <v>103.37619271872599</v>
      </c>
      <c r="D303">
        <v>115.44852940323509</v>
      </c>
      <c r="E303">
        <v>111.06223784847917</v>
      </c>
      <c r="F303">
        <v>2.9124293058999107</v>
      </c>
      <c r="G303">
        <v>2.4868680315690819</v>
      </c>
      <c r="H303">
        <v>133.58701785972301</v>
      </c>
      <c r="I303">
        <v>127.98851060230707</v>
      </c>
      <c r="J303">
        <v>132.56690963937663</v>
      </c>
      <c r="K303">
        <v>115.29203669750656</v>
      </c>
      <c r="L303">
        <v>120.74322532097894</v>
      </c>
      <c r="M303">
        <v>103.54970261865664</v>
      </c>
      <c r="N303">
        <v>5.6788939207717473</v>
      </c>
      <c r="O303">
        <v>129.94371212561427</v>
      </c>
      <c r="P303">
        <v>168.76038931749849</v>
      </c>
      <c r="Q303">
        <v>113.62658548983573</v>
      </c>
      <c r="R303">
        <v>115.1379994735496</v>
      </c>
      <c r="S303">
        <v>114.23184691771357</v>
      </c>
      <c r="T303">
        <v>111.2293385547115</v>
      </c>
      <c r="U303">
        <v>112.3343356180619</v>
      </c>
      <c r="V303">
        <v>109.42184975382628</v>
      </c>
      <c r="W303">
        <v>125.38075779005692</v>
      </c>
      <c r="X303">
        <v>148.8333477621843</v>
      </c>
      <c r="Y303">
        <v>51.873504697915664</v>
      </c>
      <c r="Z303">
        <v>51.467315061514732</v>
      </c>
      <c r="AA303">
        <v>125.5127740379756</v>
      </c>
      <c r="AB303">
        <v>221.73270628773497</v>
      </c>
      <c r="AC303">
        <v>231.3169549725333</v>
      </c>
      <c r="AD303">
        <v>105.73121212121212</v>
      </c>
      <c r="AE303">
        <v>221.7122247272076</v>
      </c>
      <c r="AF303">
        <v>116.75067238797378</v>
      </c>
      <c r="AG303">
        <v>-22.746106000000001</v>
      </c>
      <c r="AH303">
        <v>1229.8279994</v>
      </c>
      <c r="AI303">
        <v>1207.0818933999999</v>
      </c>
    </row>
    <row r="304" spans="1:35">
      <c r="A304" t="s">
        <v>410</v>
      </c>
      <c r="B304">
        <v>103.40174398301507</v>
      </c>
      <c r="C304">
        <v>104.24862809268002</v>
      </c>
      <c r="D304">
        <v>115.48345022620352</v>
      </c>
      <c r="E304">
        <v>110.99032401546198</v>
      </c>
      <c r="F304">
        <v>2.7934891920432041</v>
      </c>
      <c r="G304">
        <v>2.4544346701146473</v>
      </c>
      <c r="H304">
        <v>134.72460954801582</v>
      </c>
      <c r="I304">
        <v>128.81355374581821</v>
      </c>
      <c r="J304">
        <v>133.82665104632238</v>
      </c>
      <c r="K304">
        <v>117.4596563800183</v>
      </c>
      <c r="L304">
        <v>122.61787684085503</v>
      </c>
      <c r="M304">
        <v>103.67907973108726</v>
      </c>
      <c r="N304">
        <v>5.6548186776685805</v>
      </c>
      <c r="O304">
        <v>130.92346092776589</v>
      </c>
      <c r="P304">
        <v>169.07460877066521</v>
      </c>
      <c r="Q304">
        <v>110.71460401408406</v>
      </c>
      <c r="R304">
        <v>112.72764453319142</v>
      </c>
      <c r="S304">
        <v>114.47254610685293</v>
      </c>
      <c r="T304">
        <v>111.44495250242757</v>
      </c>
      <c r="U304">
        <v>112.60591637853416</v>
      </c>
      <c r="V304">
        <v>109.6534108879266</v>
      </c>
      <c r="W304">
        <v>122.51104979313055</v>
      </c>
      <c r="X304">
        <v>145.3522589111823</v>
      </c>
      <c r="Y304">
        <v>52.926987931511206</v>
      </c>
      <c r="Z304">
        <v>52.403800994296724</v>
      </c>
      <c r="AA304">
        <v>123.36507053453525</v>
      </c>
      <c r="AB304">
        <v>220.16135818185202</v>
      </c>
      <c r="AC304">
        <v>235.192282803057</v>
      </c>
      <c r="AD304">
        <v>108.37269841269844</v>
      </c>
      <c r="AE304">
        <v>228.15495053117152</v>
      </c>
      <c r="AF304">
        <v>117.20009298917466</v>
      </c>
      <c r="AG304">
        <v>-33.617496400000007</v>
      </c>
      <c r="AH304">
        <v>1222.6977069</v>
      </c>
      <c r="AI304">
        <v>1189.0802105</v>
      </c>
    </row>
    <row r="305" spans="1:35">
      <c r="A305" t="s">
        <v>411</v>
      </c>
      <c r="B305">
        <v>104.15047308229495</v>
      </c>
      <c r="C305">
        <v>105.08611191158228</v>
      </c>
      <c r="D305">
        <v>116.09756459467297</v>
      </c>
      <c r="E305">
        <v>111.52676688877357</v>
      </c>
      <c r="F305">
        <v>2.8045000566768459</v>
      </c>
      <c r="G305">
        <v>2.4667176001853526</v>
      </c>
      <c r="H305">
        <v>135.77296925006434</v>
      </c>
      <c r="I305">
        <v>129.41758443582171</v>
      </c>
      <c r="J305">
        <v>134.29761613890355</v>
      </c>
      <c r="K305">
        <v>116.7736263797142</v>
      </c>
      <c r="L305">
        <v>123.28438269129856</v>
      </c>
      <c r="M305">
        <v>103.4946817821522</v>
      </c>
      <c r="N305">
        <v>5.6839461172680172</v>
      </c>
      <c r="O305">
        <v>131.10512924832801</v>
      </c>
      <c r="P305">
        <v>165.68071380233124</v>
      </c>
      <c r="Q305">
        <v>112.01618644395408</v>
      </c>
      <c r="R305">
        <v>108.29025172066979</v>
      </c>
      <c r="S305">
        <v>114.80916676493229</v>
      </c>
      <c r="T305">
        <v>111.64918698080939</v>
      </c>
      <c r="U305">
        <v>112.86794633316377</v>
      </c>
      <c r="V305">
        <v>109.84556198874917</v>
      </c>
      <c r="W305">
        <v>119.78845841245418</v>
      </c>
      <c r="X305">
        <v>149.66885375684629</v>
      </c>
      <c r="Y305">
        <v>52.847140194179509</v>
      </c>
      <c r="Z305">
        <v>52.580793388418336</v>
      </c>
      <c r="AA305">
        <v>123.60709373218923</v>
      </c>
      <c r="AB305">
        <v>203.7234315077319</v>
      </c>
      <c r="AC305">
        <v>226.53912551478072</v>
      </c>
      <c r="AD305">
        <v>105.22478260869566</v>
      </c>
      <c r="AE305">
        <v>221.55643183090925</v>
      </c>
      <c r="AF305">
        <v>114.23258938780963</v>
      </c>
      <c r="AG305">
        <v>-17.314160999999999</v>
      </c>
      <c r="AH305">
        <v>1241.191319</v>
      </c>
      <c r="AI305">
        <v>1223.877158</v>
      </c>
    </row>
    <row r="306" spans="1:35">
      <c r="A306" t="s">
        <v>412</v>
      </c>
      <c r="B306">
        <v>104.34726091511244</v>
      </c>
      <c r="C306">
        <v>105.43863295024065</v>
      </c>
      <c r="D306">
        <v>115.56403485477817</v>
      </c>
      <c r="E306">
        <v>110.92145161017764</v>
      </c>
      <c r="F306">
        <v>2.7107189589515635</v>
      </c>
      <c r="G306">
        <v>2.4566277892924013</v>
      </c>
      <c r="H306">
        <v>138.32275806648408</v>
      </c>
      <c r="I306">
        <v>130.18472465415709</v>
      </c>
      <c r="J306">
        <v>134.43429509506245</v>
      </c>
      <c r="K306">
        <v>118.14071070772066</v>
      </c>
      <c r="L306">
        <v>125.40431463644232</v>
      </c>
      <c r="M306">
        <v>103.59137320525879</v>
      </c>
      <c r="N306">
        <v>5.6621583028232223</v>
      </c>
      <c r="O306">
        <v>132.04384016920645</v>
      </c>
      <c r="P306">
        <v>160.13701843726167</v>
      </c>
      <c r="Q306">
        <v>115.16519663611761</v>
      </c>
      <c r="R306">
        <v>108.14457032781739</v>
      </c>
      <c r="S306">
        <v>115.01675788654015</v>
      </c>
      <c r="T306">
        <v>111.79472760959086</v>
      </c>
      <c r="U306">
        <v>113.08944602347066</v>
      </c>
      <c r="V306">
        <v>110.02465002254912</v>
      </c>
      <c r="W306">
        <v>114.20290111897754</v>
      </c>
      <c r="X306">
        <v>148.71957426050906</v>
      </c>
      <c r="Y306">
        <v>52.616821523771407</v>
      </c>
      <c r="Z306">
        <v>52.214279767311055</v>
      </c>
      <c r="AA306">
        <v>120.09214321215948</v>
      </c>
      <c r="AB306">
        <v>204.1619941464489</v>
      </c>
      <c r="AC306">
        <v>218.06090279425385</v>
      </c>
      <c r="AD306">
        <v>100.05253968253967</v>
      </c>
      <c r="AE306">
        <v>212.78754838485494</v>
      </c>
      <c r="AF306">
        <v>109.34420134556379</v>
      </c>
      <c r="AG306">
        <v>-12.315729899999999</v>
      </c>
      <c r="AH306">
        <v>1206.723931</v>
      </c>
      <c r="AI306">
        <v>1194.4082011</v>
      </c>
    </row>
    <row r="307" spans="1:35">
      <c r="A307" t="s">
        <v>413</v>
      </c>
      <c r="B307">
        <v>103.67221561596929</v>
      </c>
      <c r="C307">
        <v>104.59996385858307</v>
      </c>
      <c r="D307">
        <v>116.80018214009806</v>
      </c>
      <c r="E307">
        <v>111.91258229932876</v>
      </c>
      <c r="F307">
        <v>2.6118693192478468</v>
      </c>
      <c r="G307">
        <v>2.4366885441646473</v>
      </c>
      <c r="H307">
        <v>138.85848212144026</v>
      </c>
      <c r="I307">
        <v>130.81168419612496</v>
      </c>
      <c r="J307">
        <v>135.93261903524927</v>
      </c>
      <c r="K307">
        <v>113.17804879671081</v>
      </c>
      <c r="L307">
        <v>123.42682098944609</v>
      </c>
      <c r="M307">
        <v>103.70033676355297</v>
      </c>
      <c r="N307">
        <v>5.6342153454375703</v>
      </c>
      <c r="O307">
        <v>132.03984574632906</v>
      </c>
      <c r="P307">
        <v>155.05824607671849</v>
      </c>
      <c r="Q307">
        <v>114.29954319506996</v>
      </c>
      <c r="R307">
        <v>103.49127568235195</v>
      </c>
      <c r="S307">
        <v>115.19267790243488</v>
      </c>
      <c r="T307">
        <v>111.94606149408983</v>
      </c>
      <c r="U307">
        <v>113.35033449161598</v>
      </c>
      <c r="V307">
        <v>110.2467875923849</v>
      </c>
      <c r="W307">
        <v>112.02599069552654</v>
      </c>
      <c r="X307">
        <v>141.533073191234</v>
      </c>
      <c r="Y307">
        <v>52.374803304953744</v>
      </c>
      <c r="Z307">
        <v>51.981196336692022</v>
      </c>
      <c r="AA307">
        <v>116.44784626679342</v>
      </c>
      <c r="AB307">
        <v>202.37764974059479</v>
      </c>
      <c r="AC307">
        <v>210.90719855804389</v>
      </c>
      <c r="AD307">
        <v>95.891212121212121</v>
      </c>
      <c r="AE307">
        <v>207.60706300576317</v>
      </c>
      <c r="AF307">
        <v>106.78299697563783</v>
      </c>
      <c r="AG307">
        <v>-40.865460199999987</v>
      </c>
      <c r="AH307">
        <v>1236.2619672000001</v>
      </c>
      <c r="AI307">
        <v>1195.3965069999999</v>
      </c>
    </row>
    <row r="308" spans="1:35">
      <c r="A308" t="s">
        <v>414</v>
      </c>
      <c r="B308">
        <v>103.89575473217869</v>
      </c>
      <c r="C308">
        <v>105.07476880981299</v>
      </c>
      <c r="D308">
        <v>116.509590326764</v>
      </c>
      <c r="E308">
        <v>111.87308987483722</v>
      </c>
      <c r="F308">
        <v>2.5037232958847633</v>
      </c>
      <c r="G308">
        <v>2.4658995049009413</v>
      </c>
      <c r="H308">
        <v>139.32710130797574</v>
      </c>
      <c r="I308">
        <v>131.47976088912225</v>
      </c>
      <c r="J308">
        <v>136.55836452224318</v>
      </c>
      <c r="K308">
        <v>113.37312261518053</v>
      </c>
      <c r="L308">
        <v>124.45202592253783</v>
      </c>
      <c r="M308">
        <v>103.80526089904762</v>
      </c>
      <c r="N308">
        <v>5.6104447714391261</v>
      </c>
      <c r="O308">
        <v>130.77819911677295</v>
      </c>
      <c r="P308">
        <v>146.42700202045987</v>
      </c>
      <c r="Q308">
        <v>118.11067326839276</v>
      </c>
      <c r="R308">
        <v>100.27554608449267</v>
      </c>
      <c r="S308">
        <v>115.33621223490744</v>
      </c>
      <c r="T308">
        <v>112.03400019108581</v>
      </c>
      <c r="U308">
        <v>113.59405838973542</v>
      </c>
      <c r="V308">
        <v>110.45048642535009</v>
      </c>
      <c r="W308">
        <v>111.37120063426255</v>
      </c>
      <c r="X308">
        <v>134.98948135378507</v>
      </c>
      <c r="Y308">
        <v>52.373570717613454</v>
      </c>
      <c r="Z308">
        <v>51.970090240667702</v>
      </c>
      <c r="AA308">
        <v>114.21696356346804</v>
      </c>
      <c r="AB308">
        <v>198.32664794206585</v>
      </c>
      <c r="AC308">
        <v>193.01799605476106</v>
      </c>
      <c r="AD308">
        <v>86.128550724637691</v>
      </c>
      <c r="AE308">
        <v>188.06594102666125</v>
      </c>
      <c r="AF308">
        <v>104.88336521740473</v>
      </c>
      <c r="AG308">
        <v>-21.718472599999984</v>
      </c>
      <c r="AH308">
        <v>1206.5862987</v>
      </c>
      <c r="AI308">
        <v>1184.8678261</v>
      </c>
    </row>
    <row r="309" spans="1:35">
      <c r="A309" t="s">
        <v>415</v>
      </c>
      <c r="B309">
        <v>103.62979916488648</v>
      </c>
      <c r="C309">
        <v>104.62564156320315</v>
      </c>
      <c r="D309">
        <v>116.92662005128216</v>
      </c>
      <c r="E309">
        <v>112.01117293059266</v>
      </c>
      <c r="F309">
        <v>2.4349693916070825</v>
      </c>
      <c r="G309">
        <v>2.5110048133610197</v>
      </c>
      <c r="H309">
        <v>143.69133141744925</v>
      </c>
      <c r="I309">
        <v>132.27445969307249</v>
      </c>
      <c r="J309">
        <v>137.80761236881162</v>
      </c>
      <c r="K309">
        <v>114.21058510621727</v>
      </c>
      <c r="L309">
        <v>127.36332616517718</v>
      </c>
      <c r="M309">
        <v>103.86139688561487</v>
      </c>
      <c r="N309">
        <v>5.6358242724798826</v>
      </c>
      <c r="O309">
        <v>133.73938089840428</v>
      </c>
      <c r="P309">
        <v>139.59573345540323</v>
      </c>
      <c r="Q309">
        <v>112.29538496410656</v>
      </c>
      <c r="R309">
        <v>99.000730570602727</v>
      </c>
      <c r="S309">
        <v>115.49103599988089</v>
      </c>
      <c r="T309">
        <v>112.12202882645221</v>
      </c>
      <c r="U309">
        <v>113.88076349113221</v>
      </c>
      <c r="V309">
        <v>110.69225714210195</v>
      </c>
      <c r="W309">
        <v>111.11127218400821</v>
      </c>
      <c r="X309">
        <v>132.78014980329681</v>
      </c>
      <c r="Y309">
        <v>51.797777945062883</v>
      </c>
      <c r="Z309">
        <v>51.636141194133636</v>
      </c>
      <c r="AA309">
        <v>112.72939688927964</v>
      </c>
      <c r="AB309">
        <v>206.29173545790746</v>
      </c>
      <c r="AC309">
        <v>178.45719983791477</v>
      </c>
      <c r="AD309">
        <v>76.957999999999998</v>
      </c>
      <c r="AE309">
        <v>170.22852737304407</v>
      </c>
      <c r="AF309">
        <v>105.56126142233353</v>
      </c>
      <c r="AG309">
        <v>-13.087016999999999</v>
      </c>
      <c r="AH309">
        <v>1163.9228006999999</v>
      </c>
      <c r="AI309">
        <v>1147.9139051</v>
      </c>
    </row>
    <row r="310" spans="1:35">
      <c r="A310" t="s">
        <v>416</v>
      </c>
      <c r="B310">
        <v>103.79245472293158</v>
      </c>
      <c r="C310">
        <v>104.89058289939267</v>
      </c>
      <c r="D310">
        <v>117.50774242217163</v>
      </c>
      <c r="E310">
        <v>112.48262178239273</v>
      </c>
      <c r="F310">
        <v>2.331032731572805</v>
      </c>
      <c r="G310">
        <v>2.7243630259395588</v>
      </c>
      <c r="H310">
        <v>145.00902365985567</v>
      </c>
      <c r="I310">
        <v>133.22562542154404</v>
      </c>
      <c r="J310">
        <v>139.95901659649925</v>
      </c>
      <c r="K310">
        <v>110.15728583446678</v>
      </c>
      <c r="L310">
        <v>125.16927298721518</v>
      </c>
      <c r="M310">
        <v>103.94004786829221</v>
      </c>
      <c r="N310">
        <v>5.5993992839780047</v>
      </c>
      <c r="O310">
        <v>136.5868528894672</v>
      </c>
      <c r="P310">
        <v>126.23491484817129</v>
      </c>
      <c r="Q310">
        <v>109.16089710141321</v>
      </c>
      <c r="R310">
        <v>98.836183032454386</v>
      </c>
      <c r="S310">
        <v>115.64543829668654</v>
      </c>
      <c r="T310">
        <v>112.14655950292524</v>
      </c>
      <c r="U310">
        <v>114.21329209479516</v>
      </c>
      <c r="V310">
        <v>110.94505537455714</v>
      </c>
      <c r="W310">
        <v>109.18427183250064</v>
      </c>
      <c r="X310">
        <v>125.87632448104586</v>
      </c>
      <c r="Y310">
        <v>51.579259715534945</v>
      </c>
      <c r="Z310">
        <v>51.44426521549687</v>
      </c>
      <c r="AA310">
        <v>110.80524056389127</v>
      </c>
      <c r="AB310">
        <v>199.79520019735963</v>
      </c>
      <c r="AC310">
        <v>148.55354273462919</v>
      </c>
      <c r="AD310">
        <v>60.551449275362309</v>
      </c>
      <c r="AE310">
        <v>134.86036704282569</v>
      </c>
      <c r="AF310">
        <v>105.0902573327176</v>
      </c>
      <c r="AG310">
        <v>-13.135980000000016</v>
      </c>
      <c r="AH310">
        <v>1159.6688247</v>
      </c>
      <c r="AI310">
        <v>1143.6109661</v>
      </c>
    </row>
    <row r="311" spans="1:35">
      <c r="A311" t="s">
        <v>417</v>
      </c>
      <c r="B311">
        <v>105.0531605161697</v>
      </c>
      <c r="C311">
        <v>106.70722081372777</v>
      </c>
      <c r="D311">
        <v>117.03784170916813</v>
      </c>
      <c r="E311">
        <v>112.21389883270396</v>
      </c>
      <c r="F311">
        <v>2.063277130161985</v>
      </c>
      <c r="G311">
        <v>2.7420068645556852</v>
      </c>
      <c r="H311">
        <v>145.40985162200721</v>
      </c>
      <c r="I311">
        <v>134.2008418901718</v>
      </c>
      <c r="J311">
        <v>140.94093257384083</v>
      </c>
      <c r="K311">
        <v>109.35647612429</v>
      </c>
      <c r="L311">
        <v>127.22076933101189</v>
      </c>
      <c r="M311">
        <v>104.02567851536224</v>
      </c>
      <c r="N311">
        <v>5.6229756623730127</v>
      </c>
      <c r="O311">
        <v>136.44737829896599</v>
      </c>
      <c r="P311">
        <v>114.22476486421697</v>
      </c>
      <c r="Q311">
        <v>107.45073466290121</v>
      </c>
      <c r="R311">
        <v>92.887608021611413</v>
      </c>
      <c r="S311">
        <v>115.63606625060257</v>
      </c>
      <c r="T311">
        <v>112.0392004518272</v>
      </c>
      <c r="U311">
        <v>114.62787643073302</v>
      </c>
      <c r="V311">
        <v>111.26964152848311</v>
      </c>
      <c r="W311">
        <v>104.53710202094211</v>
      </c>
      <c r="X311">
        <v>120.26763392248431</v>
      </c>
      <c r="Y311">
        <v>52.096601827509936</v>
      </c>
      <c r="Z311">
        <v>51.80610651449868</v>
      </c>
      <c r="AA311">
        <v>108.3778445890709</v>
      </c>
      <c r="AB311">
        <v>181.96996710988896</v>
      </c>
      <c r="AC311">
        <v>122.68218499496599</v>
      </c>
      <c r="AD311">
        <v>47.451818181818176</v>
      </c>
      <c r="AE311">
        <v>108.3428519152921</v>
      </c>
      <c r="AF311">
        <v>104.44124502391486</v>
      </c>
      <c r="AG311">
        <v>14.097341999999999</v>
      </c>
      <c r="AH311">
        <v>1092.8984806999999</v>
      </c>
      <c r="AI311">
        <v>1104.0739441000001</v>
      </c>
    </row>
    <row r="312" spans="1:35">
      <c r="A312" t="s">
        <v>418</v>
      </c>
      <c r="B312">
        <v>104.81177613343142</v>
      </c>
      <c r="C312">
        <v>106.31363017306036</v>
      </c>
      <c r="D312">
        <v>117.22419489405125</v>
      </c>
      <c r="E312">
        <v>112.38462161413145</v>
      </c>
      <c r="F312">
        <v>2.1340057693547023</v>
      </c>
      <c r="G312">
        <v>2.6778927818010336</v>
      </c>
      <c r="H312">
        <v>153.94576281503228</v>
      </c>
      <c r="I312">
        <v>135.18865693147492</v>
      </c>
      <c r="J312">
        <v>142.28982368246341</v>
      </c>
      <c r="K312">
        <v>115.16109901210294</v>
      </c>
      <c r="L312">
        <v>134.15814922989881</v>
      </c>
      <c r="M312">
        <v>104.06620595801796</v>
      </c>
      <c r="N312">
        <v>5.6122091875566706</v>
      </c>
      <c r="O312">
        <v>136.79832406394922</v>
      </c>
      <c r="P312">
        <v>117.58875337202718</v>
      </c>
      <c r="Q312">
        <v>107.1171385601302</v>
      </c>
      <c r="R312">
        <v>99.392645595714058</v>
      </c>
      <c r="S312">
        <v>116.00757981435845</v>
      </c>
      <c r="T312">
        <v>112.36698461281132</v>
      </c>
      <c r="U312">
        <v>114.97846530950532</v>
      </c>
      <c r="V312">
        <v>111.55375472740279</v>
      </c>
      <c r="W312">
        <v>101.53081644144117</v>
      </c>
      <c r="X312">
        <v>115.80855490697304</v>
      </c>
      <c r="Y312">
        <v>52.31592044690386</v>
      </c>
      <c r="Z312">
        <v>51.929613932282599</v>
      </c>
      <c r="AA312">
        <v>105.68205111926582</v>
      </c>
      <c r="AB312">
        <v>175.04308807232732</v>
      </c>
      <c r="AC312">
        <v>134.81149262355953</v>
      </c>
      <c r="AD312">
        <v>54.932666666666663</v>
      </c>
      <c r="AE312">
        <v>126.22782138919656</v>
      </c>
      <c r="AF312">
        <v>105.56562253230312</v>
      </c>
      <c r="AG312">
        <v>27.058979000000001</v>
      </c>
      <c r="AH312">
        <v>1080.3000797</v>
      </c>
      <c r="AI312">
        <v>1104.4371801</v>
      </c>
    </row>
    <row r="313" spans="1:35">
      <c r="A313" t="s">
        <v>419</v>
      </c>
      <c r="B313">
        <v>104.71611878463835</v>
      </c>
      <c r="C313">
        <v>106.45584569611671</v>
      </c>
      <c r="D313">
        <v>117.32593262360157</v>
      </c>
      <c r="E313">
        <v>112.43213970254531</v>
      </c>
      <c r="F313">
        <v>2.1616697005493539</v>
      </c>
      <c r="G313">
        <v>2.6338918017717905</v>
      </c>
      <c r="H313">
        <v>157.00223141936002</v>
      </c>
      <c r="I313">
        <v>135.83148408574303</v>
      </c>
      <c r="J313">
        <v>143.03405584709643</v>
      </c>
      <c r="K313">
        <v>113.44903898473659</v>
      </c>
      <c r="L313">
        <v>134.3585342215882</v>
      </c>
      <c r="M313">
        <v>104.14970875770086</v>
      </c>
      <c r="N313">
        <v>5.6005616930882107</v>
      </c>
      <c r="O313">
        <v>137.0021325259182</v>
      </c>
      <c r="P313">
        <v>113.57228564604348</v>
      </c>
      <c r="Q313">
        <v>100.93837771198409</v>
      </c>
      <c r="R313">
        <v>95.974731528829082</v>
      </c>
      <c r="S313">
        <v>116.47651874993666</v>
      </c>
      <c r="T313">
        <v>112.77264726806524</v>
      </c>
      <c r="U313">
        <v>115.35661892181119</v>
      </c>
      <c r="V313">
        <v>111.86299245204654</v>
      </c>
      <c r="W313">
        <v>98.953824602244197</v>
      </c>
      <c r="X313">
        <v>113.23017846738291</v>
      </c>
      <c r="Y313">
        <v>51.322799179454918</v>
      </c>
      <c r="Z313">
        <v>51.012049782822032</v>
      </c>
      <c r="AA313">
        <v>102.62661382597395</v>
      </c>
      <c r="AB313">
        <v>167.06367153193403</v>
      </c>
      <c r="AC313">
        <v>129.40491903923888</v>
      </c>
      <c r="AD313">
        <v>52.828030303030317</v>
      </c>
      <c r="AE313">
        <v>123.82118054737896</v>
      </c>
      <c r="AF313">
        <v>102.78567431946654</v>
      </c>
      <c r="AG313">
        <v>-23.212961</v>
      </c>
      <c r="AH313">
        <v>1086.6961727</v>
      </c>
      <c r="AI313">
        <v>1060.5613331</v>
      </c>
    </row>
    <row r="314" spans="1:35">
      <c r="A314" t="s">
        <v>420</v>
      </c>
      <c r="B314">
        <v>103.61384013825744</v>
      </c>
      <c r="C314">
        <v>105.22712818793713</v>
      </c>
      <c r="D314">
        <v>117.48733429519635</v>
      </c>
      <c r="E314">
        <v>112.32358128282989</v>
      </c>
      <c r="F314">
        <v>2.0480613694735412</v>
      </c>
      <c r="G314">
        <v>2.6486979202952248</v>
      </c>
      <c r="H314">
        <v>163.17542029385879</v>
      </c>
      <c r="I314">
        <v>136.82826595959986</v>
      </c>
      <c r="J314">
        <v>144.39516916245066</v>
      </c>
      <c r="K314">
        <v>119.29027699101708</v>
      </c>
      <c r="L314">
        <v>138.48591272403758</v>
      </c>
      <c r="M314">
        <v>104.15048957758563</v>
      </c>
      <c r="N314">
        <v>5.6054077016486756</v>
      </c>
      <c r="O314">
        <v>135.04389953554045</v>
      </c>
      <c r="P314">
        <v>114.84288321070673</v>
      </c>
      <c r="Q314">
        <v>101.47527187163985</v>
      </c>
      <c r="R314">
        <v>89.953448046251467</v>
      </c>
      <c r="S314">
        <v>116.76717620307929</v>
      </c>
      <c r="T314">
        <v>113.00767776540219</v>
      </c>
      <c r="U314">
        <v>115.67457706146283</v>
      </c>
      <c r="V314">
        <v>112.13345030636843</v>
      </c>
      <c r="W314">
        <v>100.88369550291691</v>
      </c>
      <c r="X314">
        <v>111.07290804929457</v>
      </c>
      <c r="Y314">
        <v>50.776648779559721</v>
      </c>
      <c r="Z314">
        <v>50.438915375866017</v>
      </c>
      <c r="AA314">
        <v>103.41080869921099</v>
      </c>
      <c r="AB314">
        <v>140.46148131030083</v>
      </c>
      <c r="AC314">
        <v>131.37908561468635</v>
      </c>
      <c r="AD314">
        <v>57.419545454545457</v>
      </c>
      <c r="AE314">
        <v>134.67257279201232</v>
      </c>
      <c r="AF314">
        <v>103.86826027014314</v>
      </c>
      <c r="AG314">
        <v>-12.270807</v>
      </c>
      <c r="AH314">
        <v>1082.2637227</v>
      </c>
      <c r="AI314">
        <v>1067.0710371</v>
      </c>
    </row>
    <row r="315" spans="1:35">
      <c r="A315" t="s">
        <v>421</v>
      </c>
      <c r="B315">
        <v>104.23224532739387</v>
      </c>
      <c r="C315">
        <v>105.61406600712711</v>
      </c>
      <c r="D315">
        <v>117.23881269609262</v>
      </c>
      <c r="E315">
        <v>112.10546614321213</v>
      </c>
      <c r="F315">
        <v>2.2444691450873329</v>
      </c>
      <c r="G315">
        <v>2.5701071761055383</v>
      </c>
      <c r="H315">
        <v>163.97305656703159</v>
      </c>
      <c r="I315">
        <v>137.75151137076696</v>
      </c>
      <c r="J315">
        <v>145.24315037881948</v>
      </c>
      <c r="K315">
        <v>116.8677178974249</v>
      </c>
      <c r="L315">
        <v>137.61928493503152</v>
      </c>
      <c r="M315">
        <v>104.19345475022456</v>
      </c>
      <c r="N315">
        <v>5.6281780306712976</v>
      </c>
      <c r="O315">
        <v>137.37926964101962</v>
      </c>
      <c r="P315">
        <v>118.6934729973257</v>
      </c>
      <c r="Q315">
        <v>101.58243763724326</v>
      </c>
      <c r="R315">
        <v>95.929450558304126</v>
      </c>
      <c r="S315">
        <v>117.15369453023155</v>
      </c>
      <c r="T315">
        <v>113.34315796976284</v>
      </c>
      <c r="U315">
        <v>116.00196134594391</v>
      </c>
      <c r="V315">
        <v>112.38988049282234</v>
      </c>
      <c r="W315">
        <v>100.7662559194556</v>
      </c>
      <c r="X315">
        <v>117.01630292815963</v>
      </c>
      <c r="Y315">
        <v>51.342219349010122</v>
      </c>
      <c r="Z315">
        <v>50.988939340467063</v>
      </c>
      <c r="AA315">
        <v>105.03188509445251</v>
      </c>
      <c r="AB315">
        <v>134.89852363692864</v>
      </c>
      <c r="AC315">
        <v>138.45460930679454</v>
      </c>
      <c r="AD315">
        <v>62.499523809523787</v>
      </c>
      <c r="AE315">
        <v>144.4327946219386</v>
      </c>
      <c r="AF315">
        <v>105.67410450205212</v>
      </c>
      <c r="AG315">
        <v>19.728266000000001</v>
      </c>
      <c r="AH315">
        <v>1056.2370037000001</v>
      </c>
      <c r="AI315">
        <v>1073.0433911</v>
      </c>
    </row>
    <row r="316" spans="1:35">
      <c r="A316" t="s">
        <v>422</v>
      </c>
      <c r="B316">
        <v>104.19824609039379</v>
      </c>
      <c r="C316">
        <v>105.95339946252339</v>
      </c>
      <c r="D316">
        <v>117.71554886555575</v>
      </c>
      <c r="E316">
        <v>112.53113489452926</v>
      </c>
      <c r="F316">
        <v>2.4794342926458106</v>
      </c>
      <c r="G316">
        <v>2.5301435621444375</v>
      </c>
      <c r="H316">
        <v>158.64484797122276</v>
      </c>
      <c r="I316">
        <v>138.34481766357166</v>
      </c>
      <c r="J316">
        <v>146.53757853460075</v>
      </c>
      <c r="K316">
        <v>113.50135000139512</v>
      </c>
      <c r="L316">
        <v>133.08572294993027</v>
      </c>
      <c r="M316">
        <v>104.19638677922779</v>
      </c>
      <c r="N316">
        <v>5.6181575587010881</v>
      </c>
      <c r="O316">
        <v>137.89189574645346</v>
      </c>
      <c r="P316">
        <v>116.50240329650684</v>
      </c>
      <c r="Q316">
        <v>105.46198609847319</v>
      </c>
      <c r="R316">
        <v>92.30309120645083</v>
      </c>
      <c r="S316">
        <v>117.43231422493736</v>
      </c>
      <c r="T316">
        <v>113.57953221740071</v>
      </c>
      <c r="U316">
        <v>116.30653570825713</v>
      </c>
      <c r="V316">
        <v>112.63384804406213</v>
      </c>
      <c r="W316">
        <v>100.30179498230194</v>
      </c>
      <c r="X316">
        <v>111.96508174677936</v>
      </c>
      <c r="Y316">
        <v>51.028044386166535</v>
      </c>
      <c r="Z316">
        <v>50.709827352386519</v>
      </c>
      <c r="AA316">
        <v>103.62872925562831</v>
      </c>
      <c r="AB316">
        <v>132.31807659959392</v>
      </c>
      <c r="AC316">
        <v>135.12384242452833</v>
      </c>
      <c r="AD316">
        <v>61.303030303030297</v>
      </c>
      <c r="AE316">
        <v>141.63215544277966</v>
      </c>
      <c r="AF316">
        <v>103.4497199746622</v>
      </c>
      <c r="AG316">
        <v>-2.2242009999999999</v>
      </c>
      <c r="AH316">
        <v>1092.6640167</v>
      </c>
      <c r="AI316">
        <v>1087.5179370999999</v>
      </c>
    </row>
    <row r="317" spans="1:35">
      <c r="A317" t="s">
        <v>423</v>
      </c>
      <c r="B317">
        <v>102.3991535970782</v>
      </c>
      <c r="C317">
        <v>103.93238447652055</v>
      </c>
      <c r="D317">
        <v>118.02121142839377</v>
      </c>
      <c r="E317">
        <v>112.7513630045933</v>
      </c>
      <c r="F317">
        <v>2.3944057483836714</v>
      </c>
      <c r="G317">
        <v>2.5193695001368965</v>
      </c>
      <c r="H317">
        <v>157.41683684076608</v>
      </c>
      <c r="I317">
        <v>139.63495456539229</v>
      </c>
      <c r="J317">
        <v>147.92314338146122</v>
      </c>
      <c r="K317">
        <v>111.76251431828071</v>
      </c>
      <c r="L317">
        <v>132.96229872266036</v>
      </c>
      <c r="M317">
        <v>104.21747033105507</v>
      </c>
      <c r="N317">
        <v>5.6178465224733136</v>
      </c>
      <c r="O317">
        <v>138.7500667531059</v>
      </c>
      <c r="P317">
        <v>109.74369497510652</v>
      </c>
      <c r="Q317">
        <v>105.1435296407422</v>
      </c>
      <c r="R317">
        <v>90.269466610580338</v>
      </c>
      <c r="S317">
        <v>117.69020146428836</v>
      </c>
      <c r="T317">
        <v>113.79454037906724</v>
      </c>
      <c r="U317">
        <v>116.53338226653436</v>
      </c>
      <c r="V317">
        <v>112.84419065518748</v>
      </c>
      <c r="W317">
        <v>100.15579315832466</v>
      </c>
      <c r="X317">
        <v>102.11717167630133</v>
      </c>
      <c r="Y317">
        <v>51.180303956089134</v>
      </c>
      <c r="Z317">
        <v>50.739579566216136</v>
      </c>
      <c r="AA317">
        <v>100.12626868151516</v>
      </c>
      <c r="AB317">
        <v>130.7587826887042</v>
      </c>
      <c r="AC317">
        <v>123.65505530050159</v>
      </c>
      <c r="AD317">
        <v>54.431159420289866</v>
      </c>
      <c r="AE317">
        <v>126.58698780625139</v>
      </c>
      <c r="AF317">
        <v>99.37195082044893</v>
      </c>
      <c r="AG317">
        <v>-7.2550809999999997</v>
      </c>
      <c r="AH317">
        <v>1084.4724437</v>
      </c>
      <c r="AI317">
        <v>1074.2954841000001</v>
      </c>
    </row>
    <row r="318" spans="1:35">
      <c r="A318" t="s">
        <v>424</v>
      </c>
      <c r="B318">
        <v>103.9852420974866</v>
      </c>
      <c r="C318">
        <v>105.89080317817877</v>
      </c>
      <c r="D318">
        <v>118.18050020037218</v>
      </c>
      <c r="E318">
        <v>112.70468226857962</v>
      </c>
      <c r="F318">
        <v>2.1960635175073859</v>
      </c>
      <c r="G318">
        <v>2.5232386882710971</v>
      </c>
      <c r="H318">
        <v>145.66352787381905</v>
      </c>
      <c r="I318">
        <v>140.18764582844702</v>
      </c>
      <c r="J318">
        <v>148.87272932653269</v>
      </c>
      <c r="K318">
        <v>102.84654932711888</v>
      </c>
      <c r="L318">
        <v>123.29424570560379</v>
      </c>
      <c r="M318">
        <v>104.34456460869499</v>
      </c>
      <c r="N318">
        <v>5.6114700939295465</v>
      </c>
      <c r="O318">
        <v>138.69071154999409</v>
      </c>
      <c r="P318">
        <v>102.52024145127211</v>
      </c>
      <c r="Q318">
        <v>103.81577422614782</v>
      </c>
      <c r="R318">
        <v>87.285319416772651</v>
      </c>
      <c r="S318">
        <v>117.93579636473277</v>
      </c>
      <c r="T318">
        <v>113.94288363354718</v>
      </c>
      <c r="U318">
        <v>116.78530128340682</v>
      </c>
      <c r="V318">
        <v>113.04860885830874</v>
      </c>
      <c r="W318">
        <v>97.086476707333503</v>
      </c>
      <c r="X318">
        <v>100.69209081115039</v>
      </c>
      <c r="Y318">
        <v>50.212718564775969</v>
      </c>
      <c r="Z318">
        <v>49.864728778760735</v>
      </c>
      <c r="AA318">
        <v>97.729234069603237</v>
      </c>
      <c r="AB318">
        <v>133.4731434724381</v>
      </c>
      <c r="AC318">
        <v>109.45031067908991</v>
      </c>
      <c r="AD318">
        <v>45.720317460317453</v>
      </c>
      <c r="AE318">
        <v>105.8469757638324</v>
      </c>
      <c r="AF318">
        <v>97.14347173344521</v>
      </c>
      <c r="AG318">
        <v>-7.4716379999999996</v>
      </c>
      <c r="AH318">
        <v>1052.4182206999999</v>
      </c>
      <c r="AI318">
        <v>1042.0247041</v>
      </c>
    </row>
    <row r="319" spans="1:35">
      <c r="A319" t="s">
        <v>425</v>
      </c>
      <c r="B319">
        <v>103.90133515667232</v>
      </c>
      <c r="C319">
        <v>105.90877959483213</v>
      </c>
      <c r="D319">
        <v>118.5912369479275</v>
      </c>
      <c r="E319">
        <v>113.01236406832689</v>
      </c>
      <c r="F319">
        <v>2.256910805038121</v>
      </c>
      <c r="G319">
        <v>2.4716374835021711</v>
      </c>
      <c r="H319">
        <v>140.19655522279564</v>
      </c>
      <c r="I319">
        <v>140.7889770747002</v>
      </c>
      <c r="J319">
        <v>149.79557460938611</v>
      </c>
      <c r="K319">
        <v>98.29125722152547</v>
      </c>
      <c r="L319">
        <v>118.43344362356831</v>
      </c>
      <c r="M319">
        <v>104.40353920574708</v>
      </c>
      <c r="N319">
        <v>5.5896491467703324</v>
      </c>
      <c r="O319">
        <v>137.09895557232133</v>
      </c>
      <c r="P319">
        <v>102.36254837675969</v>
      </c>
      <c r="Q319">
        <v>100.98530706072631</v>
      </c>
      <c r="R319">
        <v>84.02579658814841</v>
      </c>
      <c r="S319">
        <v>117.96646181916337</v>
      </c>
      <c r="T319">
        <v>113.91630723535229</v>
      </c>
      <c r="U319">
        <v>117.07245458536877</v>
      </c>
      <c r="V319">
        <v>113.29398131513575</v>
      </c>
      <c r="W319">
        <v>96.290023318034102</v>
      </c>
      <c r="X319">
        <v>100.78193889706249</v>
      </c>
      <c r="Y319">
        <v>50.805746035086074</v>
      </c>
      <c r="Z319">
        <v>50.257330713002752</v>
      </c>
      <c r="AA319">
        <v>97.070148961657267</v>
      </c>
      <c r="AB319">
        <v>129.9362864162407</v>
      </c>
      <c r="AC319">
        <v>110.0178683139095</v>
      </c>
      <c r="AD319">
        <v>46.286818181818177</v>
      </c>
      <c r="AE319">
        <v>106.80016833867278</v>
      </c>
      <c r="AF319">
        <v>94.95763465938596</v>
      </c>
      <c r="AG319">
        <v>9.6550349999999998</v>
      </c>
      <c r="AH319">
        <v>1047.1911817</v>
      </c>
      <c r="AI319">
        <v>1053.9243381000001</v>
      </c>
    </row>
    <row r="320" spans="1:35">
      <c r="A320" t="s">
        <v>426</v>
      </c>
      <c r="B320">
        <v>103.47424961039407</v>
      </c>
      <c r="C320">
        <v>105.45411032987417</v>
      </c>
      <c r="D320">
        <v>118.59115945101308</v>
      </c>
      <c r="E320">
        <v>112.87953183480022</v>
      </c>
      <c r="F320">
        <v>2.0535289849575351</v>
      </c>
      <c r="G320">
        <v>2.471088565073805</v>
      </c>
      <c r="H320">
        <v>151.04058387984898</v>
      </c>
      <c r="I320">
        <v>141.73313579740207</v>
      </c>
      <c r="J320">
        <v>150.80393927652662</v>
      </c>
      <c r="K320">
        <v>106.21550430682791</v>
      </c>
      <c r="L320">
        <v>127.44672288938649</v>
      </c>
      <c r="M320">
        <v>104.52819786434226</v>
      </c>
      <c r="N320">
        <v>5.5947336513548924</v>
      </c>
      <c r="O320">
        <v>135.89656108041697</v>
      </c>
      <c r="P320">
        <v>102.31737686619056</v>
      </c>
      <c r="Q320">
        <v>102.32508261913162</v>
      </c>
      <c r="R320">
        <v>79.575492667997395</v>
      </c>
      <c r="S320">
        <v>118.13528266029303</v>
      </c>
      <c r="T320">
        <v>114.06683612811052</v>
      </c>
      <c r="U320">
        <v>117.34940047541691</v>
      </c>
      <c r="V320">
        <v>113.52456717646282</v>
      </c>
      <c r="W320">
        <v>96.824129614598888</v>
      </c>
      <c r="X320">
        <v>98.074391896142444</v>
      </c>
      <c r="Y320">
        <v>51.604766051411609</v>
      </c>
      <c r="Z320">
        <v>50.980628952805695</v>
      </c>
      <c r="AA320">
        <v>97.337137110531458</v>
      </c>
      <c r="AB320">
        <v>123.44801219143635</v>
      </c>
      <c r="AC320">
        <v>109.52116586678811</v>
      </c>
      <c r="AD320">
        <v>46.957424242424239</v>
      </c>
      <c r="AE320">
        <v>108.34932659651354</v>
      </c>
      <c r="AF320">
        <v>94.936023612254274</v>
      </c>
      <c r="AG320">
        <v>7.366136</v>
      </c>
      <c r="AH320">
        <v>1049.5114616999999</v>
      </c>
      <c r="AI320">
        <v>1053.9557190999999</v>
      </c>
    </row>
    <row r="321" spans="1:35">
      <c r="A321" t="s">
        <v>427</v>
      </c>
      <c r="B321">
        <v>102.88964870684175</v>
      </c>
      <c r="C321">
        <v>104.58531434056117</v>
      </c>
      <c r="D321">
        <v>118.3899572063775</v>
      </c>
      <c r="E321">
        <v>112.56912205730872</v>
      </c>
      <c r="F321">
        <v>2.2075805204823133</v>
      </c>
      <c r="G321">
        <v>2.4685512034884098</v>
      </c>
      <c r="H321">
        <v>152.00989001197783</v>
      </c>
      <c r="I321">
        <v>142.5996468577768</v>
      </c>
      <c r="J321">
        <v>152.62846875351107</v>
      </c>
      <c r="K321">
        <v>104.07914654619165</v>
      </c>
      <c r="L321">
        <v>126.9849432952354</v>
      </c>
      <c r="M321">
        <v>104.56246694097364</v>
      </c>
      <c r="N321">
        <v>5.5857891563741191</v>
      </c>
      <c r="O321">
        <v>136.96111881620391</v>
      </c>
      <c r="P321">
        <v>96.226149435876337</v>
      </c>
      <c r="Q321">
        <v>101.66034898758538</v>
      </c>
      <c r="R321">
        <v>82.382455197997103</v>
      </c>
      <c r="S321">
        <v>118.40050127238675</v>
      </c>
      <c r="T321">
        <v>114.24402223167903</v>
      </c>
      <c r="U321">
        <v>117.59428533525833</v>
      </c>
      <c r="V321">
        <v>113.72070143113231</v>
      </c>
      <c r="W321">
        <v>92.771726312220267</v>
      </c>
      <c r="X321">
        <v>90.213975294242474</v>
      </c>
      <c r="Y321">
        <v>51.583762324073525</v>
      </c>
      <c r="Z321">
        <v>50.93994857636585</v>
      </c>
      <c r="AA321">
        <v>92.477505783988761</v>
      </c>
      <c r="AB321">
        <v>114.82684003027633</v>
      </c>
      <c r="AC321">
        <v>101.64846627834204</v>
      </c>
      <c r="AD321">
        <v>43.130952380952372</v>
      </c>
      <c r="AE321">
        <v>101.21109981155668</v>
      </c>
      <c r="AF321">
        <v>94.191101085437424</v>
      </c>
      <c r="AG321">
        <v>-3.0042900000000001</v>
      </c>
      <c r="AH321">
        <v>1023.0758287</v>
      </c>
      <c r="AI321">
        <v>1017.1496601</v>
      </c>
    </row>
    <row r="322" spans="1:35">
      <c r="A322" t="s">
        <v>428</v>
      </c>
      <c r="B322">
        <v>103.20159940707043</v>
      </c>
      <c r="C322">
        <v>105.07023747344817</v>
      </c>
      <c r="D322">
        <v>118.4159640461107</v>
      </c>
      <c r="E322">
        <v>112.44481304936858</v>
      </c>
      <c r="F322">
        <v>2.0876403604995439</v>
      </c>
      <c r="G322">
        <v>2.532842286862099</v>
      </c>
      <c r="H322">
        <v>148.85100214909752</v>
      </c>
      <c r="I322">
        <v>143.36590523249265</v>
      </c>
      <c r="J322">
        <v>153.62362067411749</v>
      </c>
      <c r="K322">
        <v>101.65495701399563</v>
      </c>
      <c r="L322">
        <v>123.74315336955152</v>
      </c>
      <c r="M322">
        <v>104.6948533862234</v>
      </c>
      <c r="N322">
        <v>5.571440960961981</v>
      </c>
      <c r="O322">
        <v>138.25908587831532</v>
      </c>
      <c r="P322">
        <v>90.753591062868097</v>
      </c>
      <c r="Q322">
        <v>100.58652660005785</v>
      </c>
      <c r="R322">
        <v>78.560504451084427</v>
      </c>
      <c r="S322">
        <v>118.59486100900034</v>
      </c>
      <c r="T322">
        <v>114.3441885045612</v>
      </c>
      <c r="U322">
        <v>117.8225895534418</v>
      </c>
      <c r="V322">
        <v>113.90079254489712</v>
      </c>
      <c r="W322">
        <v>92.353059783830545</v>
      </c>
      <c r="X322">
        <v>86.013738406525448</v>
      </c>
      <c r="Y322">
        <v>51.0698477491825</v>
      </c>
      <c r="Z322">
        <v>50.503780732319122</v>
      </c>
      <c r="AA322">
        <v>90.96113030496214</v>
      </c>
      <c r="AB322">
        <v>115.68277387210978</v>
      </c>
      <c r="AC322">
        <v>90.453390875178229</v>
      </c>
      <c r="AD322">
        <v>36.555217391304339</v>
      </c>
      <c r="AE322">
        <v>85.53271763160167</v>
      </c>
      <c r="AF322">
        <v>93.850880430170307</v>
      </c>
      <c r="AG322">
        <v>7.9318309999999999</v>
      </c>
      <c r="AH322">
        <v>1028.6810997</v>
      </c>
      <c r="AI322">
        <v>1033.6910521</v>
      </c>
    </row>
    <row r="323" spans="1:35">
      <c r="A323" t="s">
        <v>429</v>
      </c>
      <c r="B323">
        <v>102.62218761976604</v>
      </c>
      <c r="C323">
        <v>105.13994184446078</v>
      </c>
      <c r="D323">
        <v>119.34314027646768</v>
      </c>
      <c r="E323">
        <v>113.63842385404523</v>
      </c>
      <c r="F323">
        <v>2.1098415179430061</v>
      </c>
      <c r="G323">
        <v>2.472419192154121</v>
      </c>
      <c r="H323">
        <v>137.48364980977053</v>
      </c>
      <c r="I323">
        <v>144.44625216755009</v>
      </c>
      <c r="J323">
        <v>155.67601415705215</v>
      </c>
      <c r="K323">
        <v>94.966894372868822</v>
      </c>
      <c r="L323">
        <v>116.6286257369522</v>
      </c>
      <c r="M323">
        <v>104.80798008477964</v>
      </c>
      <c r="N323">
        <v>5.5561968313619507</v>
      </c>
      <c r="O323">
        <v>138.55461346179868</v>
      </c>
      <c r="P323">
        <v>85.32228161132106</v>
      </c>
      <c r="Q323">
        <v>93.967782719438802</v>
      </c>
      <c r="R323">
        <v>77.446092910731096</v>
      </c>
      <c r="S323">
        <v>118.75474470901186</v>
      </c>
      <c r="T323">
        <v>114.42462136297162</v>
      </c>
      <c r="U323">
        <v>118.06591336020983</v>
      </c>
      <c r="V323">
        <v>114.11321686139414</v>
      </c>
      <c r="W323">
        <v>92.319382649549951</v>
      </c>
      <c r="X323">
        <v>85.259094514423865</v>
      </c>
      <c r="Y323">
        <v>50.988881413386046</v>
      </c>
      <c r="Z323">
        <v>50.575593064545878</v>
      </c>
      <c r="AA323">
        <v>90.710579101982816</v>
      </c>
      <c r="AB323">
        <v>107.29999236911985</v>
      </c>
      <c r="AC323">
        <v>77.52824756886973</v>
      </c>
      <c r="AD323">
        <v>29.918253968253971</v>
      </c>
      <c r="AE323">
        <v>70.151346700445643</v>
      </c>
      <c r="AF323">
        <v>93.88156370468073</v>
      </c>
      <c r="AG323">
        <v>6.67516</v>
      </c>
      <c r="AH323">
        <v>968.97600269999998</v>
      </c>
      <c r="AI323">
        <v>972.72928409999997</v>
      </c>
    </row>
    <row r="324" spans="1:35">
      <c r="A324" t="s">
        <v>430</v>
      </c>
      <c r="B324">
        <v>101.95111430652372</v>
      </c>
      <c r="C324">
        <v>104.28507261621631</v>
      </c>
      <c r="D324">
        <v>119.45698604484159</v>
      </c>
      <c r="E324">
        <v>113.19513947457698</v>
      </c>
      <c r="F324">
        <v>1.9521030935738026</v>
      </c>
      <c r="G324">
        <v>2.4791473299216538</v>
      </c>
      <c r="H324">
        <v>136.63900727757385</v>
      </c>
      <c r="I324">
        <v>145.41253997924622</v>
      </c>
      <c r="J324">
        <v>156.66908661083923</v>
      </c>
      <c r="K324">
        <v>94.106670786306196</v>
      </c>
      <c r="L324">
        <v>114.80706746713587</v>
      </c>
      <c r="M324">
        <v>104.86327749975572</v>
      </c>
      <c r="N324">
        <v>5.5638232546621111</v>
      </c>
      <c r="O324">
        <v>139.44119995346091</v>
      </c>
      <c r="P324">
        <v>87.370831651442472</v>
      </c>
      <c r="Q324">
        <v>92.807197503774319</v>
      </c>
      <c r="R324">
        <v>79.015449878462633</v>
      </c>
      <c r="S324">
        <v>118.9593367820265</v>
      </c>
      <c r="T324">
        <v>114.54764938077247</v>
      </c>
      <c r="U324">
        <v>118.33937979746042</v>
      </c>
      <c r="V324">
        <v>114.34043746143394</v>
      </c>
      <c r="W324">
        <v>93.628967327861588</v>
      </c>
      <c r="X324">
        <v>89.321625926464662</v>
      </c>
      <c r="Y324">
        <v>50.13305561450688</v>
      </c>
      <c r="Z324">
        <v>49.900839340797198</v>
      </c>
      <c r="AA324">
        <v>93.752833351623821</v>
      </c>
      <c r="AB324">
        <v>98.653698526884881</v>
      </c>
      <c r="AC324">
        <v>78.139429970967072</v>
      </c>
      <c r="AD324">
        <v>31.05380952380952</v>
      </c>
      <c r="AE324">
        <v>72.263759318848486</v>
      </c>
      <c r="AF324">
        <v>94.17520612301486</v>
      </c>
      <c r="AG324">
        <v>9.4886210000000002</v>
      </c>
      <c r="AH324">
        <v>1003.5341297</v>
      </c>
      <c r="AI324">
        <v>1010.1008720999999</v>
      </c>
    </row>
    <row r="325" spans="1:35">
      <c r="A325" t="s">
        <v>431</v>
      </c>
      <c r="B325">
        <v>101.95846215490221</v>
      </c>
      <c r="C325">
        <v>104.44899724334964</v>
      </c>
      <c r="D325">
        <v>119.0592745015401</v>
      </c>
      <c r="E325">
        <v>112.89175560119746</v>
      </c>
      <c r="F325">
        <v>1.9453469422915333</v>
      </c>
      <c r="G325">
        <v>2.551103260444008</v>
      </c>
      <c r="H325">
        <v>145.69712011699571</v>
      </c>
      <c r="I325">
        <v>146.05663519523716</v>
      </c>
      <c r="J325">
        <v>157.86555965196507</v>
      </c>
      <c r="K325">
        <v>102.67473432559603</v>
      </c>
      <c r="L325">
        <v>121.71924912918077</v>
      </c>
      <c r="M325">
        <v>104.85354203201238</v>
      </c>
      <c r="N325">
        <v>5.568548456471607</v>
      </c>
      <c r="O325">
        <v>138.8040201011718</v>
      </c>
      <c r="P325">
        <v>93.608598124972517</v>
      </c>
      <c r="Q325">
        <v>95.748291140641385</v>
      </c>
      <c r="R325">
        <v>81.12770971903862</v>
      </c>
      <c r="S325">
        <v>119.27450098321495</v>
      </c>
      <c r="T325">
        <v>114.84422383917267</v>
      </c>
      <c r="U325">
        <v>118.60095270607529</v>
      </c>
      <c r="V325">
        <v>114.5616066886185</v>
      </c>
      <c r="W325">
        <v>97.082943643197424</v>
      </c>
      <c r="X325">
        <v>96.920185415412945</v>
      </c>
      <c r="Y325">
        <v>50.635854580629854</v>
      </c>
      <c r="Z325">
        <v>50.565225382036665</v>
      </c>
      <c r="AA325">
        <v>97.857178662447353</v>
      </c>
      <c r="AB325">
        <v>90.003416059959036</v>
      </c>
      <c r="AC325">
        <v>87.463135407191231</v>
      </c>
      <c r="AD325">
        <v>37.339565217391304</v>
      </c>
      <c r="AE325">
        <v>86.754830738021909</v>
      </c>
      <c r="AF325">
        <v>95.497933831427503</v>
      </c>
      <c r="AG325">
        <v>1.545866</v>
      </c>
      <c r="AH325">
        <v>996.27850169999999</v>
      </c>
      <c r="AI325">
        <v>994.90248910000003</v>
      </c>
    </row>
    <row r="326" spans="1:35">
      <c r="A326" t="s">
        <v>432</v>
      </c>
      <c r="B326">
        <v>101.81759914989807</v>
      </c>
      <c r="C326">
        <v>104.19916787259992</v>
      </c>
      <c r="D326">
        <v>119.58600082803335</v>
      </c>
      <c r="E326">
        <v>113.39482296283634</v>
      </c>
      <c r="F326">
        <v>1.8669046908408751</v>
      </c>
      <c r="G326">
        <v>2.5323062796093194</v>
      </c>
      <c r="H326">
        <v>146.59202845679786</v>
      </c>
      <c r="I326">
        <v>147.03979487007288</v>
      </c>
      <c r="J326">
        <v>159.68657791111337</v>
      </c>
      <c r="K326">
        <v>104.30118918551705</v>
      </c>
      <c r="L326">
        <v>122.63085318910763</v>
      </c>
      <c r="M326">
        <v>104.9148146014296</v>
      </c>
      <c r="N326">
        <v>5.5657540283628419</v>
      </c>
      <c r="O326">
        <v>139.04701153401959</v>
      </c>
      <c r="P326">
        <v>96.758541331427395</v>
      </c>
      <c r="Q326">
        <v>95.919694997763472</v>
      </c>
      <c r="R326">
        <v>80.031110744855567</v>
      </c>
      <c r="S326">
        <v>119.56220130002602</v>
      </c>
      <c r="T326">
        <v>115.07023969498331</v>
      </c>
      <c r="U326">
        <v>118.86548504064052</v>
      </c>
      <c r="V326">
        <v>114.76467304682869</v>
      </c>
      <c r="W326">
        <v>100.06911140313098</v>
      </c>
      <c r="X326">
        <v>99.066807240186719</v>
      </c>
      <c r="Y326">
        <v>50.225237556819081</v>
      </c>
      <c r="Z326">
        <v>50.079646798962102</v>
      </c>
      <c r="AA326">
        <v>99.868779666366507</v>
      </c>
      <c r="AB326">
        <v>86.167159812112388</v>
      </c>
      <c r="AC326">
        <v>92.259661396779279</v>
      </c>
      <c r="AD326">
        <v>40.749365079365077</v>
      </c>
      <c r="AE326">
        <v>93.787939502004974</v>
      </c>
      <c r="AF326">
        <v>100.1493349754807</v>
      </c>
      <c r="AG326">
        <v>23.390934999999999</v>
      </c>
      <c r="AH326">
        <v>1008.1607417</v>
      </c>
      <c r="AI326">
        <v>1028.6297981</v>
      </c>
    </row>
    <row r="327" spans="1:35">
      <c r="A327" t="s">
        <v>433</v>
      </c>
      <c r="B327">
        <v>101.66585691990458</v>
      </c>
      <c r="C327">
        <v>103.97256374719325</v>
      </c>
      <c r="D327">
        <v>119.52164001013148</v>
      </c>
      <c r="E327">
        <v>113.0182950006517</v>
      </c>
      <c r="F327">
        <v>1.9505250940838821</v>
      </c>
      <c r="G327">
        <v>2.5271296571289672</v>
      </c>
      <c r="H327">
        <v>146.64136285974246</v>
      </c>
      <c r="I327">
        <v>148.05243470141477</v>
      </c>
      <c r="J327">
        <v>161.28574514239045</v>
      </c>
      <c r="K327">
        <v>102.56506821681619</v>
      </c>
      <c r="L327">
        <v>122.88571246309617</v>
      </c>
      <c r="M327">
        <v>104.94025823459643</v>
      </c>
      <c r="N327">
        <v>5.5599036077631148</v>
      </c>
      <c r="O327">
        <v>48.847969127922525</v>
      </c>
      <c r="P327">
        <v>100.58206146238072</v>
      </c>
      <c r="Q327">
        <v>97.791613533082057</v>
      </c>
      <c r="R327">
        <v>80.38815242032166</v>
      </c>
      <c r="S327">
        <v>119.84109989092153</v>
      </c>
      <c r="T327">
        <v>115.31249964084529</v>
      </c>
      <c r="U327">
        <v>119.16723836708888</v>
      </c>
      <c r="V327">
        <v>115.02566735072384</v>
      </c>
      <c r="W327">
        <v>101.44126822142564</v>
      </c>
      <c r="X327">
        <v>95.82934425151565</v>
      </c>
      <c r="Y327">
        <v>50.441854111604009</v>
      </c>
      <c r="Z327">
        <v>50.241497863195079</v>
      </c>
      <c r="AA327">
        <v>100.02109350855014</v>
      </c>
      <c r="AB327">
        <v>86.762598312940227</v>
      </c>
      <c r="AC327">
        <v>101.39348721169345</v>
      </c>
      <c r="AD327">
        <v>45.981060606060595</v>
      </c>
      <c r="AE327">
        <v>105.65004591201587</v>
      </c>
      <c r="AF327">
        <v>100.82513908279107</v>
      </c>
      <c r="AG327">
        <v>12.019095</v>
      </c>
      <c r="AH327">
        <v>1011.7316067</v>
      </c>
      <c r="AI327">
        <v>1020.8288231</v>
      </c>
    </row>
    <row r="328" spans="1:35">
      <c r="A328" t="s">
        <v>434</v>
      </c>
      <c r="B328">
        <v>102.72604914720102</v>
      </c>
      <c r="C328">
        <v>105.17160411096519</v>
      </c>
      <c r="D328">
        <v>120.45489395472495</v>
      </c>
      <c r="E328">
        <v>113.69459887470749</v>
      </c>
      <c r="F328">
        <v>1.8307248048880935</v>
      </c>
      <c r="G328">
        <v>2.4940317000917842</v>
      </c>
      <c r="H328">
        <v>145.11051786797145</v>
      </c>
      <c r="I328">
        <v>149.07113440634413</v>
      </c>
      <c r="J328">
        <v>162.39189919803107</v>
      </c>
      <c r="K328">
        <v>102.06237178401068</v>
      </c>
      <c r="L328">
        <v>121.10245375369743</v>
      </c>
      <c r="M328">
        <v>105.05279479115343</v>
      </c>
      <c r="N328">
        <v>5.5591314977165736</v>
      </c>
      <c r="O328">
        <v>49.34848039045923</v>
      </c>
      <c r="P328">
        <v>103.20915908130543</v>
      </c>
      <c r="Q328">
        <v>101.27182738594497</v>
      </c>
      <c r="R328">
        <v>85.188734179788796</v>
      </c>
      <c r="S328">
        <v>120.18491404070841</v>
      </c>
      <c r="T328">
        <v>115.61315933496491</v>
      </c>
      <c r="U328">
        <v>119.42229446703053</v>
      </c>
      <c r="V328">
        <v>115.22845071188492</v>
      </c>
      <c r="W328">
        <v>103.57827172650637</v>
      </c>
      <c r="X328">
        <v>95.013983045756376</v>
      </c>
      <c r="Y328">
        <v>50.773947510759868</v>
      </c>
      <c r="Z328">
        <v>50.553724462739034</v>
      </c>
      <c r="AA328">
        <v>100.99282721166234</v>
      </c>
      <c r="AB328">
        <v>96.981208881494311</v>
      </c>
      <c r="AC328">
        <v>106.41502625387807</v>
      </c>
      <c r="AD328">
        <v>47.687121212121205</v>
      </c>
      <c r="AE328">
        <v>109.86158991053651</v>
      </c>
      <c r="AF328">
        <v>100.71253130987934</v>
      </c>
      <c r="AG328">
        <v>0.35154200000000002</v>
      </c>
      <c r="AH328">
        <v>1041.0441046999999</v>
      </c>
      <c r="AI328">
        <v>1038.4737680999999</v>
      </c>
    </row>
    <row r="329" spans="1:35">
      <c r="A329" t="s">
        <v>435</v>
      </c>
      <c r="B329">
        <v>103.14259399905343</v>
      </c>
      <c r="C329">
        <v>105.33483773615787</v>
      </c>
      <c r="D329">
        <v>120.34211987976281</v>
      </c>
      <c r="E329">
        <v>113.84589268667543</v>
      </c>
      <c r="F329">
        <v>1.5722236190044783</v>
      </c>
      <c r="G329">
        <v>2.4726257168226797</v>
      </c>
      <c r="H329">
        <v>150.21190064997916</v>
      </c>
      <c r="I329">
        <v>150.15696817833847</v>
      </c>
      <c r="J329">
        <v>163.66578907551414</v>
      </c>
      <c r="K329">
        <v>106.28568016814337</v>
      </c>
      <c r="L329">
        <v>126.002763593002</v>
      </c>
      <c r="M329">
        <v>105.1662114438604</v>
      </c>
      <c r="N329">
        <v>5.5149561129055593</v>
      </c>
      <c r="O329">
        <v>49.669433294238161</v>
      </c>
      <c r="P329">
        <v>102.82818881660569</v>
      </c>
      <c r="Q329">
        <v>103.67712308332416</v>
      </c>
      <c r="R329">
        <v>94.610285848652325</v>
      </c>
      <c r="S329">
        <v>120.4221831238111</v>
      </c>
      <c r="T329">
        <v>115.78333108558043</v>
      </c>
      <c r="U329">
        <v>119.65595772943939</v>
      </c>
      <c r="V329">
        <v>115.42769526961922</v>
      </c>
      <c r="W329">
        <v>103.88291064856783</v>
      </c>
      <c r="X329">
        <v>100.44101819604782</v>
      </c>
      <c r="Y329">
        <v>50.967664731148815</v>
      </c>
      <c r="Z329">
        <v>50.807141697973954</v>
      </c>
      <c r="AA329">
        <v>103.40411407112028</v>
      </c>
      <c r="AB329">
        <v>100.90464890089649</v>
      </c>
      <c r="AC329">
        <v>101.99512771569695</v>
      </c>
      <c r="AD329">
        <v>44.224126984126983</v>
      </c>
      <c r="AE329">
        <v>103.17066781685605</v>
      </c>
      <c r="AF329">
        <v>102.73150174388816</v>
      </c>
      <c r="AG329">
        <v>7.2253610000000004</v>
      </c>
      <c r="AH329">
        <v>1016.1839197</v>
      </c>
      <c r="AI329">
        <v>1020.4874021000001</v>
      </c>
    </row>
    <row r="330" spans="1:35">
      <c r="A330" t="s">
        <v>436</v>
      </c>
      <c r="B330">
        <v>104.32998480511652</v>
      </c>
      <c r="C330">
        <v>106.61720596853944</v>
      </c>
      <c r="D330">
        <v>120.82347015712276</v>
      </c>
      <c r="E330">
        <v>114.12339055407861</v>
      </c>
      <c r="F330">
        <v>1.6645913671645012</v>
      </c>
      <c r="G330">
        <v>2.4504460115598032</v>
      </c>
      <c r="H330">
        <v>151.95952080186629</v>
      </c>
      <c r="I330">
        <v>151.05952935929929</v>
      </c>
      <c r="J330">
        <v>165.71738500966023</v>
      </c>
      <c r="K330">
        <v>107.71984188054088</v>
      </c>
      <c r="L330">
        <v>127.99274735313064</v>
      </c>
      <c r="M330">
        <v>105.2732499466577</v>
      </c>
      <c r="N330">
        <v>5.5059726644583371</v>
      </c>
      <c r="O330">
        <v>49.909029145371491</v>
      </c>
      <c r="P330">
        <v>103.30582188210266</v>
      </c>
      <c r="Q330">
        <v>102.88659309611937</v>
      </c>
      <c r="R330">
        <v>102.07694135872039</v>
      </c>
      <c r="S330">
        <v>120.50239613825052</v>
      </c>
      <c r="T330">
        <v>115.88610228887559</v>
      </c>
      <c r="U330">
        <v>119.90291817610851</v>
      </c>
      <c r="V330">
        <v>115.62798819375799</v>
      </c>
      <c r="W330">
        <v>102.12454834463537</v>
      </c>
      <c r="X330">
        <v>102.24091448124405</v>
      </c>
      <c r="Y330">
        <v>50.863019821571072</v>
      </c>
      <c r="Z330">
        <v>50.764774714850795</v>
      </c>
      <c r="AA330">
        <v>102.98752131569141</v>
      </c>
      <c r="AB330">
        <v>103.12020563010979</v>
      </c>
      <c r="AC330">
        <v>103.76623548299237</v>
      </c>
      <c r="AD330">
        <v>44.843043478260867</v>
      </c>
      <c r="AE330">
        <v>103.94332810698218</v>
      </c>
      <c r="AF330">
        <v>101.43791549803811</v>
      </c>
      <c r="AG330">
        <v>-0.19992199999999999</v>
      </c>
      <c r="AH330">
        <v>1048.7937247</v>
      </c>
      <c r="AI330">
        <v>1045.6719241000001</v>
      </c>
    </row>
    <row r="331" spans="1:35">
      <c r="A331" t="s">
        <v>437</v>
      </c>
      <c r="B331">
        <v>104.51123786535346</v>
      </c>
      <c r="C331">
        <v>106.97865950269751</v>
      </c>
      <c r="D331">
        <v>121.01365829772175</v>
      </c>
      <c r="E331">
        <v>114.28625606846268</v>
      </c>
      <c r="F331">
        <v>1.713236459046291</v>
      </c>
      <c r="G331">
        <v>2.4232075455568243</v>
      </c>
      <c r="H331">
        <v>151.27191285104863</v>
      </c>
      <c r="I331">
        <v>151.99204270700287</v>
      </c>
      <c r="J331">
        <v>167.03260397422326</v>
      </c>
      <c r="K331">
        <v>108.48806640916872</v>
      </c>
      <c r="L331">
        <v>128.27966436754767</v>
      </c>
      <c r="M331">
        <v>105.26845204444879</v>
      </c>
      <c r="N331">
        <v>5.5068271743470181</v>
      </c>
      <c r="O331">
        <v>49.972525193288156</v>
      </c>
      <c r="P331">
        <v>103.35638250099814</v>
      </c>
      <c r="Q331">
        <v>105.38384219549174</v>
      </c>
      <c r="R331">
        <v>106.87439027385119</v>
      </c>
      <c r="S331">
        <v>120.74311665465318</v>
      </c>
      <c r="T331">
        <v>116.10071086522034</v>
      </c>
      <c r="U331">
        <v>120.14305679926917</v>
      </c>
      <c r="V331">
        <v>115.82419205041941</v>
      </c>
      <c r="W331">
        <v>101.70664702702703</v>
      </c>
      <c r="X331">
        <v>100.00722517053428</v>
      </c>
      <c r="Y331">
        <v>51.151636457923239</v>
      </c>
      <c r="Z331">
        <v>51.008053782471549</v>
      </c>
      <c r="AA331">
        <v>102.09935683292626</v>
      </c>
      <c r="AB331">
        <v>104.93302243723294</v>
      </c>
      <c r="AC331">
        <v>105.1746378713013</v>
      </c>
      <c r="AD331">
        <v>45.057727272727277</v>
      </c>
      <c r="AE331">
        <v>104.45842159804651</v>
      </c>
      <c r="AF331">
        <v>101.38272305920114</v>
      </c>
      <c r="AG331">
        <v>-1.3999170000000001</v>
      </c>
      <c r="AH331">
        <v>1050.3312827</v>
      </c>
      <c r="AI331">
        <v>1046.0094870999999</v>
      </c>
    </row>
    <row r="332" spans="1:35">
      <c r="A332" t="s">
        <v>438</v>
      </c>
      <c r="B332">
        <v>104.51534828463431</v>
      </c>
      <c r="C332">
        <v>106.7450576792742</v>
      </c>
      <c r="D332">
        <v>121.69576712262023</v>
      </c>
      <c r="E332">
        <v>114.86170034290784</v>
      </c>
      <c r="F332">
        <v>1.7908552270029918</v>
      </c>
      <c r="G332">
        <v>2.398155939327967</v>
      </c>
      <c r="H332">
        <v>153.33097032674573</v>
      </c>
      <c r="I332">
        <v>152.91466232058502</v>
      </c>
      <c r="J332">
        <v>168.38287495491298</v>
      </c>
      <c r="K332">
        <v>107.50835307061206</v>
      </c>
      <c r="L332">
        <v>128.65265500107591</v>
      </c>
      <c r="M332">
        <v>105.31176718612814</v>
      </c>
      <c r="N332">
        <v>5.5588416018468934</v>
      </c>
      <c r="O332">
        <v>50.279431446851618</v>
      </c>
      <c r="P332">
        <v>106.56969932697673</v>
      </c>
      <c r="Q332">
        <v>106.0600128537756</v>
      </c>
      <c r="R332">
        <v>133.55050971834245</v>
      </c>
      <c r="S332">
        <v>121.02175180378663</v>
      </c>
      <c r="T332">
        <v>116.36491402625072</v>
      </c>
      <c r="U332">
        <v>120.35501996167315</v>
      </c>
      <c r="V332">
        <v>116.00057703349118</v>
      </c>
      <c r="W332">
        <v>100.64342220885253</v>
      </c>
      <c r="X332">
        <v>101.12997903625592</v>
      </c>
      <c r="Y332">
        <v>52.515496340368124</v>
      </c>
      <c r="Z332">
        <v>52.22202390530498</v>
      </c>
      <c r="AA332">
        <v>100.87566037196071</v>
      </c>
      <c r="AB332">
        <v>105.69919880682311</v>
      </c>
      <c r="AC332">
        <v>114.80598055149173</v>
      </c>
      <c r="AD332">
        <v>49.293650793650784</v>
      </c>
      <c r="AE332">
        <v>115.85060079837596</v>
      </c>
      <c r="AF332">
        <v>100.69869858266971</v>
      </c>
      <c r="AG332">
        <v>-2.2001499999999998</v>
      </c>
      <c r="AH332">
        <v>1036.0737517</v>
      </c>
      <c r="AI332">
        <v>1030.9517231</v>
      </c>
    </row>
    <row r="333" spans="1:35">
      <c r="A333" t="s">
        <v>439</v>
      </c>
      <c r="B333">
        <v>105.51325231540775</v>
      </c>
      <c r="C333">
        <v>108.09216659427297</v>
      </c>
      <c r="D333">
        <v>122.38856217704608</v>
      </c>
      <c r="E333">
        <v>115.6121408897996</v>
      </c>
      <c r="F333">
        <v>1.9926024855022206</v>
      </c>
      <c r="G333">
        <v>2.3996668144329396</v>
      </c>
      <c r="H333">
        <v>157.24878602367264</v>
      </c>
      <c r="I333">
        <v>153.89273555999938</v>
      </c>
      <c r="J333">
        <v>168.92175783052289</v>
      </c>
      <c r="K333">
        <v>105.7046644881062</v>
      </c>
      <c r="L333">
        <v>129.11174181759904</v>
      </c>
      <c r="M333">
        <v>105.37393628292251</v>
      </c>
      <c r="N333">
        <v>5.5230606068573707</v>
      </c>
      <c r="O333">
        <v>51.397207098131162</v>
      </c>
      <c r="P333">
        <v>105.44564119729789</v>
      </c>
      <c r="Q333">
        <v>105.73433367945408</v>
      </c>
      <c r="R333">
        <v>149.03942626398683</v>
      </c>
      <c r="S333">
        <v>121.26646372198739</v>
      </c>
      <c r="T333">
        <v>116.58270993337673</v>
      </c>
      <c r="U333">
        <v>120.61256597959913</v>
      </c>
      <c r="V333">
        <v>116.21400015899044</v>
      </c>
      <c r="W333">
        <v>101.19577735032286</v>
      </c>
      <c r="X333">
        <v>115.2364308092223</v>
      </c>
      <c r="Y333">
        <v>52.070952043723103</v>
      </c>
      <c r="Z333">
        <v>51.780481975489252</v>
      </c>
      <c r="AA333">
        <v>103.67633185133319</v>
      </c>
      <c r="AB333">
        <v>100.29211967154589</v>
      </c>
      <c r="AC333">
        <v>108.0049017611355</v>
      </c>
      <c r="AD333">
        <v>45.278030303030306</v>
      </c>
      <c r="AE333">
        <v>107.40604821649015</v>
      </c>
      <c r="AF333">
        <v>102.70372778280245</v>
      </c>
      <c r="AG333">
        <v>-2.9095149999999999</v>
      </c>
      <c r="AH333">
        <v>1062.7953027000001</v>
      </c>
      <c r="AI333">
        <v>1056.9639090999999</v>
      </c>
    </row>
    <row r="334" spans="1:35">
      <c r="A334" t="s">
        <v>440</v>
      </c>
      <c r="B334">
        <v>105.82012574025434</v>
      </c>
      <c r="C334">
        <v>108.66090630709228</v>
      </c>
      <c r="D334">
        <v>122.96855677434657</v>
      </c>
      <c r="E334">
        <v>116.13817980287477</v>
      </c>
      <c r="F334">
        <v>2.2861995620438931</v>
      </c>
      <c r="G334">
        <v>2.4707531043186832</v>
      </c>
      <c r="H334">
        <v>162.12739329567489</v>
      </c>
      <c r="I334">
        <v>154.63872651361669</v>
      </c>
      <c r="J334">
        <v>169.27585847297448</v>
      </c>
      <c r="K334">
        <v>107.8145141131569</v>
      </c>
      <c r="L334">
        <v>131.90232660105841</v>
      </c>
      <c r="M334">
        <v>105.39381547874385</v>
      </c>
      <c r="N334">
        <v>5.5018679958467995</v>
      </c>
      <c r="O334">
        <v>51.868297663648335</v>
      </c>
      <c r="P334">
        <v>111.64279301316935</v>
      </c>
      <c r="Q334">
        <v>98.751687811190038</v>
      </c>
      <c r="R334">
        <v>130.65119668324857</v>
      </c>
      <c r="S334">
        <v>121.56670043151667</v>
      </c>
      <c r="T334">
        <v>116.87838892274031</v>
      </c>
      <c r="U334">
        <v>120.86422361781261</v>
      </c>
      <c r="V334">
        <v>116.43465653154131</v>
      </c>
      <c r="W334">
        <v>102.32674944892257</v>
      </c>
      <c r="X334">
        <v>119.5333919129355</v>
      </c>
      <c r="Y334">
        <v>53.084960191134876</v>
      </c>
      <c r="Z334">
        <v>52.428920353565452</v>
      </c>
      <c r="AA334">
        <v>103.75372405433482</v>
      </c>
      <c r="AB334">
        <v>119.18273059088111</v>
      </c>
      <c r="AC334">
        <v>123.05412880800317</v>
      </c>
      <c r="AD334">
        <v>52.614242424242427</v>
      </c>
      <c r="AE334">
        <v>126.70142138137567</v>
      </c>
      <c r="AF334">
        <v>105.80372430612641</v>
      </c>
      <c r="AG334">
        <v>-3.1811289999999999</v>
      </c>
      <c r="AH334">
        <v>1079.8857487</v>
      </c>
      <c r="AI334">
        <v>1073.7827411000001</v>
      </c>
    </row>
    <row r="335" spans="1:35">
      <c r="A335" t="s">
        <v>441</v>
      </c>
      <c r="B335">
        <v>104.97038603739739</v>
      </c>
      <c r="C335">
        <v>108.52724799587875</v>
      </c>
      <c r="D335">
        <v>122.88102660758236</v>
      </c>
      <c r="E335">
        <v>116.09164491374592</v>
      </c>
      <c r="F335">
        <v>2.3555287838900858</v>
      </c>
      <c r="G335">
        <v>2.3924011879622569</v>
      </c>
      <c r="H335">
        <v>163.50829143340016</v>
      </c>
      <c r="I335">
        <v>155.87669838177322</v>
      </c>
      <c r="J335">
        <v>170.89433896264819</v>
      </c>
      <c r="K335">
        <v>111.6945028786439</v>
      </c>
      <c r="L335">
        <v>134.97419207760947</v>
      </c>
      <c r="M335">
        <v>105.462059219471</v>
      </c>
      <c r="N335">
        <v>5.5459155418984194</v>
      </c>
      <c r="O335">
        <v>52.409728106778807</v>
      </c>
      <c r="P335">
        <v>115.91232862639042</v>
      </c>
      <c r="Q335">
        <v>102.43661532851593</v>
      </c>
      <c r="R335">
        <v>132.04547277639486</v>
      </c>
      <c r="S335">
        <v>121.99374113693131</v>
      </c>
      <c r="T335">
        <v>117.27542234058393</v>
      </c>
      <c r="U335">
        <v>121.17254593140328</v>
      </c>
      <c r="V335">
        <v>116.69677305418298</v>
      </c>
      <c r="W335">
        <v>106.5366290159841</v>
      </c>
      <c r="X335">
        <v>121.36834449701475</v>
      </c>
      <c r="Y335">
        <v>53.617062830788512</v>
      </c>
      <c r="Z335">
        <v>52.785718020538823</v>
      </c>
      <c r="AA335">
        <v>107.32945698309595</v>
      </c>
      <c r="AB335">
        <v>132.78885500801766</v>
      </c>
      <c r="AC335">
        <v>128.32723219950617</v>
      </c>
      <c r="AD335">
        <v>53.628939393939383</v>
      </c>
      <c r="AE335">
        <v>128.75250829014144</v>
      </c>
      <c r="AF335">
        <v>109.73920607798925</v>
      </c>
      <c r="AG335">
        <v>-11.687215999999999</v>
      </c>
      <c r="AH335">
        <v>1092.3534897</v>
      </c>
      <c r="AI335">
        <v>1077.7443951</v>
      </c>
    </row>
    <row r="336" spans="1:35">
      <c r="A336" t="s">
        <v>442</v>
      </c>
      <c r="B336">
        <v>106.29452867543135</v>
      </c>
      <c r="C336">
        <v>109.82511731039254</v>
      </c>
      <c r="D336">
        <v>123.15485097171033</v>
      </c>
      <c r="E336">
        <v>116.19413428269803</v>
      </c>
      <c r="F336">
        <v>2.2624280320452752</v>
      </c>
      <c r="G336">
        <v>2.3792684873223271</v>
      </c>
      <c r="H336">
        <v>167.75959922774635</v>
      </c>
      <c r="I336">
        <v>156.85470090109243</v>
      </c>
      <c r="J336">
        <v>173.2695613955018</v>
      </c>
      <c r="K336">
        <v>114.24815232420487</v>
      </c>
      <c r="L336">
        <v>138.14070089125448</v>
      </c>
      <c r="M336">
        <v>105.48100528921631</v>
      </c>
      <c r="N336">
        <v>5.5123149884852101</v>
      </c>
      <c r="O336">
        <v>52.415935235052835</v>
      </c>
      <c r="P336">
        <v>116.36967752249221</v>
      </c>
      <c r="Q336">
        <v>100.57621378607585</v>
      </c>
      <c r="R336">
        <v>125.78329253444302</v>
      </c>
      <c r="S336">
        <v>122.24851261616192</v>
      </c>
      <c r="T336">
        <v>117.46604922294026</v>
      </c>
      <c r="U336">
        <v>121.40989600562857</v>
      </c>
      <c r="V336">
        <v>116.89145103122642</v>
      </c>
      <c r="W336">
        <v>107.02278794316925</v>
      </c>
      <c r="X336">
        <v>128.72324522746189</v>
      </c>
      <c r="Y336">
        <v>53.502025692577881</v>
      </c>
      <c r="Z336">
        <v>52.786083190948013</v>
      </c>
      <c r="AA336">
        <v>109.70901737217828</v>
      </c>
      <c r="AB336">
        <v>116.40783259938719</v>
      </c>
      <c r="AC336">
        <v>126.00415149998044</v>
      </c>
      <c r="AD336">
        <v>54.355333333333327</v>
      </c>
      <c r="AE336">
        <v>130.13372780786449</v>
      </c>
      <c r="AF336">
        <v>111.52106643538532</v>
      </c>
      <c r="AG336">
        <v>-17.026945000000001</v>
      </c>
      <c r="AH336">
        <v>1097.7573967000001</v>
      </c>
      <c r="AI336">
        <v>1077.8085731000001</v>
      </c>
    </row>
    <row r="337" spans="1:35">
      <c r="A337" t="s">
        <v>443</v>
      </c>
      <c r="B337">
        <v>107.79260493907267</v>
      </c>
      <c r="C337">
        <v>111.66048837575983</v>
      </c>
      <c r="D337">
        <v>123.98469708769973</v>
      </c>
      <c r="E337">
        <v>116.7950373083164</v>
      </c>
      <c r="F337">
        <v>2.3757480911291502</v>
      </c>
      <c r="G337">
        <v>2.44126511102073</v>
      </c>
      <c r="H337">
        <v>170.12428595885169</v>
      </c>
      <c r="I337">
        <v>158.01501939835171</v>
      </c>
      <c r="J337">
        <v>175.25608079039893</v>
      </c>
      <c r="K337">
        <v>116.60398170667385</v>
      </c>
      <c r="L337">
        <v>140.48910918650435</v>
      </c>
      <c r="M337">
        <v>105.61617421918518</v>
      </c>
      <c r="N337">
        <v>5.4785270909379662</v>
      </c>
      <c r="O337">
        <v>52.627461499048231</v>
      </c>
      <c r="P337">
        <v>110.86862038090501</v>
      </c>
      <c r="Q337">
        <v>98.752547134116128</v>
      </c>
      <c r="R337">
        <v>122.37140339459781</v>
      </c>
      <c r="S337">
        <v>122.35921508192742</v>
      </c>
      <c r="T337">
        <v>117.52218931472405</v>
      </c>
      <c r="U337">
        <v>121.63707971316384</v>
      </c>
      <c r="V337">
        <v>117.05889665528527</v>
      </c>
      <c r="W337">
        <v>103.43533644775873</v>
      </c>
      <c r="X337">
        <v>127.21434467125029</v>
      </c>
      <c r="Y337">
        <v>53.21995435387867</v>
      </c>
      <c r="Z337">
        <v>52.770560194476033</v>
      </c>
      <c r="AA337">
        <v>107.09928618675031</v>
      </c>
      <c r="AB337">
        <v>102.44687173607709</v>
      </c>
      <c r="AC337">
        <v>116.32086556178676</v>
      </c>
      <c r="AD337">
        <v>50.905797101449281</v>
      </c>
      <c r="AE337">
        <v>121.93844410981143</v>
      </c>
      <c r="AF337">
        <v>107.77318825530148</v>
      </c>
      <c r="AG337">
        <v>-7.7956589999999997</v>
      </c>
      <c r="AH337">
        <v>1125.9108467000001</v>
      </c>
      <c r="AI337">
        <v>1115.1933091000001</v>
      </c>
    </row>
    <row r="338" spans="1:35">
      <c r="A338" t="s">
        <v>444</v>
      </c>
      <c r="B338">
        <v>107.54868895823314</v>
      </c>
      <c r="C338">
        <v>111.009750661613</v>
      </c>
      <c r="D338">
        <v>124.17726403491535</v>
      </c>
      <c r="E338">
        <v>117.23141539393882</v>
      </c>
      <c r="F338">
        <v>2.2920552979001219</v>
      </c>
      <c r="G338">
        <v>2.4168265996842875</v>
      </c>
      <c r="H338">
        <v>171.6802906637235</v>
      </c>
      <c r="I338">
        <v>158.81169001836867</v>
      </c>
      <c r="J338">
        <v>176.63809443036968</v>
      </c>
      <c r="K338">
        <v>118.82737491058928</v>
      </c>
      <c r="L338">
        <v>142.6371075942742</v>
      </c>
      <c r="M338">
        <v>105.74986807434077</v>
      </c>
      <c r="N338">
        <v>5.4060695209850413</v>
      </c>
      <c r="O338">
        <v>52.569509202460388</v>
      </c>
      <c r="P338">
        <v>110.97639080642973</v>
      </c>
      <c r="Q338">
        <v>96.045385885470367</v>
      </c>
      <c r="R338">
        <v>124.29169716096449</v>
      </c>
      <c r="S338">
        <v>122.60789358261619</v>
      </c>
      <c r="T338">
        <v>117.74378233182881</v>
      </c>
      <c r="U338">
        <v>121.8658591018462</v>
      </c>
      <c r="V338">
        <v>117.26012342732453</v>
      </c>
      <c r="W338">
        <v>102.80470979601672</v>
      </c>
      <c r="X338">
        <v>116.89217128901055</v>
      </c>
      <c r="Y338">
        <v>53.285584890562646</v>
      </c>
      <c r="Z338">
        <v>52.608220516257283</v>
      </c>
      <c r="AA338">
        <v>105.14099778543797</v>
      </c>
      <c r="AB338">
        <v>105.35644646904058</v>
      </c>
      <c r="AC338">
        <v>119.41713705986399</v>
      </c>
      <c r="AD338">
        <v>52.226333333333329</v>
      </c>
      <c r="AE338">
        <v>124.52005075640672</v>
      </c>
      <c r="AF338">
        <v>107.82553822017698</v>
      </c>
      <c r="AG338">
        <v>-3.3772039999999999</v>
      </c>
      <c r="AH338">
        <v>1102.4269767000001</v>
      </c>
      <c r="AI338">
        <v>1096.1278941</v>
      </c>
    </row>
    <row r="339" spans="1:35">
      <c r="A339" t="s">
        <v>445</v>
      </c>
      <c r="B339">
        <v>107.25198525525862</v>
      </c>
      <c r="C339">
        <v>110.67472060198446</v>
      </c>
      <c r="D339">
        <v>124.75636572718895</v>
      </c>
      <c r="E339">
        <v>117.65008435145793</v>
      </c>
      <c r="F339">
        <v>2.2782759734758677</v>
      </c>
      <c r="G339">
        <v>2.4098445697116713</v>
      </c>
      <c r="H339">
        <v>172.70208213336335</v>
      </c>
      <c r="I339">
        <v>159.55055228964852</v>
      </c>
      <c r="J339">
        <v>178.21514345155214</v>
      </c>
      <c r="K339">
        <v>121.5792960064195</v>
      </c>
      <c r="L339">
        <v>144.76364628960999</v>
      </c>
      <c r="M339">
        <v>105.75466513919629</v>
      </c>
      <c r="N339">
        <v>5.4202409478177485</v>
      </c>
      <c r="O339">
        <v>54.456405862471449</v>
      </c>
      <c r="P339">
        <v>108.83827631239674</v>
      </c>
      <c r="Q339">
        <v>94.040010859183781</v>
      </c>
      <c r="R339">
        <v>113.43534554531074</v>
      </c>
      <c r="S339">
        <v>122.74607753135984</v>
      </c>
      <c r="T339">
        <v>117.82791262432252</v>
      </c>
      <c r="U339">
        <v>122.11265009784285</v>
      </c>
      <c r="V339">
        <v>117.45543665521261</v>
      </c>
      <c r="W339">
        <v>105.2184556262368</v>
      </c>
      <c r="X339">
        <v>111.66543300852901</v>
      </c>
      <c r="Y339">
        <v>53.261547822126388</v>
      </c>
      <c r="Z339">
        <v>52.575746671921415</v>
      </c>
      <c r="AA339">
        <v>104.6216831073836</v>
      </c>
      <c r="AB339">
        <v>106.22083981267804</v>
      </c>
      <c r="AC339">
        <v>114.93747017465044</v>
      </c>
      <c r="AD339">
        <v>49.911594202898563</v>
      </c>
      <c r="AE339">
        <v>117.83550401067687</v>
      </c>
      <c r="AF339">
        <v>107.95206233526704</v>
      </c>
      <c r="AG339">
        <v>-16.765594</v>
      </c>
      <c r="AH339">
        <v>1135.4467867000001</v>
      </c>
      <c r="AI339">
        <v>1115.7593141</v>
      </c>
    </row>
    <row r="340" spans="1:35">
      <c r="A340" t="s">
        <v>446</v>
      </c>
      <c r="B340">
        <v>107.27638654315723</v>
      </c>
      <c r="C340">
        <v>110.68212992592471</v>
      </c>
      <c r="D340">
        <v>125.12084149171656</v>
      </c>
      <c r="E340">
        <v>118.03038342454242</v>
      </c>
      <c r="F340">
        <v>2.1099422392917631</v>
      </c>
      <c r="G340">
        <v>2.4447164232193668</v>
      </c>
      <c r="H340">
        <v>173.59253936103732</v>
      </c>
      <c r="I340">
        <v>160.48211465924936</v>
      </c>
      <c r="J340">
        <v>179.33370450674673</v>
      </c>
      <c r="K340">
        <v>121.78931996712636</v>
      </c>
      <c r="L340">
        <v>144.72407333679672</v>
      </c>
      <c r="M340">
        <v>105.88302428927328</v>
      </c>
      <c r="N340">
        <v>5.3779559223305107</v>
      </c>
      <c r="O340">
        <v>54.839722823614153</v>
      </c>
      <c r="P340">
        <v>105.64405026099951</v>
      </c>
      <c r="Q340">
        <v>94.259184399886109</v>
      </c>
      <c r="R340">
        <v>121.71435010779793</v>
      </c>
      <c r="S340">
        <v>122.89824271510761</v>
      </c>
      <c r="T340">
        <v>117.9484528354343</v>
      </c>
      <c r="U340">
        <v>122.33025007936075</v>
      </c>
      <c r="V340">
        <v>117.65488494067304</v>
      </c>
      <c r="W340">
        <v>104.5174124848143</v>
      </c>
      <c r="X340">
        <v>109.86004533234309</v>
      </c>
      <c r="Y340">
        <v>53.129336786645148</v>
      </c>
      <c r="Z340">
        <v>52.432127071115765</v>
      </c>
      <c r="AA340">
        <v>103.84662085431445</v>
      </c>
      <c r="AB340">
        <v>102.24757454163692</v>
      </c>
      <c r="AC340">
        <v>108.24398577103489</v>
      </c>
      <c r="AD340">
        <v>46.133030303030303</v>
      </c>
      <c r="AE340">
        <v>108.20895451019361</v>
      </c>
      <c r="AF340">
        <v>103.24935080200309</v>
      </c>
      <c r="AG340">
        <v>-11.101777999999999</v>
      </c>
      <c r="AH340">
        <v>1140.2873156999999</v>
      </c>
      <c r="AI340">
        <v>1126.2636591</v>
      </c>
    </row>
    <row r="341" spans="1:35">
      <c r="A341" t="s">
        <v>447</v>
      </c>
      <c r="B341">
        <v>108.20307217222665</v>
      </c>
      <c r="C341">
        <v>111.64468206942303</v>
      </c>
      <c r="D341">
        <v>125.3170758301162</v>
      </c>
      <c r="E341">
        <v>118.30188541675581</v>
      </c>
      <c r="F341">
        <v>2.3114130261555195</v>
      </c>
      <c r="G341">
        <v>2.4188906824758858</v>
      </c>
      <c r="H341">
        <v>176.7506702187984</v>
      </c>
      <c r="I341">
        <v>161.32890919827491</v>
      </c>
      <c r="J341">
        <v>181.13639300212338</v>
      </c>
      <c r="K341">
        <v>126.56612194809098</v>
      </c>
      <c r="L341">
        <v>148.45078566539976</v>
      </c>
      <c r="M341">
        <v>105.92541370377113</v>
      </c>
      <c r="N341">
        <v>5.3733268395869072</v>
      </c>
      <c r="O341">
        <v>55.252465091019729</v>
      </c>
      <c r="P341">
        <v>108.48214300067038</v>
      </c>
      <c r="Q341">
        <v>96.255167538315504</v>
      </c>
      <c r="R341">
        <v>128.16916177951069</v>
      </c>
      <c r="S341">
        <v>123.13595865400902</v>
      </c>
      <c r="T341">
        <v>118.11120824694932</v>
      </c>
      <c r="U341">
        <v>122.59530293169772</v>
      </c>
      <c r="V341">
        <v>117.85938620602496</v>
      </c>
      <c r="W341">
        <v>106.86400798733676</v>
      </c>
      <c r="X341">
        <v>117.18691473769763</v>
      </c>
      <c r="Y341">
        <v>52.761863302246248</v>
      </c>
      <c r="Z341">
        <v>51.986736966167264</v>
      </c>
      <c r="AA341">
        <v>106.02328473228677</v>
      </c>
      <c r="AB341">
        <v>103.83415969981252</v>
      </c>
      <c r="AC341">
        <v>112.0388183851602</v>
      </c>
      <c r="AD341">
        <v>47.665079365079364</v>
      </c>
      <c r="AE341">
        <v>110.8338762981204</v>
      </c>
      <c r="AF341">
        <v>102.59224262707602</v>
      </c>
      <c r="AG341">
        <v>-12.811712999999999</v>
      </c>
      <c r="AH341">
        <v>1132.6324967</v>
      </c>
      <c r="AI341">
        <v>1116.8989051000001</v>
      </c>
    </row>
    <row r="342" spans="1:35">
      <c r="A342" t="s">
        <v>448</v>
      </c>
      <c r="B342">
        <v>108.22399979377541</v>
      </c>
      <c r="C342">
        <v>111.64617552362384</v>
      </c>
      <c r="D342">
        <v>126.44226278064548</v>
      </c>
      <c r="E342">
        <v>118.94240632370499</v>
      </c>
      <c r="F342">
        <v>2.2292931297742409</v>
      </c>
      <c r="G342">
        <v>2.4075060147519296</v>
      </c>
      <c r="H342">
        <v>178.43898151794181</v>
      </c>
      <c r="I342">
        <v>162.31484877617393</v>
      </c>
      <c r="J342">
        <v>182.67061836073043</v>
      </c>
      <c r="K342">
        <v>127.89602813870944</v>
      </c>
      <c r="L342">
        <v>149.7733375810534</v>
      </c>
      <c r="M342">
        <v>106.02647820707544</v>
      </c>
      <c r="N342">
        <v>5.3550179716489623</v>
      </c>
      <c r="O342">
        <v>55.58842084186022</v>
      </c>
      <c r="P342">
        <v>111.37236548451996</v>
      </c>
      <c r="Q342">
        <v>96.105571628213667</v>
      </c>
      <c r="R342">
        <v>140.98532251630556</v>
      </c>
      <c r="S342">
        <v>123.49475624319552</v>
      </c>
      <c r="T342">
        <v>118.43162867922248</v>
      </c>
      <c r="U342">
        <v>122.84797805966082</v>
      </c>
      <c r="V342">
        <v>118.07391553344517</v>
      </c>
      <c r="W342">
        <v>102.08084936005673</v>
      </c>
      <c r="X342">
        <v>127.01562782119035</v>
      </c>
      <c r="Y342">
        <v>53.768785157546375</v>
      </c>
      <c r="Z342">
        <v>53.074322530604668</v>
      </c>
      <c r="AA342">
        <v>106.59164039331219</v>
      </c>
      <c r="AB342">
        <v>108.32376818056987</v>
      </c>
      <c r="AC342">
        <v>118.28756164305609</v>
      </c>
      <c r="AD342">
        <v>49.942608695652169</v>
      </c>
      <c r="AE342">
        <v>114.85279184808849</v>
      </c>
      <c r="AF342">
        <v>102.76680908299606</v>
      </c>
      <c r="AG342">
        <v>-9.1668389999999995</v>
      </c>
      <c r="AH342">
        <v>1165.3975127000001</v>
      </c>
      <c r="AI342">
        <v>1153.3087951</v>
      </c>
    </row>
    <row r="343" spans="1:35">
      <c r="A343" t="s">
        <v>449</v>
      </c>
      <c r="B343">
        <v>108.82536493031887</v>
      </c>
      <c r="C343">
        <v>112.09132321905565</v>
      </c>
      <c r="D343">
        <v>126.5692776916209</v>
      </c>
      <c r="E343">
        <v>119.03278090291096</v>
      </c>
      <c r="F343">
        <v>2.2553882485467773</v>
      </c>
      <c r="G343">
        <v>2.3681637762610221</v>
      </c>
      <c r="H343">
        <v>182.47894590082606</v>
      </c>
      <c r="I343">
        <v>163.42710969110982</v>
      </c>
      <c r="J343">
        <v>183.80029980225811</v>
      </c>
      <c r="K343">
        <v>129.95092537935363</v>
      </c>
      <c r="L343">
        <v>152.67816708184833</v>
      </c>
      <c r="M343">
        <v>106.12187983936494</v>
      </c>
      <c r="N343">
        <v>5.3271029142699691</v>
      </c>
      <c r="O343">
        <v>56.153342354942779</v>
      </c>
      <c r="P343">
        <v>114.56811736486772</v>
      </c>
      <c r="Q343">
        <v>93.525992690014519</v>
      </c>
      <c r="R343">
        <v>146.05817694219982</v>
      </c>
      <c r="S343">
        <v>123.7895411106597</v>
      </c>
      <c r="T343">
        <v>118.73315762514932</v>
      </c>
      <c r="U343">
        <v>123.1200787328049</v>
      </c>
      <c r="V343">
        <v>118.27873269884867</v>
      </c>
      <c r="W343">
        <v>100.84922316811497</v>
      </c>
      <c r="X343">
        <v>126.10273634640276</v>
      </c>
      <c r="Y343">
        <v>53.436792913190253</v>
      </c>
      <c r="Z343">
        <v>52.815249785322315</v>
      </c>
      <c r="AA343">
        <v>106.50764285167254</v>
      </c>
      <c r="AB343">
        <v>117.56226780829098</v>
      </c>
      <c r="AC343">
        <v>126.22738689536985</v>
      </c>
      <c r="AD343">
        <v>52.910317460317465</v>
      </c>
      <c r="AE343">
        <v>120.90013226054998</v>
      </c>
      <c r="AF343">
        <v>102.86293658643682</v>
      </c>
      <c r="AG343">
        <v>-6.7357589999999998</v>
      </c>
      <c r="AH343">
        <v>1175.5235757</v>
      </c>
      <c r="AI343">
        <v>1165.8659381</v>
      </c>
    </row>
    <row r="344" spans="1:35">
      <c r="A344" t="s">
        <v>450</v>
      </c>
      <c r="B344">
        <v>110.34169820369124</v>
      </c>
      <c r="C344">
        <v>113.70149486736783</v>
      </c>
      <c r="D344">
        <v>126.79304727124399</v>
      </c>
      <c r="E344">
        <v>119.44547742072791</v>
      </c>
      <c r="F344">
        <v>2.3054006580737569</v>
      </c>
      <c r="G344">
        <v>2.3457331515358213</v>
      </c>
      <c r="H344">
        <v>188.66061857551318</v>
      </c>
      <c r="I344">
        <v>164.44301119304222</v>
      </c>
      <c r="J344">
        <v>185.70957424477911</v>
      </c>
      <c r="K344">
        <v>132.3721571518517</v>
      </c>
      <c r="L344">
        <v>156.77840238572193</v>
      </c>
      <c r="M344">
        <v>106.1721428977668</v>
      </c>
      <c r="N344">
        <v>5.2784503558426481</v>
      </c>
      <c r="O344">
        <v>55.944709870204576</v>
      </c>
      <c r="P344">
        <v>116.08646916728648</v>
      </c>
      <c r="Q344">
        <v>93.621401172960944</v>
      </c>
      <c r="R344">
        <v>144.49932178080874</v>
      </c>
      <c r="S344">
        <v>124.02008005731442</v>
      </c>
      <c r="T344">
        <v>118.88785626641281</v>
      </c>
      <c r="U344">
        <v>123.32827632054861</v>
      </c>
      <c r="V344">
        <v>118.44794961551762</v>
      </c>
      <c r="W344">
        <v>101.65215499046518</v>
      </c>
      <c r="X344">
        <v>124.23350854481622</v>
      </c>
      <c r="Y344">
        <v>54.106863247886814</v>
      </c>
      <c r="Z344">
        <v>53.153556889060525</v>
      </c>
      <c r="AA344">
        <v>105.91542153854203</v>
      </c>
      <c r="AB344">
        <v>122.85383121217771</v>
      </c>
      <c r="AC344">
        <v>130.79862854661053</v>
      </c>
      <c r="AD344">
        <v>54.922121212121212</v>
      </c>
      <c r="AE344">
        <v>126.42578520801798</v>
      </c>
      <c r="AF344">
        <v>100.69767408396871</v>
      </c>
      <c r="AG344">
        <v>-26.168635999999999</v>
      </c>
      <c r="AH344">
        <v>1175.3503416999999</v>
      </c>
      <c r="AI344">
        <v>1146.2598270999999</v>
      </c>
    </row>
    <row r="345" spans="1:35">
      <c r="A345" t="s">
        <v>451</v>
      </c>
      <c r="B345">
        <v>110.30863112839634</v>
      </c>
      <c r="C345">
        <v>113.90126018254537</v>
      </c>
      <c r="D345">
        <v>128.2382396695657</v>
      </c>
      <c r="E345">
        <v>120.72124953187506</v>
      </c>
      <c r="F345">
        <v>2.3531035581330069</v>
      </c>
      <c r="G345">
        <v>2.3756471065124853</v>
      </c>
      <c r="H345">
        <v>188.76041877719908</v>
      </c>
      <c r="I345">
        <v>165.44992699771575</v>
      </c>
      <c r="J345">
        <v>187.23664251800005</v>
      </c>
      <c r="K345">
        <v>133.64447215200667</v>
      </c>
      <c r="L345">
        <v>157.07456691027542</v>
      </c>
      <c r="M345">
        <v>106.24979015058057</v>
      </c>
      <c r="N345">
        <v>5.2736972589709081</v>
      </c>
      <c r="O345">
        <v>66.418482273786424</v>
      </c>
      <c r="P345">
        <v>120.84938966647276</v>
      </c>
      <c r="Q345">
        <v>91.058582349046475</v>
      </c>
      <c r="R345">
        <v>144.24767486753879</v>
      </c>
      <c r="S345">
        <v>124.48828363320811</v>
      </c>
      <c r="T345">
        <v>119.28011489149675</v>
      </c>
      <c r="U345">
        <v>123.61573161815915</v>
      </c>
      <c r="V345">
        <v>118.67650342369393</v>
      </c>
      <c r="W345">
        <v>102.29060043898986</v>
      </c>
      <c r="X345">
        <v>125.77287629150582</v>
      </c>
      <c r="Y345">
        <v>54.796524959447261</v>
      </c>
      <c r="Z345">
        <v>53.90655660368342</v>
      </c>
      <c r="AA345">
        <v>106.5297532940393</v>
      </c>
      <c r="AB345">
        <v>134.5132569918247</v>
      </c>
      <c r="AC345">
        <v>141.56237619991745</v>
      </c>
      <c r="AD345">
        <v>59.956212121212111</v>
      </c>
      <c r="AE345">
        <v>138.15443056847568</v>
      </c>
      <c r="AF345">
        <v>101.79668493039823</v>
      </c>
      <c r="AG345">
        <v>-24.153287000000017</v>
      </c>
      <c r="AH345">
        <v>1221.3375837000001</v>
      </c>
      <c r="AI345">
        <v>1194.2624181000001</v>
      </c>
    </row>
    <row r="346" spans="1:35">
      <c r="A346" t="s">
        <v>452</v>
      </c>
      <c r="B346">
        <v>109.91348617164873</v>
      </c>
      <c r="C346">
        <v>113.13552773950454</v>
      </c>
      <c r="D346">
        <v>128.992932006448</v>
      </c>
      <c r="E346">
        <v>121.39707882217496</v>
      </c>
      <c r="F346">
        <v>2.3622603289066952</v>
      </c>
      <c r="G346">
        <v>2.4243603220198797</v>
      </c>
      <c r="H346">
        <v>192.33364020921641</v>
      </c>
      <c r="I346">
        <v>166.16025712023907</v>
      </c>
      <c r="J346">
        <v>188.17670166838988</v>
      </c>
      <c r="K346">
        <v>136.17425320350583</v>
      </c>
      <c r="L346">
        <v>159.54505267055487</v>
      </c>
      <c r="M346">
        <v>106.3887595681104</v>
      </c>
      <c r="N346">
        <v>5.2338106523358316</v>
      </c>
      <c r="O346">
        <v>66.996760112959791</v>
      </c>
      <c r="P346">
        <v>122.57806510590699</v>
      </c>
      <c r="Q346">
        <v>86.820383553580683</v>
      </c>
      <c r="R346">
        <v>149.26611295216327</v>
      </c>
      <c r="S346">
        <v>124.82932471607826</v>
      </c>
      <c r="T346">
        <v>119.57746560521497</v>
      </c>
      <c r="U346">
        <v>123.90913186294948</v>
      </c>
      <c r="V346">
        <v>118.9184659063546</v>
      </c>
      <c r="W346">
        <v>102.2817265025389</v>
      </c>
      <c r="X346">
        <v>130.22904947273202</v>
      </c>
      <c r="Y346">
        <v>54.642925871672901</v>
      </c>
      <c r="Z346">
        <v>54.009558613859575</v>
      </c>
      <c r="AA346">
        <v>107.1360864623534</v>
      </c>
      <c r="AB346">
        <v>140.63707701794004</v>
      </c>
      <c r="AC346">
        <v>144.91449093229207</v>
      </c>
      <c r="AD346">
        <v>61.208730158730162</v>
      </c>
      <c r="AE346">
        <v>140.33619885701941</v>
      </c>
      <c r="AF346">
        <v>104.1630012820321</v>
      </c>
      <c r="AG346">
        <v>-21.493095</v>
      </c>
      <c r="AH346">
        <v>1234.9466457000001</v>
      </c>
      <c r="AI346">
        <v>1210.5316720999999</v>
      </c>
    </row>
    <row r="347" spans="1:35">
      <c r="A347" t="s">
        <v>453</v>
      </c>
      <c r="B347">
        <v>110.2572930974291</v>
      </c>
      <c r="C347">
        <v>113.97661260176686</v>
      </c>
      <c r="D347">
        <v>128.84019505454739</v>
      </c>
      <c r="E347">
        <v>120.92243673127123</v>
      </c>
      <c r="F347">
        <v>2.4175878161226154</v>
      </c>
      <c r="G347">
        <v>2.434888858993733</v>
      </c>
      <c r="H347">
        <v>200.71604134565754</v>
      </c>
      <c r="I347">
        <v>167.34908628433942</v>
      </c>
      <c r="J347">
        <v>190.12382074815491</v>
      </c>
      <c r="K347">
        <v>145.71649281420639</v>
      </c>
      <c r="L347">
        <v>167.83521707094152</v>
      </c>
      <c r="M347">
        <v>106.52998319581374</v>
      </c>
      <c r="N347">
        <v>5.2181829898344239</v>
      </c>
      <c r="O347">
        <v>66.557545496285428</v>
      </c>
      <c r="P347">
        <v>129.84020564603335</v>
      </c>
      <c r="Q347">
        <v>88.083245723087927</v>
      </c>
      <c r="R347">
        <v>155.44366405349766</v>
      </c>
      <c r="S347">
        <v>125.21908968567121</v>
      </c>
      <c r="T347">
        <v>119.95463641855272</v>
      </c>
      <c r="U347">
        <v>124.15008242726513</v>
      </c>
      <c r="V347">
        <v>119.13116651999161</v>
      </c>
      <c r="W347">
        <v>105.81764855552785</v>
      </c>
      <c r="X347">
        <v>136.61150821375409</v>
      </c>
      <c r="Y347">
        <v>54.978181738275723</v>
      </c>
      <c r="Z347">
        <v>54.087113210954378</v>
      </c>
      <c r="AA347">
        <v>111.6636784564692</v>
      </c>
      <c r="AB347">
        <v>155.08616630981805</v>
      </c>
      <c r="AC347">
        <v>156.13208576856292</v>
      </c>
      <c r="AD347">
        <v>66.153768115942043</v>
      </c>
      <c r="AE347">
        <v>149.21765589818671</v>
      </c>
      <c r="AF347">
        <v>109.77127671396141</v>
      </c>
      <c r="AG347">
        <v>-42.251364000000017</v>
      </c>
      <c r="AH347">
        <v>1269.7887357</v>
      </c>
      <c r="AI347">
        <v>1224.6154931000001</v>
      </c>
    </row>
    <row r="348" spans="1:35">
      <c r="A348" t="s">
        <v>454</v>
      </c>
      <c r="B348">
        <v>111.10417536303565</v>
      </c>
      <c r="C348">
        <v>115.05977763547132</v>
      </c>
      <c r="D348">
        <v>129.03415090690868</v>
      </c>
      <c r="E348">
        <v>121.14075415096521</v>
      </c>
      <c r="F348">
        <v>2.6609474579430445</v>
      </c>
      <c r="G348">
        <v>2.4220119959386848</v>
      </c>
      <c r="H348">
        <v>193.32812213268056</v>
      </c>
      <c r="I348">
        <v>168.26187148957396</v>
      </c>
      <c r="J348">
        <v>190.47852545311838</v>
      </c>
      <c r="K348">
        <v>138.78057931764226</v>
      </c>
      <c r="L348">
        <v>161.29328036077791</v>
      </c>
      <c r="M348">
        <v>106.58081277947214</v>
      </c>
      <c r="N348">
        <v>5.2060227716779481</v>
      </c>
      <c r="O348">
        <v>66.56724925172422</v>
      </c>
      <c r="P348">
        <v>126.82234293577987</v>
      </c>
      <c r="Q348">
        <v>90.055232768988176</v>
      </c>
      <c r="R348">
        <v>152.57311788071661</v>
      </c>
      <c r="S348">
        <v>125.42211064172284</v>
      </c>
      <c r="T348">
        <v>120.16684619595088</v>
      </c>
      <c r="U348">
        <v>124.4404371466257</v>
      </c>
      <c r="V348">
        <v>119.38522678807331</v>
      </c>
      <c r="W348">
        <v>105.89334425494337</v>
      </c>
      <c r="X348">
        <v>137.61906552022822</v>
      </c>
      <c r="Y348">
        <v>54.823781289579053</v>
      </c>
      <c r="Z348">
        <v>53.960500305022492</v>
      </c>
      <c r="AA348">
        <v>112.01644573400873</v>
      </c>
      <c r="AB348">
        <v>142.64772121570928</v>
      </c>
      <c r="AC348">
        <v>148.23869328013834</v>
      </c>
      <c r="AD348">
        <v>63.437999999999988</v>
      </c>
      <c r="AE348">
        <v>141.80523389164009</v>
      </c>
      <c r="AF348">
        <v>110.35302939193006</v>
      </c>
      <c r="AG348">
        <v>-23.811935999999999</v>
      </c>
      <c r="AH348">
        <v>1280.2489547</v>
      </c>
      <c r="AI348">
        <v>1253.5151401000001</v>
      </c>
    </row>
    <row r="349" spans="1:35">
      <c r="A349" t="s">
        <v>455</v>
      </c>
      <c r="B349">
        <v>110.96843789247094</v>
      </c>
      <c r="C349">
        <v>114.62883838965716</v>
      </c>
      <c r="D349">
        <v>129.38188732268711</v>
      </c>
      <c r="E349">
        <v>121.60005683608301</v>
      </c>
      <c r="F349">
        <v>2.589119651590305</v>
      </c>
      <c r="G349">
        <v>2.4765709401841707</v>
      </c>
      <c r="H349">
        <v>188.59967804299737</v>
      </c>
      <c r="I349">
        <v>169.51481719115097</v>
      </c>
      <c r="J349">
        <v>192.3621498624818</v>
      </c>
      <c r="K349">
        <v>135.43363546598309</v>
      </c>
      <c r="L349">
        <v>157.27048149753745</v>
      </c>
      <c r="M349">
        <v>106.62974870123678</v>
      </c>
      <c r="N349">
        <v>5.1913001252058066</v>
      </c>
      <c r="O349">
        <v>66.639686745880525</v>
      </c>
      <c r="P349">
        <v>126.36472147610215</v>
      </c>
      <c r="Q349">
        <v>92.348666332445148</v>
      </c>
      <c r="R349">
        <v>146.08467678038676</v>
      </c>
      <c r="S349">
        <v>125.49234336015968</v>
      </c>
      <c r="T349">
        <v>120.20752205376672</v>
      </c>
      <c r="U349">
        <v>124.65497163794961</v>
      </c>
      <c r="V349">
        <v>119.56455723966992</v>
      </c>
      <c r="W349">
        <v>106.90542239454022</v>
      </c>
      <c r="X349">
        <v>132.46644058924042</v>
      </c>
      <c r="Y349">
        <v>54.108651086346477</v>
      </c>
      <c r="Z349">
        <v>53.213572510968724</v>
      </c>
      <c r="AA349">
        <v>111.42711537578381</v>
      </c>
      <c r="AB349">
        <v>139.08719208982438</v>
      </c>
      <c r="AC349">
        <v>147.97158536221465</v>
      </c>
      <c r="AD349">
        <v>64.198030303030293</v>
      </c>
      <c r="AE349">
        <v>143.343643107487</v>
      </c>
      <c r="AF349">
        <v>110.59138830262094</v>
      </c>
      <c r="AG349">
        <v>-31.738353</v>
      </c>
      <c r="AH349">
        <v>1274.3290717</v>
      </c>
      <c r="AI349">
        <v>1239.6688400999999</v>
      </c>
    </row>
    <row r="350" spans="1:35">
      <c r="A350" t="s">
        <v>456</v>
      </c>
      <c r="B350">
        <v>110.86535491659599</v>
      </c>
      <c r="C350">
        <v>114.31807517376878</v>
      </c>
      <c r="D350">
        <v>129.79625433488971</v>
      </c>
      <c r="E350">
        <v>121.9733410188073</v>
      </c>
      <c r="F350">
        <v>2.5855925092365397</v>
      </c>
      <c r="G350">
        <v>2.4791946867892358</v>
      </c>
      <c r="H350">
        <v>192.17840606265648</v>
      </c>
      <c r="I350">
        <v>170.80856339917591</v>
      </c>
      <c r="J350">
        <v>193.87561975967711</v>
      </c>
      <c r="K350">
        <v>136.15384519615876</v>
      </c>
      <c r="L350">
        <v>160.04250077303209</v>
      </c>
      <c r="M350">
        <v>106.71150148924609</v>
      </c>
      <c r="N350">
        <v>5.173212880336199</v>
      </c>
      <c r="O350">
        <v>65.026294611286545</v>
      </c>
      <c r="P350">
        <v>128.36623933318856</v>
      </c>
      <c r="Q350">
        <v>92.837916005975828</v>
      </c>
      <c r="R350">
        <v>144.06027602941552</v>
      </c>
      <c r="S350">
        <v>125.73679627909928</v>
      </c>
      <c r="T350">
        <v>120.40723585870259</v>
      </c>
      <c r="U350">
        <v>124.9463182112797</v>
      </c>
      <c r="V350">
        <v>119.78533181669697</v>
      </c>
      <c r="W350">
        <v>106.71889200595579</v>
      </c>
      <c r="X350">
        <v>133.89184750268973</v>
      </c>
      <c r="Y350">
        <v>53.779474611640232</v>
      </c>
      <c r="Z350">
        <v>53.016214994728486</v>
      </c>
      <c r="AA350">
        <v>111.51372500041472</v>
      </c>
      <c r="AB350">
        <v>124.48926581604817</v>
      </c>
      <c r="AC350">
        <v>152.74296883599979</v>
      </c>
      <c r="AD350">
        <v>68.792380952380967</v>
      </c>
      <c r="AE350">
        <v>153.86468410190969</v>
      </c>
      <c r="AF350">
        <v>109.69182929370605</v>
      </c>
      <c r="AG350">
        <v>-22.910247999999999</v>
      </c>
      <c r="AH350">
        <v>1269.0644897</v>
      </c>
      <c r="AI350">
        <v>1243.2323630999999</v>
      </c>
    </row>
    <row r="351" spans="1:35">
      <c r="A351" t="s">
        <v>457</v>
      </c>
      <c r="B351">
        <v>111.71575882253663</v>
      </c>
      <c r="C351">
        <v>115.22310345230841</v>
      </c>
      <c r="D351">
        <v>129.67168265557788</v>
      </c>
      <c r="E351">
        <v>121.81694728963446</v>
      </c>
      <c r="F351">
        <v>2.5627804212268384</v>
      </c>
      <c r="G351">
        <v>2.5096235115354806</v>
      </c>
      <c r="H351">
        <v>190.9141982524809</v>
      </c>
      <c r="I351">
        <v>172.08814567405301</v>
      </c>
      <c r="J351">
        <v>194.97128535052582</v>
      </c>
      <c r="K351">
        <v>133.39210005216654</v>
      </c>
      <c r="L351">
        <v>158.73828247165432</v>
      </c>
      <c r="M351">
        <v>106.75644025149944</v>
      </c>
      <c r="N351">
        <v>5.1363173641509983</v>
      </c>
      <c r="O351">
        <v>65.710873176499931</v>
      </c>
      <c r="P351">
        <v>133.05051385025521</v>
      </c>
      <c r="Q351">
        <v>92.971586465600552</v>
      </c>
      <c r="R351">
        <v>157.77853199832856</v>
      </c>
      <c r="S351">
        <v>126.11332227426264</v>
      </c>
      <c r="T351">
        <v>120.75004563790766</v>
      </c>
      <c r="U351">
        <v>125.25947801681865</v>
      </c>
      <c r="V351">
        <v>120.0571430101474</v>
      </c>
      <c r="W351">
        <v>108.3625263785131</v>
      </c>
      <c r="X351">
        <v>134.34934249560143</v>
      </c>
      <c r="Y351">
        <v>54.205519230188031</v>
      </c>
      <c r="Z351">
        <v>53.16895318195558</v>
      </c>
      <c r="AA351">
        <v>111.94435394812878</v>
      </c>
      <c r="AB351">
        <v>132.98152760455019</v>
      </c>
      <c r="AC351">
        <v>163.58003250947678</v>
      </c>
      <c r="AD351">
        <v>73.340724637681163</v>
      </c>
      <c r="AE351">
        <v>167.07797555754371</v>
      </c>
      <c r="AF351">
        <v>110.07146504973407</v>
      </c>
      <c r="AG351">
        <v>-41.028975000000003</v>
      </c>
      <c r="AH351">
        <v>1285.0678507</v>
      </c>
      <c r="AI351">
        <v>1241.1169970999999</v>
      </c>
    </row>
    <row r="352" spans="1:35">
      <c r="A352" t="s">
        <v>458</v>
      </c>
      <c r="B352">
        <v>110.85167868663291</v>
      </c>
      <c r="C352">
        <v>114.40700799975988</v>
      </c>
      <c r="D352">
        <v>130.0145560307912</v>
      </c>
      <c r="E352">
        <v>122.3014153911365</v>
      </c>
      <c r="F352">
        <v>2.6146298460615247</v>
      </c>
      <c r="G352">
        <v>2.7313957080946452</v>
      </c>
      <c r="H352">
        <v>188.3455001501774</v>
      </c>
      <c r="I352">
        <v>173.29069455949158</v>
      </c>
      <c r="J352">
        <v>196.29789684016384</v>
      </c>
      <c r="K352">
        <v>130.69275227057145</v>
      </c>
      <c r="L352">
        <v>156.54123468599693</v>
      </c>
      <c r="M352">
        <v>106.74809650804443</v>
      </c>
      <c r="N352">
        <v>5.1570442963648615</v>
      </c>
      <c r="O352">
        <v>66.146747021973994</v>
      </c>
      <c r="P352">
        <v>131.96766762000834</v>
      </c>
      <c r="Q352">
        <v>89.052198929948219</v>
      </c>
      <c r="R352">
        <v>167.8629393962629</v>
      </c>
      <c r="S352">
        <v>126.49668473808026</v>
      </c>
      <c r="T352">
        <v>121.0700595602213</v>
      </c>
      <c r="U352">
        <v>125.48758238790911</v>
      </c>
      <c r="V352">
        <v>120.22670979852354</v>
      </c>
      <c r="W352">
        <v>104.08010576570329</v>
      </c>
      <c r="X352">
        <v>135.3144991089612</v>
      </c>
      <c r="Y352">
        <v>53.66263524622466</v>
      </c>
      <c r="Z352">
        <v>52.9133644223514</v>
      </c>
      <c r="AA352">
        <v>109.87141919809292</v>
      </c>
      <c r="AB352">
        <v>143.58438487007109</v>
      </c>
      <c r="AC352">
        <v>163.92932391484666</v>
      </c>
      <c r="AD352">
        <v>71.994285714285709</v>
      </c>
      <c r="AE352">
        <v>165.23983489110779</v>
      </c>
      <c r="AF352">
        <v>110.54823964239554</v>
      </c>
      <c r="AG352">
        <v>-25.095265999999999</v>
      </c>
      <c r="AH352">
        <v>1271.3739187000001</v>
      </c>
      <c r="AI352">
        <v>1243.3567740999999</v>
      </c>
    </row>
    <row r="353" spans="1:35">
      <c r="A353" t="s">
        <v>459</v>
      </c>
      <c r="B353">
        <v>110.80247290341434</v>
      </c>
      <c r="C353">
        <v>114.52264587479399</v>
      </c>
      <c r="D353">
        <v>130.48403421885669</v>
      </c>
      <c r="E353">
        <v>122.49405174001795</v>
      </c>
      <c r="F353">
        <v>2.5681535663004058</v>
      </c>
      <c r="G353">
        <v>2.782346414088011</v>
      </c>
      <c r="H353">
        <v>194.84895311885006</v>
      </c>
      <c r="I353">
        <v>174.52365492804751</v>
      </c>
      <c r="J353">
        <v>197.36287432483368</v>
      </c>
      <c r="K353">
        <v>133.71813609796979</v>
      </c>
      <c r="L353">
        <v>159.99753964845337</v>
      </c>
      <c r="M353">
        <v>106.83452903840174</v>
      </c>
      <c r="N353">
        <v>5.1144416698547248</v>
      </c>
      <c r="O353">
        <v>66.576414935618573</v>
      </c>
      <c r="P353">
        <v>130.27471251153673</v>
      </c>
      <c r="Q353">
        <v>86.653896940933336</v>
      </c>
      <c r="R353">
        <v>172.73530958900892</v>
      </c>
      <c r="S353">
        <v>126.81857040794613</v>
      </c>
      <c r="T353">
        <v>121.34907656418908</v>
      </c>
      <c r="U353">
        <v>125.77313823163318</v>
      </c>
      <c r="V353">
        <v>120.48863867697909</v>
      </c>
      <c r="W353">
        <v>101.33013955678165</v>
      </c>
      <c r="X353">
        <v>126.90834139620853</v>
      </c>
      <c r="Y353">
        <v>53.230057397350016</v>
      </c>
      <c r="Z353">
        <v>52.523159963798371</v>
      </c>
      <c r="AA353">
        <v>106.07895398769128</v>
      </c>
      <c r="AB353">
        <v>140.46104961317775</v>
      </c>
      <c r="AC353">
        <v>165.27325628990255</v>
      </c>
      <c r="AD353">
        <v>72.717575757575759</v>
      </c>
      <c r="AE353">
        <v>167.91817919298322</v>
      </c>
      <c r="AF353">
        <v>108.61766004526496</v>
      </c>
      <c r="AG353">
        <v>-53.100197000000001</v>
      </c>
      <c r="AH353">
        <v>1288.8675777000001</v>
      </c>
      <c r="AI353">
        <v>1232.8455021</v>
      </c>
    </row>
    <row r="354" spans="1:35">
      <c r="A354" t="s">
        <v>460</v>
      </c>
      <c r="B354">
        <v>111.48963485726682</v>
      </c>
      <c r="C354">
        <v>115.64650511237886</v>
      </c>
      <c r="D354">
        <v>131.28371445204075</v>
      </c>
      <c r="E354">
        <v>123.21827152701852</v>
      </c>
      <c r="F354">
        <v>2.6332025682381874</v>
      </c>
      <c r="G354">
        <v>2.8185011424488242</v>
      </c>
      <c r="H354">
        <v>193.56796758468138</v>
      </c>
      <c r="I354">
        <v>176.06167828946582</v>
      </c>
      <c r="J354">
        <v>198.86284404933363</v>
      </c>
      <c r="K354">
        <v>131.25962113206</v>
      </c>
      <c r="L354">
        <v>158.77686829548296</v>
      </c>
      <c r="M354">
        <v>106.87730977978573</v>
      </c>
      <c r="N354">
        <v>5.122086442716042</v>
      </c>
      <c r="O354">
        <v>67.233221066165399</v>
      </c>
      <c r="P354">
        <v>127.97718280823732</v>
      </c>
      <c r="Q354">
        <v>82.269704505709555</v>
      </c>
      <c r="R354">
        <v>164.69381753157055</v>
      </c>
      <c r="S354">
        <v>127.21392945442236</v>
      </c>
      <c r="T354">
        <v>121.67873046992264</v>
      </c>
      <c r="U354">
        <v>126.06524959277094</v>
      </c>
      <c r="V354">
        <v>120.70055462329883</v>
      </c>
      <c r="W354">
        <v>97.361344418990285</v>
      </c>
      <c r="X354">
        <v>125.09954079090188</v>
      </c>
      <c r="Y354">
        <v>53.163850277999103</v>
      </c>
      <c r="Z354">
        <v>52.418111538998708</v>
      </c>
      <c r="AA354">
        <v>103.12717201939572</v>
      </c>
      <c r="AB354">
        <v>149.0595792909869</v>
      </c>
      <c r="AC354">
        <v>163.92208569809767</v>
      </c>
      <c r="AD354">
        <v>71.058550724637684</v>
      </c>
      <c r="AE354">
        <v>165.28162835852461</v>
      </c>
      <c r="AF354">
        <v>105.97916883833585</v>
      </c>
      <c r="AG354">
        <v>-44.626843000000001</v>
      </c>
      <c r="AH354">
        <v>1288.9983027000001</v>
      </c>
      <c r="AI354">
        <v>1241.4495810999999</v>
      </c>
    </row>
    <row r="355" spans="1:35">
      <c r="A355" t="s">
        <v>461</v>
      </c>
      <c r="B355">
        <v>111.11655004261526</v>
      </c>
      <c r="C355">
        <v>115.42221854912434</v>
      </c>
      <c r="D355">
        <v>130.97849370040896</v>
      </c>
      <c r="E355">
        <v>122.95732751128077</v>
      </c>
      <c r="F355">
        <v>2.5832725471443103</v>
      </c>
      <c r="G355">
        <v>3.0612361936767147</v>
      </c>
      <c r="H355">
        <v>197.20514895746373</v>
      </c>
      <c r="I355">
        <v>177.4214255717076</v>
      </c>
      <c r="J355">
        <v>200.72160697187869</v>
      </c>
      <c r="K355">
        <v>131.66587622846336</v>
      </c>
      <c r="L355">
        <v>158.99711656921767</v>
      </c>
      <c r="M355">
        <v>106.97908667891735</v>
      </c>
      <c r="N355">
        <v>5.0991849533814646</v>
      </c>
      <c r="O355">
        <v>67.486167748493898</v>
      </c>
      <c r="P355">
        <v>132.4258440759246</v>
      </c>
      <c r="Q355">
        <v>81.029392643008876</v>
      </c>
      <c r="R355">
        <v>163.47675963474367</v>
      </c>
      <c r="S355">
        <v>127.62676366291501</v>
      </c>
      <c r="T355">
        <v>121.99553767711573</v>
      </c>
      <c r="U355">
        <v>126.40979321007467</v>
      </c>
      <c r="V355">
        <v>120.96660996527055</v>
      </c>
      <c r="W355">
        <v>98.62668218060314</v>
      </c>
      <c r="X355">
        <v>124.52451501606619</v>
      </c>
      <c r="Y355">
        <v>52.551761629058603</v>
      </c>
      <c r="Z355">
        <v>51.905585037085238</v>
      </c>
      <c r="AA355">
        <v>103.62346474614098</v>
      </c>
      <c r="AB355">
        <v>162.71579627628731</v>
      </c>
      <c r="AC355">
        <v>174.08774663215516</v>
      </c>
      <c r="AD355">
        <v>75.355000000000004</v>
      </c>
      <c r="AE355">
        <v>174.66010102932151</v>
      </c>
      <c r="AF355">
        <v>104.79703834732918</v>
      </c>
      <c r="AG355">
        <v>-32.011240000000001</v>
      </c>
      <c r="AH355">
        <v>1273.9350626999999</v>
      </c>
      <c r="AI355">
        <v>1239.0019440999999</v>
      </c>
    </row>
    <row r="356" spans="1:35">
      <c r="A356" t="s">
        <v>462</v>
      </c>
      <c r="B356">
        <v>111.34321243404449</v>
      </c>
      <c r="C356">
        <v>115.859384894372</v>
      </c>
      <c r="D356">
        <v>131.71936190991667</v>
      </c>
      <c r="E356">
        <v>123.59210370213083</v>
      </c>
      <c r="F356">
        <v>2.7615473496242027</v>
      </c>
      <c r="G356">
        <v>3.1159618809788845</v>
      </c>
      <c r="H356">
        <v>185.66563204514642</v>
      </c>
      <c r="I356">
        <v>178.46577191384247</v>
      </c>
      <c r="J356">
        <v>201.43972010990811</v>
      </c>
      <c r="K356">
        <v>121.55935422822988</v>
      </c>
      <c r="L356">
        <v>147.94183430577328</v>
      </c>
      <c r="M356">
        <v>107.03948487467159</v>
      </c>
      <c r="N356">
        <v>5.1258965109021624</v>
      </c>
      <c r="O356">
        <v>68.119847342080163</v>
      </c>
      <c r="P356">
        <v>133.42602934989884</v>
      </c>
      <c r="Q356">
        <v>86.151553419868762</v>
      </c>
      <c r="R356">
        <v>158.98022595870827</v>
      </c>
      <c r="S356">
        <v>127.9814960005863</v>
      </c>
      <c r="T356">
        <v>122.2992767507407</v>
      </c>
      <c r="U356">
        <v>126.74078745843448</v>
      </c>
      <c r="V356">
        <v>121.20696270392799</v>
      </c>
      <c r="W356">
        <v>100.42137832663246</v>
      </c>
      <c r="X356">
        <v>127.68475662017556</v>
      </c>
      <c r="Y356">
        <v>52.541055929673995</v>
      </c>
      <c r="Z356">
        <v>51.953463694345672</v>
      </c>
      <c r="AA356">
        <v>105.53431014452546</v>
      </c>
      <c r="AB356">
        <v>154.84603953246591</v>
      </c>
      <c r="AC356">
        <v>173.77068540608778</v>
      </c>
      <c r="AD356">
        <v>76.72608695652174</v>
      </c>
      <c r="AE356">
        <v>179.05631258157891</v>
      </c>
      <c r="AF356">
        <v>103.14671798088915</v>
      </c>
      <c r="AG356">
        <v>-50.699382</v>
      </c>
      <c r="AH356">
        <v>1307.7698637000001</v>
      </c>
      <c r="AI356">
        <v>1254.1486030999999</v>
      </c>
    </row>
    <row r="357" spans="1:35">
      <c r="A357" t="s">
        <v>463</v>
      </c>
      <c r="B357">
        <v>110.85870838158482</v>
      </c>
      <c r="C357">
        <v>115.38154851604256</v>
      </c>
      <c r="D357">
        <v>131.39965955976544</v>
      </c>
      <c r="E357">
        <v>123.34837931449776</v>
      </c>
      <c r="F357">
        <v>2.6907932852655558</v>
      </c>
      <c r="G357">
        <v>3.1137971413538739</v>
      </c>
      <c r="H357">
        <v>187.06887214497871</v>
      </c>
      <c r="I357">
        <v>179.50175023220046</v>
      </c>
      <c r="J357">
        <v>201.93464583369769</v>
      </c>
      <c r="K357">
        <v>124.30576409591443</v>
      </c>
      <c r="L357">
        <v>150.79458481260301</v>
      </c>
      <c r="M357">
        <v>107.08296075951461</v>
      </c>
      <c r="N357">
        <v>5.1272569109659978</v>
      </c>
      <c r="O357">
        <v>68.57583011697929</v>
      </c>
      <c r="P357">
        <v>121.85279466804238</v>
      </c>
      <c r="Q357">
        <v>86.202200232202429</v>
      </c>
      <c r="R357">
        <v>147.77940092778064</v>
      </c>
      <c r="S357">
        <v>127.9250739582022</v>
      </c>
      <c r="T357">
        <v>122.24205831957597</v>
      </c>
      <c r="U357">
        <v>126.9244252251773</v>
      </c>
      <c r="V357">
        <v>121.3595440484403</v>
      </c>
      <c r="W357">
        <v>95.855224223726736</v>
      </c>
      <c r="X357">
        <v>125.88849415410787</v>
      </c>
      <c r="Y357">
        <v>52.693297896864316</v>
      </c>
      <c r="Z357">
        <v>52.155328565480822</v>
      </c>
      <c r="AA357">
        <v>102.85241530392061</v>
      </c>
      <c r="AB357">
        <v>161.98496846626423</v>
      </c>
      <c r="AC357">
        <v>149.3363558188704</v>
      </c>
      <c r="AD357">
        <v>62.380000000000017</v>
      </c>
      <c r="AE357">
        <v>146.29192816983564</v>
      </c>
      <c r="AF357">
        <v>100.99904434529813</v>
      </c>
      <c r="AG357">
        <v>-32.084975999999997</v>
      </c>
      <c r="AH357">
        <v>1264.1048106999999</v>
      </c>
      <c r="AI357">
        <v>1229.0979560999999</v>
      </c>
    </row>
    <row r="358" spans="1:35">
      <c r="A358" t="s">
        <v>464</v>
      </c>
      <c r="B358">
        <v>109.97154718845567</v>
      </c>
      <c r="C358">
        <v>113.78891219843059</v>
      </c>
      <c r="D358">
        <v>131.35979427675588</v>
      </c>
      <c r="E358">
        <v>123.36935655993746</v>
      </c>
      <c r="F358">
        <v>2.3738783184898375</v>
      </c>
      <c r="G358">
        <v>3.163668629756077</v>
      </c>
      <c r="H358">
        <v>178.04771812071522</v>
      </c>
      <c r="I358">
        <v>180.96160214172951</v>
      </c>
      <c r="J358">
        <v>203.55497777346301</v>
      </c>
      <c r="K358">
        <v>117.1868122599292</v>
      </c>
      <c r="L358">
        <v>141.81185393418616</v>
      </c>
      <c r="M358">
        <v>107.09059064212767</v>
      </c>
      <c r="N358">
        <v>5.1476319954740788</v>
      </c>
      <c r="O358">
        <v>68.260750202273073</v>
      </c>
      <c r="P358">
        <v>115.9628283712471</v>
      </c>
      <c r="Q358">
        <v>82.210280612512648</v>
      </c>
      <c r="R358">
        <v>150.02729458456307</v>
      </c>
      <c r="S358">
        <v>127.93829361496736</v>
      </c>
      <c r="T358">
        <v>122.2249696586825</v>
      </c>
      <c r="U358">
        <v>127.21131477947398</v>
      </c>
      <c r="V358">
        <v>121.59280893275297</v>
      </c>
      <c r="W358">
        <v>98.689926328298</v>
      </c>
      <c r="X358">
        <v>123.08952675923935</v>
      </c>
      <c r="Y358">
        <v>52.113459344334153</v>
      </c>
      <c r="Z358">
        <v>51.652968317414782</v>
      </c>
      <c r="AA358">
        <v>103.94345344210386</v>
      </c>
      <c r="AB358">
        <v>153.3593271020523</v>
      </c>
      <c r="AC358">
        <v>133.34854575769072</v>
      </c>
      <c r="AD358">
        <v>53.791587301587299</v>
      </c>
      <c r="AE358">
        <v>126.07675794771711</v>
      </c>
      <c r="AF358">
        <v>103.55922589321774</v>
      </c>
      <c r="AG358">
        <v>-30.291334999999986</v>
      </c>
      <c r="AH358">
        <v>1222.2407197</v>
      </c>
      <c r="AI358">
        <v>1189.0275061</v>
      </c>
    </row>
    <row r="359" spans="1:35">
      <c r="A359" t="s">
        <v>465</v>
      </c>
      <c r="B359">
        <v>109.52304748887681</v>
      </c>
      <c r="C359">
        <v>112.91561836895646</v>
      </c>
      <c r="D359">
        <v>131.50430229275366</v>
      </c>
      <c r="E359">
        <v>123.31402074240654</v>
      </c>
      <c r="F359">
        <v>2.4168989838045656</v>
      </c>
      <c r="G359">
        <v>3.0962931225850769</v>
      </c>
      <c r="H359">
        <v>189.74219593037068</v>
      </c>
      <c r="I359">
        <v>182.4897732806769</v>
      </c>
      <c r="J359">
        <v>204.83906571439414</v>
      </c>
      <c r="K359">
        <v>126.90149924528957</v>
      </c>
      <c r="L359">
        <v>152.27125342091418</v>
      </c>
      <c r="M359">
        <v>107.0510815408706</v>
      </c>
      <c r="N359">
        <v>5.1276595994272762</v>
      </c>
      <c r="O359">
        <v>68.900648239314734</v>
      </c>
      <c r="P359">
        <v>117.0782439312927</v>
      </c>
      <c r="Q359">
        <v>83.190549283827949</v>
      </c>
      <c r="R359">
        <v>145.33796299340986</v>
      </c>
      <c r="S359">
        <v>128.0952667482052</v>
      </c>
      <c r="T359">
        <v>122.33422465306056</v>
      </c>
      <c r="U359">
        <v>127.48966233586091</v>
      </c>
      <c r="V359">
        <v>121.84383613086219</v>
      </c>
      <c r="W359">
        <v>100.46654163406639</v>
      </c>
      <c r="X359">
        <v>124.91861002901555</v>
      </c>
      <c r="Y359">
        <v>51.35536216747343</v>
      </c>
      <c r="Z359">
        <v>50.930947688147164</v>
      </c>
      <c r="AA359">
        <v>105.86210741543901</v>
      </c>
      <c r="AB359">
        <v>133.17716090923065</v>
      </c>
      <c r="AC359">
        <v>133.30209756610921</v>
      </c>
      <c r="AD359">
        <v>56.434492753623189</v>
      </c>
      <c r="AE359">
        <v>131.42337710754234</v>
      </c>
      <c r="AF359">
        <v>103.53614960111605</v>
      </c>
      <c r="AG359">
        <v>-41.226276000000013</v>
      </c>
      <c r="AH359">
        <v>1267.7213197000001</v>
      </c>
      <c r="AI359">
        <v>1223.5731651000001</v>
      </c>
    </row>
    <row r="360" spans="1:35">
      <c r="A360" t="s">
        <v>466</v>
      </c>
      <c r="B360">
        <v>111.10726286813275</v>
      </c>
      <c r="C360">
        <v>114.96084097321905</v>
      </c>
      <c r="D360">
        <v>131.22730141900973</v>
      </c>
      <c r="E360">
        <v>123.12731187988813</v>
      </c>
      <c r="F360">
        <v>2.3938620105047916</v>
      </c>
      <c r="G360">
        <v>3.0533721807708556</v>
      </c>
      <c r="H360">
        <v>198.10580819787461</v>
      </c>
      <c r="I360">
        <v>183.80793378754402</v>
      </c>
      <c r="J360">
        <v>206.65603132772299</v>
      </c>
      <c r="K360">
        <v>129.17449087218537</v>
      </c>
      <c r="L360">
        <v>155.83221807343642</v>
      </c>
      <c r="M360">
        <v>107.15722373734127</v>
      </c>
      <c r="N360">
        <v>5.096985527413624</v>
      </c>
      <c r="O360">
        <v>69.309299248893737</v>
      </c>
      <c r="P360">
        <v>119.0115250081528</v>
      </c>
      <c r="Q360">
        <v>84.031655639938705</v>
      </c>
      <c r="R360">
        <v>135.1147503368895</v>
      </c>
      <c r="S360">
        <v>128.43054236491142</v>
      </c>
      <c r="T360">
        <v>122.61045626131136</v>
      </c>
      <c r="U360">
        <v>127.77393637674234</v>
      </c>
      <c r="V360">
        <v>122.07082013894448</v>
      </c>
      <c r="W360">
        <v>98.772205073072286</v>
      </c>
      <c r="X360">
        <v>134.63246596083704</v>
      </c>
      <c r="Y360">
        <v>51.083910655291618</v>
      </c>
      <c r="Z360">
        <v>50.952934467191035</v>
      </c>
      <c r="AA360">
        <v>107.2330292246542</v>
      </c>
      <c r="AB360">
        <v>111.26853485569096</v>
      </c>
      <c r="AC360">
        <v>136.04881689200963</v>
      </c>
      <c r="AD360">
        <v>61.102000000000018</v>
      </c>
      <c r="AE360">
        <v>142.52826157374665</v>
      </c>
      <c r="AF360">
        <v>103.60877950830836</v>
      </c>
      <c r="AG360">
        <v>-25.195297</v>
      </c>
      <c r="AH360">
        <v>1235.9688477</v>
      </c>
      <c r="AI360">
        <v>1207.8516721000001</v>
      </c>
    </row>
    <row r="361" spans="1:35">
      <c r="A361" t="s">
        <v>467</v>
      </c>
      <c r="B361">
        <v>110.16930742256022</v>
      </c>
      <c r="C361">
        <v>113.55819284342567</v>
      </c>
      <c r="D361">
        <v>132.3987987006382</v>
      </c>
      <c r="E361">
        <v>123.86911964030527</v>
      </c>
      <c r="F361">
        <v>2.2877857481152657</v>
      </c>
      <c r="G361">
        <v>3.1554237806548437</v>
      </c>
      <c r="H361">
        <v>201.30649726410576</v>
      </c>
      <c r="I361">
        <v>185.02189165919992</v>
      </c>
      <c r="J361">
        <v>207.7646713544512</v>
      </c>
      <c r="K361">
        <v>130.08745915862588</v>
      </c>
      <c r="L361">
        <v>157.73465260721082</v>
      </c>
      <c r="M361">
        <v>107.25742719514901</v>
      </c>
      <c r="N361">
        <v>5.0982954883525862</v>
      </c>
      <c r="O361">
        <v>70.028348612108672</v>
      </c>
      <c r="P361">
        <v>119.91003631374713</v>
      </c>
      <c r="Q361">
        <v>81.672672716601753</v>
      </c>
      <c r="R361">
        <v>128.6152109994822</v>
      </c>
      <c r="S361">
        <v>128.88934266638998</v>
      </c>
      <c r="T361">
        <v>122.9977337381779</v>
      </c>
      <c r="U361">
        <v>127.94386833655702</v>
      </c>
      <c r="V361">
        <v>122.21843134318571</v>
      </c>
      <c r="W361">
        <v>98.063109720746482</v>
      </c>
      <c r="X361">
        <v>136.33539545234868</v>
      </c>
      <c r="Y361">
        <v>51.223636810584743</v>
      </c>
      <c r="Z361">
        <v>51.075164455730011</v>
      </c>
      <c r="AA361">
        <v>107.22655502922346</v>
      </c>
      <c r="AB361">
        <v>102.54173037951493</v>
      </c>
      <c r="AC361">
        <v>138.25636650054446</v>
      </c>
      <c r="AD361">
        <v>63.789841269841276</v>
      </c>
      <c r="AE361">
        <v>148.86004533811609</v>
      </c>
      <c r="AF361">
        <v>105.40904645448667</v>
      </c>
      <c r="AG361">
        <v>-19.504543999999999</v>
      </c>
      <c r="AH361">
        <v>1243.9838187</v>
      </c>
      <c r="AI361">
        <v>1221.5573961</v>
      </c>
    </row>
    <row r="362" spans="1:35">
      <c r="A362" t="s">
        <v>1136</v>
      </c>
      <c r="B362">
        <v>110.52626822671543</v>
      </c>
      <c r="C362">
        <v>114.30448701789039</v>
      </c>
      <c r="D362">
        <v>131.86880844055696</v>
      </c>
      <c r="E362">
        <v>123.36515581901072</v>
      </c>
      <c r="F362">
        <v>2.2292637362911152</v>
      </c>
      <c r="G362">
        <v>3.2208125134803982</v>
      </c>
      <c r="H362">
        <v>205.90397154969966</v>
      </c>
      <c r="I362">
        <v>186.08990347929304</v>
      </c>
      <c r="J362">
        <v>209.02699538352007</v>
      </c>
      <c r="K362">
        <v>133.49048894028442</v>
      </c>
      <c r="L362">
        <v>162.29754847738508</v>
      </c>
      <c r="M362">
        <v>107.28067552438603</v>
      </c>
      <c r="N362">
        <v>5.05004762485272</v>
      </c>
      <c r="O362">
        <v>70.363317058281396</v>
      </c>
      <c r="P362">
        <v>123.4167306132176</v>
      </c>
      <c r="Q362">
        <v>81.45968487403043</v>
      </c>
      <c r="R362">
        <v>116.65314959097644</v>
      </c>
      <c r="S362">
        <v>129.33446538941314</v>
      </c>
      <c r="T362">
        <v>123.38388746765285</v>
      </c>
      <c r="U362">
        <v>128.17805934368778</v>
      </c>
      <c r="V362">
        <v>122.43063258522275</v>
      </c>
      <c r="W362">
        <v>101.56920127626263</v>
      </c>
      <c r="X362">
        <v>139.5837227549811</v>
      </c>
      <c r="Y362">
        <v>50.642569389373769</v>
      </c>
      <c r="Z362">
        <v>50.54311519416553</v>
      </c>
      <c r="AA362">
        <v>109.34695896415499</v>
      </c>
      <c r="AB362">
        <v>96.214792159810116</v>
      </c>
      <c r="AC362">
        <v>143.76829423648795</v>
      </c>
      <c r="AD362">
        <v>68.571666666666658</v>
      </c>
      <c r="AE362">
        <v>160.45414525027914</v>
      </c>
      <c r="AF362">
        <v>104.6810168967323</v>
      </c>
      <c r="AG362">
        <v>-48.693067999999982</v>
      </c>
      <c r="AH362">
        <v>1258.2402047</v>
      </c>
      <c r="AI362">
        <v>1206.6252581000001</v>
      </c>
    </row>
    <row r="363" spans="1:35">
      <c r="A363" t="s">
        <v>1137</v>
      </c>
      <c r="B363">
        <v>110.67186948896607</v>
      </c>
      <c r="C363">
        <v>114.60406663716606</v>
      </c>
      <c r="D363">
        <v>132.41899700005555</v>
      </c>
      <c r="E363">
        <v>123.86392899907896</v>
      </c>
      <c r="F363">
        <v>2.2304237015277106</v>
      </c>
      <c r="G363">
        <v>3.3018345045762403</v>
      </c>
      <c r="H363">
        <v>195.7919636261604</v>
      </c>
      <c r="I363">
        <v>187.25812953238213</v>
      </c>
      <c r="J363">
        <v>210.2652265016784</v>
      </c>
      <c r="K363">
        <v>124.64140976433353</v>
      </c>
      <c r="L363">
        <v>151.93041494062766</v>
      </c>
      <c r="M363">
        <v>107.39072676516442</v>
      </c>
      <c r="N363">
        <v>5.0521274437201349</v>
      </c>
      <c r="O363">
        <v>70.777930521775332</v>
      </c>
      <c r="P363">
        <v>120.47754081485459</v>
      </c>
      <c r="Q363">
        <v>81.225960653218053</v>
      </c>
      <c r="R363">
        <v>114.93908425222848</v>
      </c>
      <c r="S363">
        <v>129.66393095662843</v>
      </c>
      <c r="T363">
        <v>123.62158874734506</v>
      </c>
      <c r="U363">
        <v>128.37538195849251</v>
      </c>
      <c r="V363">
        <v>122.59773600187687</v>
      </c>
      <c r="W363">
        <v>98.094289080567989</v>
      </c>
      <c r="X363">
        <v>138.82798101391154</v>
      </c>
      <c r="Y363">
        <v>49.977194783515067</v>
      </c>
      <c r="Z363">
        <v>50.094088006840714</v>
      </c>
      <c r="AA363">
        <v>107.3884622827361</v>
      </c>
      <c r="AB363">
        <v>91.076104271308779</v>
      </c>
      <c r="AC363">
        <v>139.41055701161275</v>
      </c>
      <c r="AD363">
        <v>66.87695652173916</v>
      </c>
      <c r="AE363">
        <v>157.12435658797332</v>
      </c>
      <c r="AF363">
        <v>105.43636036340688</v>
      </c>
      <c r="AG363">
        <v>-24.866216999999999</v>
      </c>
      <c r="AH363">
        <v>1247.4623836999999</v>
      </c>
      <c r="AI363">
        <v>1219.6742881</v>
      </c>
    </row>
    <row r="364" spans="1:35">
      <c r="A364" t="s">
        <v>1143</v>
      </c>
      <c r="B364">
        <v>109.7460491430389</v>
      </c>
      <c r="C364">
        <v>113.27017007452032</v>
      </c>
      <c r="D364">
        <v>131.45813790802495</v>
      </c>
      <c r="E364">
        <v>123.17876389222752</v>
      </c>
      <c r="F364">
        <v>2.0072386203374775</v>
      </c>
      <c r="G364">
        <v>3.2510657751741068</v>
      </c>
      <c r="H364">
        <v>204.8539195805613</v>
      </c>
      <c r="I364">
        <v>188.32802029391218</v>
      </c>
      <c r="J364">
        <v>211.90710668081368</v>
      </c>
      <c r="K364">
        <v>132.53982164584687</v>
      </c>
      <c r="L364">
        <v>159.83066005586676</v>
      </c>
      <c r="M364">
        <v>107.49430393219099</v>
      </c>
      <c r="N364">
        <v>5.0383062166696355</v>
      </c>
      <c r="O364">
        <v>71.276356320790484</v>
      </c>
      <c r="P364">
        <v>115.52894242929111</v>
      </c>
      <c r="Q364">
        <v>84.414438329469135</v>
      </c>
      <c r="R364">
        <v>104.39346928595793</v>
      </c>
      <c r="S364">
        <v>129.88815663885083</v>
      </c>
      <c r="T364">
        <v>123.79810825671296</v>
      </c>
      <c r="U364">
        <v>128.67484412011524</v>
      </c>
      <c r="V364">
        <v>122.85774893543187</v>
      </c>
      <c r="W364">
        <v>100.21284140868016</v>
      </c>
      <c r="X364">
        <v>141.33562362654658</v>
      </c>
      <c r="Y364">
        <v>49.817900690906221</v>
      </c>
      <c r="Z364">
        <v>49.780494211698887</v>
      </c>
      <c r="AA364">
        <v>109.9959187497121</v>
      </c>
      <c r="AB364">
        <v>78.387763115602326</v>
      </c>
      <c r="AC364">
        <v>123.53231918995917</v>
      </c>
      <c r="AD364">
        <v>59.728999999999999</v>
      </c>
      <c r="AE364">
        <v>139.91703988015234</v>
      </c>
      <c r="AF364">
        <v>104.95859498860995</v>
      </c>
      <c r="AG364">
        <v>-15.839218999999984</v>
      </c>
      <c r="AH364">
        <v>1212.4542107</v>
      </c>
      <c r="AI364">
        <v>1193.6931130999999</v>
      </c>
    </row>
    <row r="365" spans="1:35">
      <c r="A365" t="s">
        <v>1145</v>
      </c>
      <c r="B365">
        <v>111.26854902243234</v>
      </c>
      <c r="C365">
        <v>115.40740234525339</v>
      </c>
      <c r="D365">
        <v>132.50231154897347</v>
      </c>
      <c r="E365">
        <v>123.67120195638381</v>
      </c>
      <c r="F365">
        <v>1.818451391634041</v>
      </c>
      <c r="G365">
        <v>3.1420682231272044</v>
      </c>
      <c r="H365">
        <v>204.77808217857273</v>
      </c>
      <c r="I365">
        <v>189.5007298733349</v>
      </c>
      <c r="J365">
        <v>213.44571360899147</v>
      </c>
      <c r="K365">
        <v>131.6681422316656</v>
      </c>
      <c r="L365">
        <v>159.90773930830295</v>
      </c>
      <c r="M365">
        <v>107.51381882450706</v>
      </c>
      <c r="N365">
        <v>5.053650539064658</v>
      </c>
      <c r="O365">
        <v>71.532836027412117</v>
      </c>
      <c r="P365">
        <v>117.96795442067405</v>
      </c>
      <c r="Q365">
        <v>84.765854231833544</v>
      </c>
      <c r="R365">
        <v>106.28507824541609</v>
      </c>
      <c r="S365">
        <v>130.21473882779935</v>
      </c>
      <c r="T365">
        <v>124.06543184669432</v>
      </c>
      <c r="U365">
        <v>128.99443238073235</v>
      </c>
      <c r="V365">
        <v>123.11398307764026</v>
      </c>
      <c r="W365">
        <v>100.2719739356133</v>
      </c>
      <c r="X365">
        <v>147.527668724086</v>
      </c>
      <c r="Y365">
        <v>49.692469575637453</v>
      </c>
      <c r="Z365">
        <v>49.780573615382792</v>
      </c>
      <c r="AA365">
        <v>111.79997594582807</v>
      </c>
      <c r="AB365">
        <v>78.886864650530626</v>
      </c>
      <c r="AC365">
        <v>126.88977699809683</v>
      </c>
      <c r="AD365">
        <v>61.471884057971018</v>
      </c>
      <c r="AE365">
        <v>144.44670037750404</v>
      </c>
      <c r="AF365">
        <v>101.49049927442621</v>
      </c>
      <c r="AG365">
        <v>-14.571266999999985</v>
      </c>
      <c r="AH365">
        <v>1241.5350307000001</v>
      </c>
      <c r="AI365">
        <v>1224.0418850999999</v>
      </c>
    </row>
    <row r="366" spans="1:35">
      <c r="A366" t="s">
        <v>1146</v>
      </c>
      <c r="B366">
        <v>110.84459437087386</v>
      </c>
      <c r="C366">
        <v>114.91377617980004</v>
      </c>
      <c r="D366">
        <v>132.04085528274481</v>
      </c>
      <c r="E366">
        <v>123.60860570577698</v>
      </c>
      <c r="F366">
        <v>1.6690350407215082</v>
      </c>
      <c r="G366">
        <v>3.0364877317249293</v>
      </c>
      <c r="H366">
        <v>200.660975738395</v>
      </c>
      <c r="I366">
        <v>190.84676209812011</v>
      </c>
      <c r="J366">
        <v>214.72863785131997</v>
      </c>
      <c r="K366">
        <v>126.82340573962318</v>
      </c>
      <c r="L366">
        <v>155.57314564857012</v>
      </c>
      <c r="M366">
        <v>107.57871658290044</v>
      </c>
      <c r="N366">
        <v>5.0348962107142317</v>
      </c>
      <c r="O366">
        <v>72.073599138157945</v>
      </c>
      <c r="P366">
        <v>112.71228204303013</v>
      </c>
      <c r="Q366">
        <v>81.188989106243909</v>
      </c>
      <c r="R366">
        <v>95.405304038080004</v>
      </c>
      <c r="S366">
        <v>130.52571398285579</v>
      </c>
      <c r="T366">
        <v>124.28371179424789</v>
      </c>
      <c r="U366">
        <v>129.23345541616825</v>
      </c>
      <c r="V366">
        <v>123.32609062318222</v>
      </c>
      <c r="W366">
        <v>98.260429796590472</v>
      </c>
      <c r="X366">
        <v>133.36486957829743</v>
      </c>
      <c r="Y366">
        <v>49.157227523591679</v>
      </c>
      <c r="Z366">
        <v>49.406402937884089</v>
      </c>
      <c r="AA366">
        <v>108.93216249732114</v>
      </c>
      <c r="AB366">
        <v>73.99418344658514</v>
      </c>
      <c r="AC366">
        <v>118.18012795815469</v>
      </c>
      <c r="AD366">
        <v>57.595303030303029</v>
      </c>
      <c r="AE366">
        <v>136.17066557838777</v>
      </c>
      <c r="AF366">
        <v>97.621065873412633</v>
      </c>
      <c r="AG366">
        <v>-14.124461</v>
      </c>
      <c r="AH366">
        <v>1221.8156627000001</v>
      </c>
      <c r="AI366">
        <v>1204.7693231000001</v>
      </c>
    </row>
    <row r="367" spans="1:35">
      <c r="A367" t="s">
        <v>1147</v>
      </c>
      <c r="B367">
        <v>109.85414671091918</v>
      </c>
      <c r="C367">
        <v>113.46376271333695</v>
      </c>
      <c r="D367">
        <v>132.21459204216188</v>
      </c>
      <c r="E367">
        <v>123.86719870089887</v>
      </c>
      <c r="F367">
        <v>1.7075320581509668</v>
      </c>
      <c r="G367">
        <v>3.0001568234500504</v>
      </c>
      <c r="H367">
        <v>205.91195370569974</v>
      </c>
      <c r="I367">
        <v>192.00502841219432</v>
      </c>
      <c r="J367">
        <v>216.44444240819348</v>
      </c>
      <c r="K367">
        <v>129.32112935134936</v>
      </c>
      <c r="L367">
        <v>158.83463657155602</v>
      </c>
      <c r="M367">
        <v>107.66067494635546</v>
      </c>
      <c r="N367">
        <v>5.0155851863366072</v>
      </c>
      <c r="O367">
        <v>72.556219286739307</v>
      </c>
      <c r="P367">
        <v>114.8090662669791</v>
      </c>
      <c r="Q367">
        <v>83.542846029955086</v>
      </c>
      <c r="R367">
        <v>94.125200823460688</v>
      </c>
      <c r="S367">
        <v>130.85985023808317</v>
      </c>
      <c r="T367">
        <v>124.50922972747875</v>
      </c>
      <c r="U367">
        <v>129.41874039151801</v>
      </c>
      <c r="V367">
        <v>123.50156186317456</v>
      </c>
      <c r="W367">
        <v>96.053057750248115</v>
      </c>
      <c r="X367">
        <v>134.73112056274007</v>
      </c>
      <c r="Y367">
        <v>49.852252746531583</v>
      </c>
      <c r="Z367">
        <v>49.914859149571932</v>
      </c>
      <c r="AA367">
        <v>108.6330393687476</v>
      </c>
      <c r="AB367">
        <v>80.847425325602245</v>
      </c>
      <c r="AC367">
        <v>123.74253068228556</v>
      </c>
      <c r="AD367">
        <v>60.00952380952382</v>
      </c>
      <c r="AE367">
        <v>142.32623254299719</v>
      </c>
      <c r="AF367">
        <v>97.359428717849738</v>
      </c>
      <c r="AG367">
        <v>-12.509640999999984</v>
      </c>
      <c r="AH367">
        <v>1215.2334847</v>
      </c>
      <c r="AI367">
        <v>1198.9574651</v>
      </c>
    </row>
    <row r="368" spans="1:35">
      <c r="A368" t="s">
        <v>1148</v>
      </c>
      <c r="B368">
        <v>109.76233438435999</v>
      </c>
      <c r="C368">
        <v>113.33402070125993</v>
      </c>
      <c r="D368">
        <v>131.95115080341409</v>
      </c>
      <c r="E368">
        <v>123.37412951658706</v>
      </c>
      <c r="F368">
        <v>1.770421921323668</v>
      </c>
      <c r="G368">
        <v>2.8017179435927098</v>
      </c>
      <c r="H368">
        <v>208.58541652476453</v>
      </c>
      <c r="I368">
        <v>193.50796948122485</v>
      </c>
      <c r="J368">
        <v>217.99338579341008</v>
      </c>
      <c r="K368">
        <v>133.28325617468252</v>
      </c>
      <c r="L368">
        <v>162.04904978723113</v>
      </c>
      <c r="M368">
        <v>107.73665538470229</v>
      </c>
      <c r="N368">
        <v>5.0167478868105766</v>
      </c>
      <c r="O368">
        <v>72.409953200785495</v>
      </c>
      <c r="P368">
        <v>113.02163190855677</v>
      </c>
      <c r="Q368">
        <v>84.014393162828526</v>
      </c>
      <c r="R368">
        <v>101.82727804708747</v>
      </c>
      <c r="S368">
        <v>131.40947467105963</v>
      </c>
      <c r="T368">
        <v>124.92708890348511</v>
      </c>
      <c r="U368">
        <v>129.59508237964448</v>
      </c>
      <c r="V368">
        <v>123.67218547022303</v>
      </c>
      <c r="W368">
        <v>96.42774735125127</v>
      </c>
      <c r="X368">
        <v>131.99762358516924</v>
      </c>
      <c r="Y368">
        <v>49.75039853944633</v>
      </c>
      <c r="Z368">
        <v>49.830593922559181</v>
      </c>
      <c r="AA368">
        <v>107.84782899386974</v>
      </c>
      <c r="AB368">
        <v>83.535640496943842</v>
      </c>
      <c r="AC368">
        <v>120.50540505135179</v>
      </c>
      <c r="AD368">
        <v>57.295217391304348</v>
      </c>
      <c r="AE368">
        <v>135.54600065811735</v>
      </c>
      <c r="AF368">
        <v>95.92017897415441</v>
      </c>
      <c r="AG368">
        <v>-4.1285769999999999</v>
      </c>
      <c r="AH368">
        <v>1217.8030166999999</v>
      </c>
      <c r="AI368">
        <v>1209.9095611</v>
      </c>
    </row>
    <row r="369" spans="1:35">
      <c r="A369" t="s">
        <v>1149</v>
      </c>
      <c r="B369">
        <v>109.95797962288785</v>
      </c>
      <c r="C369">
        <v>113.62491612464909</v>
      </c>
      <c r="D369">
        <v>132.64747615324691</v>
      </c>
      <c r="E369">
        <v>123.77477569327293</v>
      </c>
      <c r="F369">
        <v>1.7321376384219236</v>
      </c>
      <c r="G369">
        <v>2.7300392426821425</v>
      </c>
      <c r="H369">
        <v>211.86193316079826</v>
      </c>
      <c r="I369">
        <v>194.77469967554518</v>
      </c>
      <c r="J369">
        <v>219.6276493121008</v>
      </c>
      <c r="K369">
        <v>135.22696686481081</v>
      </c>
      <c r="L369">
        <v>165.48575711740975</v>
      </c>
      <c r="M369">
        <v>107.84894588996433</v>
      </c>
      <c r="N369">
        <v>4.9990385713722931</v>
      </c>
      <c r="O369">
        <v>73.132493010131512</v>
      </c>
      <c r="P369">
        <v>116.90755093004708</v>
      </c>
      <c r="Q369">
        <v>89.219355854688786</v>
      </c>
      <c r="R369">
        <v>109.9564374004392</v>
      </c>
      <c r="S369">
        <v>131.8577755745664</v>
      </c>
      <c r="T369">
        <v>125.28325204142581</v>
      </c>
      <c r="U369">
        <v>129.82558734889727</v>
      </c>
      <c r="V369">
        <v>123.87563177923768</v>
      </c>
      <c r="W369">
        <v>100.01078203644526</v>
      </c>
      <c r="X369">
        <v>126.88952281072542</v>
      </c>
      <c r="Y369">
        <v>50.163390669694536</v>
      </c>
      <c r="Z369">
        <v>50.124475963075902</v>
      </c>
      <c r="AA369">
        <v>108.47558688098249</v>
      </c>
      <c r="AB369">
        <v>96.161359486305102</v>
      </c>
      <c r="AC369">
        <v>129.10417054079247</v>
      </c>
      <c r="AD369">
        <v>60.420793650793648</v>
      </c>
      <c r="AE369">
        <v>142.59580836943252</v>
      </c>
      <c r="AF369">
        <v>99.175882076785683</v>
      </c>
      <c r="AG369">
        <v>-0.635629</v>
      </c>
      <c r="AH369">
        <v>1203.6110756999999</v>
      </c>
      <c r="AI369">
        <v>1199.1340680999999</v>
      </c>
    </row>
    <row r="370" spans="1:35">
      <c r="A370" t="s">
        <v>1150</v>
      </c>
      <c r="B370">
        <v>110.35046291113348</v>
      </c>
      <c r="C370">
        <v>114.0144301580664</v>
      </c>
      <c r="D370">
        <v>132.74844455964595</v>
      </c>
      <c r="E370">
        <v>123.72075950414416</v>
      </c>
      <c r="F370">
        <v>1.8686779687910933</v>
      </c>
      <c r="G370">
        <v>2.6892117052107056</v>
      </c>
      <c r="H370">
        <v>218.71011076193554</v>
      </c>
      <c r="I370">
        <v>195.71894210483683</v>
      </c>
      <c r="J370">
        <v>221.01850766089214</v>
      </c>
      <c r="K370">
        <v>141.28137654327176</v>
      </c>
      <c r="L370">
        <v>170.88263255649591</v>
      </c>
      <c r="M370">
        <v>107.93624245282271</v>
      </c>
      <c r="N370">
        <v>4.9814986188692414</v>
      </c>
      <c r="O370">
        <v>73.386831831655414</v>
      </c>
      <c r="P370">
        <v>119.91370577203438</v>
      </c>
      <c r="Q370">
        <v>91.493482803182431</v>
      </c>
      <c r="R370">
        <v>114.8053018271001</v>
      </c>
      <c r="S370">
        <v>132.32962327148766</v>
      </c>
      <c r="T370">
        <v>125.6152416427679</v>
      </c>
      <c r="U370">
        <v>130.05727726693047</v>
      </c>
      <c r="V370">
        <v>124.06316697127036</v>
      </c>
      <c r="W370">
        <v>103.73135981722206</v>
      </c>
      <c r="X370">
        <v>131.21475254982565</v>
      </c>
      <c r="Y370">
        <v>49.850080675561919</v>
      </c>
      <c r="Z370" s="18">
        <v>50.043195179304519</v>
      </c>
      <c r="AA370">
        <v>111.30343536645424</v>
      </c>
      <c r="AB370">
        <v>87.368768871992515</v>
      </c>
      <c r="AC370">
        <v>132.36824095167262</v>
      </c>
      <c r="AD370">
        <v>63.39651515151516</v>
      </c>
      <c r="AE370">
        <v>149.21508218750705</v>
      </c>
      <c r="AF370">
        <v>99.143821036657997</v>
      </c>
      <c r="AG370">
        <v>4.0059379999999845</v>
      </c>
      <c r="AH370">
        <v>1219.4924106999999</v>
      </c>
      <c r="AI370">
        <v>1219.8298701000001</v>
      </c>
    </row>
    <row r="371" spans="1:35">
      <c r="A371" t="s">
        <v>733</v>
      </c>
      <c r="B371">
        <v>110.72311703184076</v>
      </c>
      <c r="C371">
        <v>114.64714606786094</v>
      </c>
      <c r="D371">
        <v>127.98143038791711</v>
      </c>
      <c r="E371">
        <v>120.3917064893288</v>
      </c>
      <c r="F371">
        <v>1.8092976687987665</v>
      </c>
      <c r="G371">
        <v>2.5391059592609304</v>
      </c>
      <c r="H371">
        <v>215.06539052555516</v>
      </c>
      <c r="I371">
        <v>197.17607178320372</v>
      </c>
      <c r="J371">
        <v>221.376859966366</v>
      </c>
      <c r="K371">
        <v>137.84869205483184</v>
      </c>
      <c r="L371">
        <v>168.02216636005403</v>
      </c>
      <c r="O371">
        <v>68.370955582852019</v>
      </c>
      <c r="P371">
        <v>119.47235229260349</v>
      </c>
      <c r="Q371">
        <v>89.241629230063353</v>
      </c>
      <c r="R371">
        <v>119.17805843880176</v>
      </c>
      <c r="S371">
        <v>132.73439938659723</v>
      </c>
      <c r="T371">
        <v>125.92502813227253</v>
      </c>
      <c r="U371">
        <v>130.33981357250508</v>
      </c>
      <c r="V371">
        <v>124.27877924870742</v>
      </c>
      <c r="W371">
        <v>105.36144797899708</v>
      </c>
      <c r="X371">
        <v>133.35121804838161</v>
      </c>
      <c r="Y371">
        <v>49.960485069326474</v>
      </c>
      <c r="Z371">
        <v>50.374017248545755</v>
      </c>
      <c r="AA371">
        <v>113.98177979485864</v>
      </c>
      <c r="AB371">
        <v>76.919241399934094</v>
      </c>
      <c r="AC371">
        <v>127.41432450815657</v>
      </c>
      <c r="AD371">
        <v>61.683043478260871</v>
      </c>
      <c r="AE371">
        <v>145.13585605005483</v>
      </c>
      <c r="AF371">
        <v>100.33459591496492</v>
      </c>
      <c r="AG371">
        <v>-40.987380000000002</v>
      </c>
      <c r="AH371">
        <v>1222.9438877</v>
      </c>
      <c r="AI371">
        <v>1175.1976531</v>
      </c>
    </row>
    <row r="372" spans="1:35">
      <c r="A372" s="18" t="s">
        <v>734</v>
      </c>
      <c r="B372">
        <v>110.47523280969571</v>
      </c>
      <c r="C372">
        <v>114.565537747918</v>
      </c>
      <c r="F372">
        <v>1.6145329944360574</v>
      </c>
      <c r="G372">
        <v>2.385378267983751</v>
      </c>
      <c r="H372">
        <v>198.63462107651219</v>
      </c>
      <c r="I372">
        <v>198.54660042295924</v>
      </c>
      <c r="J372">
        <v>224.08881506070645</v>
      </c>
      <c r="K372">
        <v>127.58893312481338</v>
      </c>
      <c r="L372">
        <v>157.04402297870917</v>
      </c>
      <c r="P372">
        <v>111.03640519762082</v>
      </c>
      <c r="Q372">
        <v>88.380683796394123</v>
      </c>
      <c r="R372">
        <v>114.73678118654205</v>
      </c>
      <c r="S372">
        <v>133.15171090004273</v>
      </c>
      <c r="T372">
        <v>126.26048343441599</v>
      </c>
      <c r="U372">
        <v>130.55587311989871</v>
      </c>
      <c r="V372">
        <v>124.47676666120641</v>
      </c>
      <c r="W372">
        <v>101.4973764462753</v>
      </c>
      <c r="X372">
        <v>126.00289384350455</v>
      </c>
      <c r="Y372">
        <v>48.293265445456449</v>
      </c>
      <c r="Z372">
        <v>48.031230086158629</v>
      </c>
      <c r="AA372">
        <v>111.53698350886212</v>
      </c>
      <c r="AB372">
        <v>61.641185090705598</v>
      </c>
      <c r="AC372">
        <v>110.31233151655762</v>
      </c>
      <c r="AD372">
        <v>53.372500000000002</v>
      </c>
      <c r="AE372">
        <v>126.52869516698097</v>
      </c>
      <c r="AF372">
        <v>98.733020949943565</v>
      </c>
    </row>
    <row r="373" spans="1:35">
      <c r="A373" s="18" t="s">
        <v>735</v>
      </c>
      <c r="G373">
        <v>1.8756743474516826</v>
      </c>
    </row>
    <row r="374" spans="1:35">
      <c r="A374" s="18" t="s">
        <v>736</v>
      </c>
    </row>
    <row r="375" spans="1:35">
      <c r="A375" s="18" t="s">
        <v>737</v>
      </c>
    </row>
    <row r="376" spans="1:35">
      <c r="A376" s="18" t="s">
        <v>738</v>
      </c>
    </row>
    <row r="377" spans="1:35">
      <c r="A377" s="18" t="s">
        <v>739</v>
      </c>
    </row>
    <row r="378" spans="1:35">
      <c r="A378" s="18" t="s">
        <v>740</v>
      </c>
    </row>
    <row r="379" spans="1:35">
      <c r="A379" s="18" t="s">
        <v>741</v>
      </c>
    </row>
    <row r="380" spans="1:35">
      <c r="A380" s="18" t="s">
        <v>742</v>
      </c>
    </row>
    <row r="381" spans="1:35">
      <c r="A381" s="18" t="s">
        <v>743</v>
      </c>
    </row>
    <row r="382" spans="1:35">
      <c r="A382" s="18" t="s">
        <v>744</v>
      </c>
    </row>
    <row r="383" spans="1:35">
      <c r="A383" s="18"/>
    </row>
    <row r="384" spans="1:35">
      <c r="A384" s="18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426-24B3-4FEB-AC22-2EF4DD42EBAF}">
  <dimension ref="A1:J9624"/>
  <sheetViews>
    <sheetView zoomScale="70" zoomScaleNormal="70"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C76" sqref="C76"/>
    </sheetView>
  </sheetViews>
  <sheetFormatPr defaultColWidth="12.7109375" defaultRowHeight="15"/>
  <cols>
    <col min="1" max="1" width="12.7109375" style="19"/>
    <col min="2" max="2" width="12.7109375" style="20"/>
    <col min="3" max="3" width="12.7109375" style="8"/>
    <col min="4" max="16384" width="12.7109375" style="19"/>
  </cols>
  <sheetData>
    <row r="1" spans="1:6">
      <c r="C1" s="8" t="s">
        <v>1197</v>
      </c>
      <c r="D1" s="8"/>
      <c r="E1" s="8"/>
      <c r="F1" s="8"/>
    </row>
    <row r="2" spans="1:6">
      <c r="D2" s="8"/>
      <c r="E2" s="8"/>
      <c r="F2" s="8"/>
    </row>
    <row r="3" spans="1:6">
      <c r="B3" s="20" t="s">
        <v>1170</v>
      </c>
      <c r="C3" s="21"/>
    </row>
    <row r="4" spans="1:6">
      <c r="B4" s="20" t="s">
        <v>1171</v>
      </c>
      <c r="C4" s="21"/>
    </row>
    <row r="5" spans="1:6">
      <c r="A5" s="22">
        <v>0</v>
      </c>
      <c r="B5" s="22" t="s">
        <v>1172</v>
      </c>
      <c r="C5" s="23" t="s">
        <v>1198</v>
      </c>
      <c r="D5" s="23"/>
      <c r="E5" s="23"/>
      <c r="F5" s="23"/>
    </row>
    <row r="6" spans="1:6">
      <c r="A6" s="22">
        <v>2</v>
      </c>
      <c r="B6" s="22" t="s">
        <v>1173</v>
      </c>
      <c r="C6" s="24" t="s">
        <v>1174</v>
      </c>
      <c r="D6" s="24"/>
      <c r="E6" s="24"/>
      <c r="F6" s="24"/>
    </row>
    <row r="7" spans="1:6">
      <c r="A7" s="22">
        <v>3</v>
      </c>
      <c r="B7" s="22" t="s">
        <v>1175</v>
      </c>
      <c r="C7" s="25">
        <v>43800</v>
      </c>
      <c r="D7" s="32"/>
      <c r="E7" s="32"/>
      <c r="F7" s="32"/>
    </row>
    <row r="8" spans="1:6">
      <c r="A8" s="22">
        <v>4</v>
      </c>
      <c r="B8" s="22" t="s">
        <v>1176</v>
      </c>
      <c r="C8" s="24"/>
      <c r="D8" s="24"/>
      <c r="E8" s="24"/>
      <c r="F8" s="24"/>
    </row>
    <row r="9" spans="1:6">
      <c r="A9" s="26" t="s">
        <v>1177</v>
      </c>
      <c r="B9" s="26" t="s">
        <v>1178</v>
      </c>
      <c r="C9" s="27" t="s">
        <v>1179</v>
      </c>
      <c r="D9" s="27"/>
      <c r="E9" s="27"/>
      <c r="F9" s="27"/>
    </row>
    <row r="10" spans="1:6">
      <c r="A10" s="26" t="s">
        <v>1180</v>
      </c>
      <c r="B10" s="26" t="s">
        <v>1181</v>
      </c>
      <c r="C10" s="27" t="s">
        <v>1182</v>
      </c>
      <c r="D10" s="27"/>
      <c r="E10" s="27"/>
      <c r="F10" s="27"/>
    </row>
    <row r="11" spans="1:6">
      <c r="A11" s="26" t="s">
        <v>1183</v>
      </c>
      <c r="B11" s="26" t="s">
        <v>1184</v>
      </c>
      <c r="C11" s="27" t="s">
        <v>1185</v>
      </c>
      <c r="D11" s="27"/>
      <c r="E11" s="27"/>
      <c r="F11" s="27"/>
    </row>
    <row r="12" spans="1:6">
      <c r="A12" s="26" t="s">
        <v>1186</v>
      </c>
      <c r="B12" s="26" t="s">
        <v>1187</v>
      </c>
      <c r="C12" s="28" t="b">
        <v>1</v>
      </c>
      <c r="D12" s="28"/>
      <c r="E12" s="28"/>
      <c r="F12" s="28"/>
    </row>
    <row r="13" spans="1:6">
      <c r="A13" s="26" t="s">
        <v>1188</v>
      </c>
      <c r="B13" s="26" t="s">
        <v>1189</v>
      </c>
      <c r="C13" s="28"/>
      <c r="D13" s="28"/>
      <c r="E13" s="28"/>
      <c r="F13" s="28"/>
    </row>
    <row r="14" spans="1:6">
      <c r="A14" s="26" t="s">
        <v>1190</v>
      </c>
      <c r="B14" s="26" t="s">
        <v>1191</v>
      </c>
      <c r="C14" s="28"/>
      <c r="D14" s="28"/>
      <c r="E14" s="28"/>
      <c r="F14" s="28"/>
    </row>
    <row r="15" spans="1:6">
      <c r="A15" s="26" t="s">
        <v>723</v>
      </c>
      <c r="B15" s="26" t="s">
        <v>1192</v>
      </c>
      <c r="C15" s="28"/>
      <c r="D15" s="28"/>
      <c r="E15" s="28"/>
      <c r="F15" s="28"/>
    </row>
    <row r="16" spans="1:6">
      <c r="A16" s="26" t="s">
        <v>1193</v>
      </c>
      <c r="B16" s="26" t="s">
        <v>1194</v>
      </c>
      <c r="C16" s="28" t="s">
        <v>1195</v>
      </c>
      <c r="D16" s="28"/>
      <c r="E16" s="28"/>
      <c r="F16" s="28"/>
    </row>
    <row r="17" spans="1:9" ht="30">
      <c r="A17" s="29" t="s">
        <v>1196</v>
      </c>
      <c r="B17" s="29"/>
      <c r="C17" s="30" t="e">
        <f ca="1">_xll.BDP(C5,"long_comp_name")</f>
        <v>#NAME?</v>
      </c>
      <c r="D17" s="30"/>
      <c r="E17" s="30"/>
      <c r="F17" s="30"/>
    </row>
    <row r="18" spans="1:9">
      <c r="A18" s="31"/>
      <c r="B18" s="20" t="e">
        <f ca="1">_xll.BDH(C5,C6,C7,C8,$B$9&amp;C9,$B$10&amp;C10,$B$11&amp;C11,$B$12&amp;C12,$B$13&amp;C13,$B$14&amp;C14,$B$15&amp;C15,$B$16&amp;C16,"cols=2;rows=60")</f>
        <v>#NAME?</v>
      </c>
      <c r="C18" s="31">
        <v>1568</v>
      </c>
      <c r="D18" s="31"/>
      <c r="E18" s="31"/>
      <c r="F18" s="31"/>
    </row>
    <row r="19" spans="1:9">
      <c r="A19" s="31"/>
      <c r="B19" s="20">
        <v>43802</v>
      </c>
      <c r="C19" s="31">
        <v>1606</v>
      </c>
      <c r="D19" s="31"/>
      <c r="E19" s="31"/>
      <c r="F19" s="31"/>
      <c r="I19" s="12"/>
    </row>
    <row r="20" spans="1:9">
      <c r="A20" s="31"/>
      <c r="B20" s="20">
        <v>43803</v>
      </c>
      <c r="C20" s="31">
        <v>1599</v>
      </c>
      <c r="D20" s="31"/>
      <c r="E20" s="31"/>
      <c r="F20" s="31"/>
      <c r="I20" s="12"/>
    </row>
    <row r="21" spans="1:9">
      <c r="A21" s="31"/>
      <c r="B21" s="20">
        <v>43804</v>
      </c>
      <c r="C21" s="31">
        <v>1575</v>
      </c>
      <c r="D21" s="31"/>
      <c r="E21" s="31"/>
      <c r="F21" s="31"/>
      <c r="I21" s="12"/>
    </row>
    <row r="22" spans="1:9">
      <c r="A22" s="31"/>
      <c r="B22" s="20">
        <v>43805</v>
      </c>
      <c r="C22" s="31">
        <v>1558</v>
      </c>
      <c r="D22" s="31"/>
      <c r="E22" s="31"/>
      <c r="F22" s="31"/>
      <c r="I22" s="12"/>
    </row>
    <row r="23" spans="1:9">
      <c r="A23" s="31"/>
      <c r="B23" s="20">
        <v>43808</v>
      </c>
      <c r="C23" s="31">
        <v>1551</v>
      </c>
      <c r="D23" s="31"/>
      <c r="E23" s="31"/>
      <c r="F23" s="31"/>
      <c r="I23" s="12"/>
    </row>
    <row r="24" spans="1:9">
      <c r="A24" s="31"/>
      <c r="B24" s="20">
        <v>43809</v>
      </c>
      <c r="C24" s="31">
        <v>1528</v>
      </c>
      <c r="D24" s="31"/>
      <c r="E24" s="31"/>
      <c r="F24" s="31"/>
      <c r="I24" s="12"/>
    </row>
    <row r="25" spans="1:9">
      <c r="A25" s="31"/>
      <c r="B25" s="20">
        <v>43810</v>
      </c>
      <c r="C25" s="31">
        <v>1460</v>
      </c>
      <c r="D25" s="31"/>
      <c r="E25" s="31"/>
      <c r="F25" s="31"/>
      <c r="I25" s="12"/>
    </row>
    <row r="26" spans="1:9">
      <c r="A26" s="31"/>
      <c r="B26" s="20">
        <v>43811</v>
      </c>
      <c r="C26" s="31">
        <v>1388</v>
      </c>
      <c r="D26" s="31"/>
      <c r="E26" s="31"/>
      <c r="F26" s="31"/>
      <c r="I26" s="12"/>
    </row>
    <row r="27" spans="1:9">
      <c r="A27" s="31"/>
      <c r="B27" s="20">
        <v>43812</v>
      </c>
      <c r="C27" s="31">
        <v>1355</v>
      </c>
      <c r="D27" s="31"/>
      <c r="E27" s="31"/>
      <c r="F27" s="31"/>
      <c r="I27" s="12"/>
    </row>
    <row r="28" spans="1:9">
      <c r="A28" s="31"/>
      <c r="B28" s="20">
        <v>43815</v>
      </c>
      <c r="C28" s="31">
        <v>1315</v>
      </c>
      <c r="D28" s="31"/>
      <c r="E28" s="31"/>
      <c r="F28" s="31"/>
      <c r="I28" s="12"/>
    </row>
    <row r="29" spans="1:9">
      <c r="A29" s="31"/>
      <c r="B29" s="20">
        <v>43816</v>
      </c>
      <c r="C29" s="31">
        <v>1281</v>
      </c>
      <c r="D29" s="31"/>
      <c r="E29" s="31"/>
      <c r="F29" s="31"/>
      <c r="I29" s="12"/>
    </row>
    <row r="30" spans="1:9">
      <c r="A30" s="31"/>
      <c r="B30" s="20">
        <v>43817</v>
      </c>
      <c r="C30" s="31">
        <v>1221</v>
      </c>
      <c r="D30" s="31"/>
      <c r="E30" s="31"/>
      <c r="F30" s="31"/>
      <c r="I30" s="12"/>
    </row>
    <row r="31" spans="1:9">
      <c r="A31" s="31"/>
      <c r="B31" s="20">
        <v>43818</v>
      </c>
      <c r="C31" s="31">
        <v>1151</v>
      </c>
      <c r="D31" s="31"/>
      <c r="E31" s="31"/>
      <c r="F31" s="31"/>
      <c r="I31" s="12"/>
    </row>
    <row r="32" spans="1:9">
      <c r="A32" s="31"/>
      <c r="B32" s="20">
        <v>43819</v>
      </c>
      <c r="C32" s="31">
        <v>1123</v>
      </c>
      <c r="D32" s="31"/>
      <c r="E32" s="31"/>
      <c r="F32" s="31"/>
      <c r="I32" s="12"/>
    </row>
    <row r="33" spans="1:9">
      <c r="A33" s="31"/>
      <c r="B33" s="20">
        <v>43822</v>
      </c>
      <c r="C33" s="31">
        <v>1103</v>
      </c>
      <c r="D33" s="31"/>
      <c r="E33" s="31"/>
      <c r="F33" s="31"/>
      <c r="I33" s="12"/>
    </row>
    <row r="34" spans="1:9">
      <c r="A34" s="31"/>
      <c r="B34" s="20">
        <v>43823</v>
      </c>
      <c r="C34" s="31">
        <v>1090</v>
      </c>
      <c r="D34" s="31"/>
      <c r="E34" s="31"/>
      <c r="F34" s="31"/>
      <c r="I34" s="12"/>
    </row>
    <row r="35" spans="1:9">
      <c r="A35" s="31"/>
      <c r="B35" s="20">
        <v>43824</v>
      </c>
      <c r="C35" s="31">
        <v>1090</v>
      </c>
      <c r="D35" s="31"/>
      <c r="E35" s="31"/>
      <c r="F35" s="31"/>
      <c r="I35" s="12"/>
    </row>
    <row r="36" spans="1:9">
      <c r="A36" s="31"/>
      <c r="B36" s="20">
        <v>43825</v>
      </c>
      <c r="C36" s="31">
        <v>1090</v>
      </c>
      <c r="D36" s="31"/>
      <c r="E36" s="31"/>
      <c r="F36" s="31"/>
      <c r="I36" s="12"/>
    </row>
    <row r="37" spans="1:9">
      <c r="A37" s="31"/>
      <c r="B37" s="20">
        <v>43826</v>
      </c>
      <c r="C37" s="31">
        <v>1090</v>
      </c>
      <c r="D37" s="31"/>
      <c r="E37" s="31"/>
      <c r="F37" s="31"/>
      <c r="I37" s="12"/>
    </row>
    <row r="38" spans="1:9">
      <c r="A38" s="31"/>
      <c r="B38" s="20">
        <v>43829</v>
      </c>
      <c r="C38" s="31">
        <v>1090</v>
      </c>
      <c r="D38" s="31"/>
      <c r="E38" s="31"/>
      <c r="F38" s="31"/>
      <c r="I38" s="12"/>
    </row>
    <row r="39" spans="1:9">
      <c r="A39" s="31"/>
      <c r="B39" s="20">
        <v>43830</v>
      </c>
      <c r="C39" s="31">
        <v>1090</v>
      </c>
      <c r="D39" s="31"/>
      <c r="E39" s="31"/>
      <c r="F39" s="31"/>
      <c r="I39" s="12"/>
    </row>
    <row r="40" spans="1:9">
      <c r="A40" s="31"/>
      <c r="B40" s="20">
        <v>43831</v>
      </c>
      <c r="C40" s="31">
        <v>1090</v>
      </c>
      <c r="D40" s="31"/>
      <c r="E40" s="31"/>
      <c r="F40" s="31"/>
      <c r="I40" s="12"/>
    </row>
    <row r="41" spans="1:9">
      <c r="A41" s="31"/>
      <c r="B41" s="20">
        <v>43832</v>
      </c>
      <c r="C41" s="31">
        <v>976</v>
      </c>
      <c r="D41" s="31"/>
      <c r="E41" s="31"/>
      <c r="F41" s="31"/>
      <c r="I41" s="12"/>
    </row>
    <row r="42" spans="1:9">
      <c r="A42" s="31"/>
      <c r="B42" s="20">
        <v>43833</v>
      </c>
      <c r="C42" s="31">
        <v>907</v>
      </c>
      <c r="D42" s="31"/>
      <c r="E42" s="31"/>
      <c r="F42" s="31"/>
      <c r="I42" s="12"/>
    </row>
    <row r="43" spans="1:9">
      <c r="A43" s="31"/>
      <c r="B43" s="20">
        <v>43836</v>
      </c>
      <c r="C43" s="31">
        <v>844</v>
      </c>
      <c r="D43" s="31"/>
      <c r="E43" s="31"/>
      <c r="F43" s="31"/>
      <c r="I43" s="12"/>
    </row>
    <row r="44" spans="1:9">
      <c r="A44" s="31"/>
      <c r="B44" s="20">
        <v>43837</v>
      </c>
      <c r="C44" s="31">
        <v>791</v>
      </c>
      <c r="D44" s="31"/>
      <c r="E44" s="31"/>
      <c r="F44" s="31"/>
      <c r="I44" s="12"/>
    </row>
    <row r="45" spans="1:9">
      <c r="A45" s="31"/>
      <c r="B45" s="20">
        <v>43838</v>
      </c>
      <c r="C45" s="31">
        <v>773</v>
      </c>
      <c r="D45" s="31"/>
      <c r="E45" s="31"/>
      <c r="F45" s="31"/>
      <c r="I45" s="12"/>
    </row>
    <row r="46" spans="1:9">
      <c r="A46" s="31"/>
      <c r="B46" s="20">
        <v>43839</v>
      </c>
      <c r="C46" s="31">
        <v>772</v>
      </c>
      <c r="D46" s="31"/>
      <c r="E46" s="31"/>
      <c r="F46" s="31"/>
      <c r="I46" s="12"/>
    </row>
    <row r="47" spans="1:9">
      <c r="A47" s="31"/>
      <c r="B47" s="20">
        <v>43840</v>
      </c>
      <c r="C47" s="31">
        <v>774</v>
      </c>
      <c r="D47" s="31"/>
      <c r="E47" s="31"/>
      <c r="F47" s="31"/>
      <c r="I47" s="12"/>
    </row>
    <row r="48" spans="1:9">
      <c r="A48" s="31"/>
      <c r="B48" s="20">
        <v>43843</v>
      </c>
      <c r="C48" s="31">
        <v>765</v>
      </c>
      <c r="D48" s="31"/>
      <c r="E48" s="31"/>
      <c r="F48" s="31"/>
      <c r="I48" s="12"/>
    </row>
    <row r="49" spans="1:9">
      <c r="A49" s="31"/>
      <c r="B49" s="20">
        <v>43844</v>
      </c>
      <c r="C49" s="31">
        <v>763</v>
      </c>
      <c r="D49" s="31"/>
      <c r="E49" s="31"/>
      <c r="F49" s="31"/>
      <c r="I49" s="12"/>
    </row>
    <row r="50" spans="1:9">
      <c r="A50" s="31"/>
      <c r="B50" s="20">
        <v>43845</v>
      </c>
      <c r="C50" s="31">
        <v>768</v>
      </c>
      <c r="D50" s="31"/>
      <c r="E50" s="31"/>
      <c r="F50" s="31"/>
      <c r="I50" s="12"/>
    </row>
    <row r="51" spans="1:9">
      <c r="A51" s="31"/>
      <c r="B51" s="20">
        <v>43846</v>
      </c>
      <c r="C51" s="31">
        <v>768</v>
      </c>
      <c r="D51" s="31"/>
      <c r="E51" s="31"/>
      <c r="F51" s="31"/>
      <c r="I51" s="12"/>
    </row>
    <row r="52" spans="1:9">
      <c r="A52" s="31"/>
      <c r="B52" s="20">
        <v>43847</v>
      </c>
      <c r="C52" s="31">
        <v>754</v>
      </c>
      <c r="D52" s="31"/>
      <c r="E52" s="31"/>
      <c r="F52" s="31"/>
      <c r="I52" s="12"/>
    </row>
    <row r="53" spans="1:9">
      <c r="A53" s="31"/>
      <c r="B53" s="20">
        <v>43850</v>
      </c>
      <c r="C53" s="31">
        <v>729</v>
      </c>
      <c r="D53" s="31"/>
      <c r="E53" s="31"/>
      <c r="F53" s="31"/>
      <c r="I53" s="12"/>
    </row>
    <row r="54" spans="1:9">
      <c r="A54" s="31"/>
      <c r="B54" s="20">
        <v>43851</v>
      </c>
      <c r="C54" s="31">
        <v>689</v>
      </c>
      <c r="D54" s="31"/>
      <c r="E54" s="31"/>
      <c r="F54" s="31"/>
      <c r="I54" s="12"/>
    </row>
    <row r="55" spans="1:9">
      <c r="A55" s="31"/>
      <c r="B55" s="20">
        <v>43852</v>
      </c>
      <c r="C55" s="31">
        <v>623</v>
      </c>
      <c r="D55" s="31"/>
      <c r="E55" s="31"/>
      <c r="F55" s="31"/>
      <c r="I55" s="12"/>
    </row>
    <row r="56" spans="1:9">
      <c r="A56" s="31"/>
      <c r="B56" s="20">
        <v>43853</v>
      </c>
      <c r="C56" s="31">
        <v>576</v>
      </c>
      <c r="D56" s="31"/>
      <c r="E56" s="31"/>
      <c r="F56" s="31"/>
      <c r="I56" s="12"/>
    </row>
    <row r="57" spans="1:9">
      <c r="A57" s="31"/>
      <c r="B57" s="20">
        <v>43854</v>
      </c>
      <c r="C57" s="31">
        <v>557</v>
      </c>
      <c r="D57" s="31"/>
      <c r="E57" s="31"/>
      <c r="F57" s="31"/>
      <c r="I57" s="12"/>
    </row>
    <row r="58" spans="1:9">
      <c r="A58" s="31"/>
      <c r="B58" s="20">
        <v>43857</v>
      </c>
      <c r="C58" s="31">
        <v>546</v>
      </c>
      <c r="D58" s="31"/>
      <c r="E58" s="31"/>
      <c r="F58" s="31"/>
      <c r="I58" s="12"/>
    </row>
    <row r="59" spans="1:9">
      <c r="A59" s="31"/>
      <c r="B59" s="20">
        <v>43858</v>
      </c>
      <c r="C59" s="31">
        <v>539</v>
      </c>
      <c r="D59" s="31"/>
      <c r="E59" s="31"/>
      <c r="F59" s="31"/>
      <c r="I59" s="12"/>
    </row>
    <row r="60" spans="1:9">
      <c r="A60" s="31"/>
      <c r="B60" s="20">
        <v>43859</v>
      </c>
      <c r="C60" s="31">
        <v>525</v>
      </c>
      <c r="D60" s="31"/>
      <c r="E60" s="31"/>
      <c r="F60" s="31"/>
      <c r="I60" s="12"/>
    </row>
    <row r="61" spans="1:9">
      <c r="A61" s="31"/>
      <c r="B61" s="20">
        <v>43860</v>
      </c>
      <c r="C61" s="31">
        <v>498</v>
      </c>
      <c r="D61" s="31"/>
      <c r="E61" s="31"/>
      <c r="F61" s="31"/>
      <c r="I61" s="12"/>
    </row>
    <row r="62" spans="1:9">
      <c r="A62" s="31"/>
      <c r="B62" s="20">
        <v>43861</v>
      </c>
      <c r="C62" s="31">
        <v>487</v>
      </c>
      <c r="D62" s="31"/>
      <c r="E62" s="31" t="s">
        <v>1200</v>
      </c>
      <c r="F62" s="31">
        <f>AVERAGE(C40:C62)</f>
        <v>718</v>
      </c>
      <c r="I62" s="12"/>
    </row>
    <row r="63" spans="1:9">
      <c r="A63" s="31"/>
      <c r="B63" s="20">
        <v>43864</v>
      </c>
      <c r="C63" s="31">
        <v>466</v>
      </c>
      <c r="D63" s="31"/>
      <c r="E63" s="31" t="s">
        <v>1199</v>
      </c>
      <c r="F63" s="31">
        <f>AVERAGE(C63:C77)</f>
        <v>440</v>
      </c>
      <c r="I63" s="12"/>
    </row>
    <row r="64" spans="1:9">
      <c r="A64" s="31"/>
      <c r="B64" s="20">
        <v>43865</v>
      </c>
      <c r="C64" s="31">
        <v>453</v>
      </c>
      <c r="D64" s="31"/>
      <c r="E64" s="31"/>
      <c r="F64" s="31"/>
      <c r="I64" s="12"/>
    </row>
    <row r="65" spans="1:9">
      <c r="A65" s="31"/>
      <c r="B65" s="20">
        <v>43866</v>
      </c>
      <c r="C65" s="31">
        <v>430</v>
      </c>
      <c r="D65" s="31"/>
      <c r="E65" s="31"/>
      <c r="F65" s="31"/>
      <c r="I65" s="12"/>
    </row>
    <row r="66" spans="1:9">
      <c r="A66" s="31"/>
      <c r="B66" s="20">
        <v>43867</v>
      </c>
      <c r="C66" s="31">
        <v>431</v>
      </c>
      <c r="D66" s="31"/>
      <c r="E66" s="31"/>
      <c r="F66" s="31"/>
      <c r="I66" s="12"/>
    </row>
    <row r="67" spans="1:9">
      <c r="A67" s="31"/>
      <c r="B67" s="20">
        <v>43868</v>
      </c>
      <c r="C67" s="31">
        <v>415</v>
      </c>
      <c r="D67" s="31"/>
      <c r="E67" s="31"/>
      <c r="F67" s="31"/>
      <c r="I67" s="12"/>
    </row>
    <row r="68" spans="1:9">
      <c r="A68" s="31"/>
      <c r="B68" s="20">
        <v>43871</v>
      </c>
      <c r="C68" s="31">
        <v>411</v>
      </c>
      <c r="D68" s="31"/>
      <c r="E68" s="31"/>
      <c r="F68" s="31"/>
      <c r="I68" s="12"/>
    </row>
    <row r="69" spans="1:9">
      <c r="A69" s="31"/>
      <c r="B69" s="20">
        <v>43872</v>
      </c>
      <c r="C69" s="31">
        <v>418</v>
      </c>
      <c r="D69" s="31"/>
      <c r="E69" s="31"/>
      <c r="F69" s="31"/>
      <c r="I69" s="12"/>
    </row>
    <row r="70" spans="1:9">
      <c r="A70" s="31"/>
      <c r="B70" s="20">
        <v>43873</v>
      </c>
      <c r="C70" s="31">
        <v>421</v>
      </c>
      <c r="D70" s="31"/>
      <c r="E70" s="31"/>
      <c r="F70" s="31"/>
      <c r="I70" s="12"/>
    </row>
    <row r="71" spans="1:9">
      <c r="A71" s="31"/>
      <c r="B71" s="20">
        <v>43874</v>
      </c>
      <c r="C71" s="31">
        <v>421</v>
      </c>
      <c r="D71" s="31"/>
      <c r="E71" s="31"/>
      <c r="F71" s="31"/>
      <c r="I71" s="12"/>
    </row>
    <row r="72" spans="1:9">
      <c r="A72" s="31"/>
      <c r="B72" s="20">
        <v>43875</v>
      </c>
      <c r="C72" s="31">
        <v>425</v>
      </c>
      <c r="D72" s="31"/>
      <c r="E72" s="31"/>
      <c r="F72" s="31"/>
      <c r="I72" s="12"/>
    </row>
    <row r="73" spans="1:9">
      <c r="A73" s="31"/>
      <c r="B73" s="20">
        <v>43878</v>
      </c>
      <c r="C73" s="31">
        <v>434</v>
      </c>
      <c r="D73" s="31"/>
      <c r="E73" s="31"/>
      <c r="F73" s="31"/>
      <c r="I73" s="12"/>
    </row>
    <row r="74" spans="1:9">
      <c r="A74" s="31"/>
      <c r="B74" s="20">
        <v>43879</v>
      </c>
      <c r="C74" s="31">
        <v>450</v>
      </c>
      <c r="D74" s="31"/>
      <c r="E74" s="31"/>
      <c r="F74" s="31"/>
      <c r="I74" s="12"/>
    </row>
    <row r="75" spans="1:9">
      <c r="A75" s="31"/>
      <c r="B75" s="20">
        <v>43880</v>
      </c>
      <c r="C75" s="31">
        <v>465</v>
      </c>
      <c r="D75" s="31"/>
      <c r="E75" s="31"/>
      <c r="F75" s="31"/>
      <c r="I75" s="12"/>
    </row>
    <row r="76" spans="1:9">
      <c r="A76" s="31"/>
      <c r="B76" s="20">
        <v>43881</v>
      </c>
      <c r="C76" s="31">
        <v>480</v>
      </c>
      <c r="D76" s="31"/>
      <c r="E76" s="31"/>
      <c r="F76" s="31"/>
      <c r="I76" s="12"/>
    </row>
    <row r="77" spans="1:9">
      <c r="A77" s="31"/>
      <c r="B77" s="20">
        <v>43882</v>
      </c>
      <c r="C77" s="31">
        <v>480</v>
      </c>
      <c r="D77" s="31"/>
      <c r="E77" s="31"/>
      <c r="F77" s="31"/>
      <c r="I77" s="12"/>
    </row>
    <row r="78" spans="1:9">
      <c r="A78" s="31"/>
      <c r="C78" s="31"/>
      <c r="D78" s="31"/>
      <c r="E78" s="31"/>
      <c r="F78" s="31"/>
      <c r="I78" s="12"/>
    </row>
    <row r="79" spans="1:9">
      <c r="A79" s="31"/>
      <c r="C79" s="31"/>
      <c r="D79" s="31"/>
      <c r="E79" s="31"/>
      <c r="F79" s="31"/>
      <c r="I79" s="12"/>
    </row>
    <row r="80" spans="1:9">
      <c r="A80" s="31"/>
      <c r="C80" s="31"/>
      <c r="D80" s="31"/>
      <c r="E80" s="31"/>
      <c r="F80" s="31"/>
      <c r="I80" s="12"/>
    </row>
    <row r="81" spans="1:9">
      <c r="A81" s="31"/>
      <c r="C81" s="31"/>
      <c r="D81" s="31"/>
      <c r="E81" s="31"/>
      <c r="F81" s="31"/>
      <c r="I81" s="12"/>
    </row>
    <row r="82" spans="1:9">
      <c r="A82" s="31"/>
      <c r="C82" s="31"/>
      <c r="D82" s="31"/>
      <c r="E82" s="31"/>
      <c r="F82" s="31"/>
      <c r="I82" s="12"/>
    </row>
    <row r="83" spans="1:9">
      <c r="A83" s="31"/>
      <c r="C83" s="31"/>
      <c r="D83" s="31"/>
      <c r="E83" s="31"/>
      <c r="F83" s="31"/>
      <c r="I83" s="12"/>
    </row>
    <row r="84" spans="1:9">
      <c r="A84" s="31"/>
      <c r="C84" s="31"/>
      <c r="D84" s="31"/>
      <c r="E84" s="31"/>
      <c r="F84" s="31"/>
      <c r="I84" s="12"/>
    </row>
    <row r="85" spans="1:9">
      <c r="A85" s="31"/>
      <c r="C85" s="31"/>
      <c r="D85" s="31"/>
      <c r="E85" s="31"/>
      <c r="F85" s="31"/>
      <c r="I85" s="12"/>
    </row>
    <row r="86" spans="1:9">
      <c r="A86" s="31"/>
      <c r="C86" s="31"/>
      <c r="D86" s="31"/>
      <c r="E86" s="31"/>
      <c r="F86" s="31"/>
      <c r="I86" s="12"/>
    </row>
    <row r="87" spans="1:9">
      <c r="A87" s="31"/>
      <c r="C87" s="31"/>
      <c r="D87" s="31"/>
      <c r="E87" s="31"/>
      <c r="F87" s="31"/>
      <c r="I87" s="12"/>
    </row>
    <row r="88" spans="1:9">
      <c r="A88" s="31"/>
      <c r="C88" s="31"/>
      <c r="D88" s="31"/>
      <c r="E88" s="31"/>
      <c r="F88" s="31"/>
      <c r="I88" s="12"/>
    </row>
    <row r="89" spans="1:9">
      <c r="A89" s="31"/>
      <c r="C89" s="31"/>
      <c r="D89" s="31"/>
      <c r="E89" s="31"/>
      <c r="F89" s="31"/>
      <c r="I89" s="12"/>
    </row>
    <row r="90" spans="1:9">
      <c r="A90" s="31"/>
      <c r="C90" s="31"/>
      <c r="D90" s="31"/>
      <c r="E90" s="31"/>
      <c r="F90" s="31"/>
      <c r="I90" s="12"/>
    </row>
    <row r="91" spans="1:9">
      <c r="A91" s="31"/>
      <c r="C91" s="31"/>
      <c r="D91" s="31"/>
      <c r="E91" s="31"/>
      <c r="F91" s="31"/>
      <c r="I91" s="12"/>
    </row>
    <row r="92" spans="1:9">
      <c r="A92" s="31"/>
      <c r="C92" s="31"/>
      <c r="D92" s="31"/>
      <c r="E92" s="31"/>
      <c r="F92" s="31"/>
      <c r="I92" s="12"/>
    </row>
    <row r="93" spans="1:9">
      <c r="A93" s="31"/>
      <c r="C93" s="31"/>
      <c r="D93" s="31"/>
      <c r="E93" s="31"/>
      <c r="F93" s="31"/>
      <c r="I93" s="12"/>
    </row>
    <row r="94" spans="1:9">
      <c r="A94" s="31"/>
      <c r="C94" s="31"/>
      <c r="D94" s="31"/>
      <c r="E94" s="31"/>
      <c r="F94" s="31"/>
      <c r="I94" s="12"/>
    </row>
    <row r="95" spans="1:9">
      <c r="A95" s="31"/>
      <c r="C95" s="31"/>
      <c r="D95" s="31"/>
      <c r="E95" s="31"/>
      <c r="F95" s="31"/>
      <c r="I95" s="12"/>
    </row>
    <row r="96" spans="1:9">
      <c r="A96" s="31"/>
      <c r="C96" s="31"/>
      <c r="D96" s="31"/>
      <c r="E96" s="31"/>
      <c r="F96" s="31"/>
      <c r="I96" s="12"/>
    </row>
    <row r="97" spans="1:9">
      <c r="A97" s="31"/>
      <c r="C97" s="31"/>
      <c r="D97" s="31"/>
      <c r="E97" s="31"/>
      <c r="F97" s="31"/>
      <c r="I97" s="12"/>
    </row>
    <row r="98" spans="1:9">
      <c r="A98" s="31"/>
      <c r="C98" s="31"/>
      <c r="D98" s="31"/>
      <c r="E98" s="31"/>
      <c r="F98" s="31"/>
      <c r="I98" s="12"/>
    </row>
    <row r="99" spans="1:9">
      <c r="A99" s="31"/>
      <c r="C99" s="31"/>
      <c r="D99" s="31"/>
      <c r="E99" s="31"/>
      <c r="F99" s="31"/>
      <c r="I99" s="12"/>
    </row>
    <row r="100" spans="1:9">
      <c r="A100" s="31"/>
      <c r="C100" s="31"/>
      <c r="D100" s="31"/>
      <c r="E100" s="31"/>
      <c r="F100" s="31"/>
      <c r="I100" s="12"/>
    </row>
    <row r="101" spans="1:9">
      <c r="A101" s="31"/>
      <c r="C101" s="31"/>
      <c r="D101" s="31"/>
      <c r="E101" s="31"/>
      <c r="F101" s="31"/>
      <c r="I101" s="12"/>
    </row>
    <row r="102" spans="1:9">
      <c r="A102" s="31"/>
      <c r="C102" s="31"/>
      <c r="D102" s="31"/>
      <c r="E102" s="31"/>
      <c r="F102" s="31"/>
      <c r="I102" s="12"/>
    </row>
    <row r="103" spans="1:9">
      <c r="A103" s="31"/>
      <c r="C103" s="31"/>
      <c r="D103" s="31"/>
      <c r="E103" s="31"/>
      <c r="F103" s="31"/>
      <c r="I103" s="12"/>
    </row>
    <row r="104" spans="1:9">
      <c r="A104" s="31"/>
      <c r="C104" s="31"/>
      <c r="D104" s="31"/>
      <c r="E104" s="31"/>
      <c r="F104" s="31"/>
      <c r="I104" s="12"/>
    </row>
    <row r="105" spans="1:9">
      <c r="A105" s="31"/>
      <c r="C105" s="31"/>
      <c r="D105" s="31"/>
      <c r="E105" s="31"/>
      <c r="F105" s="31"/>
      <c r="I105" s="12"/>
    </row>
    <row r="106" spans="1:9">
      <c r="A106" s="31"/>
      <c r="C106" s="31"/>
      <c r="D106" s="31"/>
      <c r="E106" s="31"/>
      <c r="F106" s="31"/>
      <c r="I106" s="12"/>
    </row>
    <row r="107" spans="1:9">
      <c r="A107" s="31"/>
      <c r="C107" s="31"/>
      <c r="D107" s="31"/>
      <c r="E107" s="31"/>
      <c r="F107" s="31"/>
      <c r="I107" s="12"/>
    </row>
    <row r="108" spans="1:9">
      <c r="A108" s="31"/>
      <c r="C108" s="31"/>
      <c r="D108" s="31"/>
      <c r="E108" s="31"/>
      <c r="F108" s="31"/>
      <c r="I108" s="12"/>
    </row>
    <row r="109" spans="1:9">
      <c r="A109" s="31"/>
      <c r="C109" s="31"/>
      <c r="D109" s="31"/>
      <c r="E109" s="31"/>
      <c r="F109" s="31"/>
      <c r="I109" s="12"/>
    </row>
    <row r="110" spans="1:9">
      <c r="A110" s="31"/>
      <c r="C110" s="31"/>
      <c r="D110" s="31"/>
      <c r="E110" s="31"/>
      <c r="F110" s="31"/>
      <c r="I110" s="12"/>
    </row>
    <row r="111" spans="1:9">
      <c r="A111" s="31"/>
      <c r="C111" s="31"/>
      <c r="D111" s="31"/>
      <c r="E111" s="31"/>
      <c r="F111" s="31"/>
      <c r="I111" s="12"/>
    </row>
    <row r="112" spans="1:9">
      <c r="A112" s="31"/>
      <c r="C112" s="31"/>
      <c r="D112" s="31"/>
      <c r="E112" s="31"/>
      <c r="F112" s="31"/>
      <c r="I112" s="12"/>
    </row>
    <row r="113" spans="1:9">
      <c r="A113" s="31"/>
      <c r="C113" s="31"/>
      <c r="D113" s="31"/>
      <c r="E113" s="31"/>
      <c r="F113" s="31"/>
      <c r="I113" s="12"/>
    </row>
    <row r="114" spans="1:9">
      <c r="A114" s="31"/>
      <c r="C114" s="31"/>
      <c r="D114" s="31"/>
      <c r="E114" s="31"/>
      <c r="F114" s="31"/>
      <c r="I114" s="12"/>
    </row>
    <row r="115" spans="1:9">
      <c r="A115" s="31"/>
      <c r="C115" s="31"/>
      <c r="D115" s="31"/>
      <c r="E115" s="31"/>
      <c r="F115" s="31"/>
      <c r="I115" s="12"/>
    </row>
    <row r="116" spans="1:9">
      <c r="A116" s="31"/>
      <c r="C116" s="31"/>
      <c r="D116" s="31"/>
      <c r="E116" s="31"/>
      <c r="F116" s="31"/>
      <c r="I116" s="12"/>
    </row>
    <row r="117" spans="1:9">
      <c r="A117" s="31"/>
      <c r="C117" s="31"/>
      <c r="D117" s="31"/>
      <c r="E117" s="31"/>
      <c r="F117" s="31"/>
      <c r="I117" s="12"/>
    </row>
    <row r="118" spans="1:9">
      <c r="A118" s="31"/>
      <c r="C118" s="31"/>
      <c r="D118" s="31"/>
      <c r="E118" s="31"/>
      <c r="F118" s="31"/>
      <c r="I118" s="12"/>
    </row>
    <row r="119" spans="1:9">
      <c r="A119" s="31"/>
      <c r="C119" s="31"/>
      <c r="D119" s="31"/>
      <c r="E119" s="31"/>
      <c r="F119" s="31"/>
      <c r="I119" s="12"/>
    </row>
    <row r="120" spans="1:9">
      <c r="A120" s="31"/>
      <c r="C120" s="31"/>
      <c r="D120" s="31"/>
      <c r="E120" s="31"/>
      <c r="F120" s="31"/>
      <c r="I120" s="12"/>
    </row>
    <row r="121" spans="1:9">
      <c r="A121" s="31"/>
      <c r="C121" s="31"/>
      <c r="D121" s="31"/>
      <c r="E121" s="31"/>
      <c r="F121" s="31"/>
      <c r="I121" s="12"/>
    </row>
    <row r="122" spans="1:9">
      <c r="A122" s="31"/>
      <c r="C122" s="31"/>
      <c r="D122" s="31"/>
      <c r="E122" s="31"/>
      <c r="F122" s="31"/>
      <c r="I122" s="12"/>
    </row>
    <row r="123" spans="1:9">
      <c r="A123" s="31"/>
      <c r="C123" s="31"/>
      <c r="D123" s="31"/>
      <c r="E123" s="31"/>
      <c r="F123" s="31"/>
      <c r="I123" s="12"/>
    </row>
    <row r="124" spans="1:9">
      <c r="A124" s="31"/>
      <c r="C124" s="31"/>
      <c r="D124" s="31"/>
      <c r="E124" s="31"/>
      <c r="F124" s="31"/>
      <c r="I124" s="12"/>
    </row>
    <row r="125" spans="1:9">
      <c r="A125" s="31"/>
      <c r="C125" s="31"/>
      <c r="D125" s="31"/>
      <c r="E125" s="31"/>
      <c r="F125" s="31"/>
      <c r="I125" s="12"/>
    </row>
    <row r="126" spans="1:9">
      <c r="A126" s="31"/>
      <c r="C126" s="31"/>
      <c r="D126" s="31"/>
      <c r="E126" s="31"/>
      <c r="F126" s="31"/>
      <c r="I126" s="12"/>
    </row>
    <row r="127" spans="1:9">
      <c r="A127" s="31"/>
      <c r="C127" s="31"/>
      <c r="D127" s="31"/>
      <c r="E127" s="31"/>
      <c r="F127" s="31"/>
    </row>
    <row r="128" spans="1:9">
      <c r="A128" s="31"/>
      <c r="C128" s="31"/>
      <c r="D128" s="31"/>
      <c r="E128" s="31"/>
      <c r="F128" s="31"/>
    </row>
    <row r="129" spans="1:9">
      <c r="A129" s="31"/>
      <c r="C129" s="31"/>
      <c r="D129" s="31"/>
      <c r="E129" s="31"/>
      <c r="F129" s="31"/>
    </row>
    <row r="130" spans="1:9">
      <c r="A130" s="31"/>
      <c r="C130" s="31"/>
      <c r="D130" s="31"/>
      <c r="E130" s="31"/>
      <c r="F130" s="31"/>
    </row>
    <row r="131" spans="1:9">
      <c r="A131" s="31"/>
      <c r="C131" s="31"/>
      <c r="D131" s="31"/>
      <c r="E131" s="31"/>
      <c r="F131" s="31"/>
    </row>
    <row r="132" spans="1:9">
      <c r="A132" s="31"/>
      <c r="C132" s="31"/>
      <c r="D132" s="31"/>
      <c r="E132" s="31"/>
      <c r="F132" s="31"/>
    </row>
    <row r="133" spans="1:9">
      <c r="A133" s="31"/>
      <c r="C133" s="31"/>
      <c r="D133" s="31"/>
      <c r="E133" s="31"/>
      <c r="F133" s="31"/>
    </row>
    <row r="134" spans="1:9">
      <c r="A134" s="31"/>
      <c r="C134" s="31"/>
      <c r="D134" s="31"/>
      <c r="E134" s="31"/>
      <c r="F134" s="31"/>
    </row>
    <row r="135" spans="1:9">
      <c r="A135" s="31"/>
      <c r="C135" s="31"/>
      <c r="D135" s="31"/>
      <c r="E135" s="31"/>
      <c r="F135" s="31"/>
    </row>
    <row r="136" spans="1:9">
      <c r="A136" s="31"/>
      <c r="C136" s="31"/>
      <c r="D136" s="31"/>
      <c r="E136" s="31"/>
      <c r="F136" s="31"/>
    </row>
    <row r="137" spans="1:9">
      <c r="A137" s="31"/>
      <c r="C137" s="31"/>
      <c r="D137" s="31"/>
      <c r="E137" s="31"/>
      <c r="F137" s="31"/>
    </row>
    <row r="138" spans="1:9">
      <c r="A138" s="31"/>
      <c r="C138" s="31"/>
      <c r="D138" s="31"/>
      <c r="E138" s="31"/>
      <c r="F138" s="31"/>
    </row>
    <row r="139" spans="1:9">
      <c r="A139" s="31"/>
      <c r="C139" s="31"/>
      <c r="D139" s="31"/>
      <c r="E139" s="31"/>
      <c r="F139" s="31"/>
    </row>
    <row r="140" spans="1:9">
      <c r="A140" s="31"/>
      <c r="C140" s="31"/>
      <c r="D140" s="31"/>
      <c r="E140" s="31"/>
      <c r="F140" s="31"/>
    </row>
    <row r="141" spans="1:9">
      <c r="A141" s="31"/>
      <c r="C141" s="31"/>
      <c r="D141" s="31"/>
      <c r="E141" s="31"/>
      <c r="F141" s="31"/>
    </row>
    <row r="142" spans="1:9">
      <c r="A142" s="31"/>
      <c r="C142" s="31"/>
      <c r="D142" s="31"/>
      <c r="E142" s="31"/>
      <c r="F142" s="31"/>
      <c r="I142" s="8"/>
    </row>
    <row r="143" spans="1:9">
      <c r="A143" s="31"/>
      <c r="C143" s="31"/>
      <c r="D143" s="31"/>
      <c r="E143" s="31"/>
      <c r="F143" s="31"/>
      <c r="I143" s="8"/>
    </row>
    <row r="144" spans="1:9">
      <c r="A144" s="31"/>
      <c r="C144" s="31"/>
      <c r="D144" s="31"/>
      <c r="E144" s="31"/>
      <c r="F144" s="31"/>
    </row>
    <row r="145" spans="1:6">
      <c r="A145" s="31"/>
      <c r="C145" s="31"/>
      <c r="D145" s="31"/>
      <c r="E145" s="31"/>
      <c r="F145" s="31"/>
    </row>
    <row r="146" spans="1:6">
      <c r="A146" s="31"/>
      <c r="C146" s="31"/>
      <c r="D146" s="31"/>
      <c r="E146" s="31"/>
      <c r="F146" s="31"/>
    </row>
    <row r="147" spans="1:6">
      <c r="A147" s="31"/>
      <c r="C147" s="31"/>
      <c r="D147" s="31"/>
      <c r="E147" s="31"/>
      <c r="F147" s="31"/>
    </row>
    <row r="148" spans="1:6">
      <c r="A148" s="31"/>
      <c r="C148" s="31"/>
      <c r="D148" s="31"/>
      <c r="E148" s="31"/>
      <c r="F148" s="31"/>
    </row>
    <row r="149" spans="1:6">
      <c r="A149" s="31"/>
      <c r="C149" s="31"/>
      <c r="D149" s="31"/>
      <c r="E149" s="31"/>
      <c r="F149" s="31"/>
    </row>
    <row r="150" spans="1:6">
      <c r="A150" s="31"/>
      <c r="C150" s="31"/>
      <c r="D150" s="31"/>
      <c r="E150" s="31"/>
      <c r="F150" s="31"/>
    </row>
    <row r="151" spans="1:6">
      <c r="A151" s="31"/>
      <c r="C151" s="31"/>
      <c r="D151" s="31"/>
      <c r="E151" s="31"/>
      <c r="F151" s="31"/>
    </row>
    <row r="152" spans="1:6">
      <c r="A152" s="31"/>
      <c r="C152" s="31"/>
      <c r="D152" s="31"/>
      <c r="E152" s="31"/>
      <c r="F152" s="31"/>
    </row>
    <row r="153" spans="1:6">
      <c r="A153" s="31"/>
      <c r="C153" s="31"/>
      <c r="D153" s="31"/>
      <c r="E153" s="31"/>
      <c r="F153" s="31"/>
    </row>
    <row r="154" spans="1:6">
      <c r="A154" s="31"/>
      <c r="C154" s="31"/>
      <c r="D154" s="31"/>
      <c r="E154" s="31"/>
      <c r="F154" s="31"/>
    </row>
    <row r="155" spans="1:6">
      <c r="A155" s="31"/>
      <c r="C155" s="31"/>
      <c r="D155" s="31"/>
      <c r="E155" s="31"/>
      <c r="F155" s="31"/>
    </row>
    <row r="156" spans="1:6">
      <c r="A156" s="31"/>
      <c r="C156" s="31"/>
      <c r="D156" s="31"/>
      <c r="E156" s="31"/>
      <c r="F156" s="31"/>
    </row>
    <row r="157" spans="1:6">
      <c r="A157" s="31"/>
      <c r="C157" s="31"/>
      <c r="D157" s="31"/>
      <c r="E157" s="31"/>
      <c r="F157" s="31"/>
    </row>
    <row r="158" spans="1:6">
      <c r="A158" s="31"/>
      <c r="C158" s="31"/>
      <c r="D158" s="31"/>
      <c r="E158" s="31"/>
      <c r="F158" s="31"/>
    </row>
    <row r="159" spans="1:6">
      <c r="A159" s="31"/>
      <c r="C159" s="31"/>
      <c r="D159" s="31"/>
      <c r="E159" s="31"/>
      <c r="F159" s="31"/>
    </row>
    <row r="160" spans="1:6">
      <c r="A160" s="31"/>
      <c r="C160" s="31"/>
      <c r="D160" s="31"/>
      <c r="E160" s="31"/>
      <c r="F160" s="31"/>
    </row>
    <row r="161" spans="1:6">
      <c r="A161" s="31"/>
      <c r="C161" s="31"/>
      <c r="D161" s="31"/>
      <c r="E161" s="31"/>
      <c r="F161" s="31"/>
    </row>
    <row r="162" spans="1:6">
      <c r="A162" s="31"/>
      <c r="C162" s="31"/>
      <c r="D162" s="31"/>
      <c r="E162" s="31"/>
      <c r="F162" s="31"/>
    </row>
    <row r="163" spans="1:6">
      <c r="A163" s="31"/>
      <c r="C163" s="31"/>
      <c r="D163" s="31"/>
      <c r="E163" s="31"/>
      <c r="F163" s="31"/>
    </row>
    <row r="164" spans="1:6">
      <c r="A164" s="31"/>
      <c r="C164" s="31"/>
      <c r="D164" s="31"/>
      <c r="E164" s="31"/>
      <c r="F164" s="31"/>
    </row>
    <row r="165" spans="1:6">
      <c r="A165" s="31"/>
      <c r="C165" s="31"/>
      <c r="D165" s="31"/>
      <c r="E165" s="31"/>
      <c r="F165" s="31"/>
    </row>
    <row r="166" spans="1:6">
      <c r="A166" s="31"/>
      <c r="C166" s="31"/>
      <c r="D166" s="31"/>
      <c r="E166" s="31"/>
      <c r="F166" s="31"/>
    </row>
    <row r="167" spans="1:6">
      <c r="A167" s="31"/>
      <c r="C167" s="31"/>
      <c r="D167" s="31"/>
      <c r="E167" s="31"/>
      <c r="F167" s="31"/>
    </row>
    <row r="168" spans="1:6">
      <c r="A168" s="31"/>
      <c r="C168" s="31"/>
      <c r="D168" s="31"/>
      <c r="E168" s="31"/>
      <c r="F168" s="31"/>
    </row>
    <row r="169" spans="1:6">
      <c r="A169" s="31"/>
      <c r="C169" s="31"/>
      <c r="D169" s="31"/>
      <c r="E169" s="31"/>
      <c r="F169" s="31"/>
    </row>
    <row r="170" spans="1:6">
      <c r="A170" s="31"/>
      <c r="C170" s="31"/>
      <c r="D170" s="31"/>
      <c r="E170" s="31"/>
      <c r="F170" s="31"/>
    </row>
    <row r="171" spans="1:6">
      <c r="A171" s="31"/>
      <c r="C171" s="31"/>
      <c r="D171" s="31"/>
      <c r="E171" s="31"/>
      <c r="F171" s="31"/>
    </row>
    <row r="172" spans="1:6">
      <c r="A172" s="31"/>
      <c r="C172" s="31"/>
      <c r="D172" s="31"/>
      <c r="E172" s="31"/>
      <c r="F172" s="31"/>
    </row>
    <row r="173" spans="1:6">
      <c r="A173" s="31"/>
      <c r="C173" s="31"/>
      <c r="D173" s="31"/>
      <c r="E173" s="31"/>
      <c r="F173" s="31"/>
    </row>
    <row r="174" spans="1:6">
      <c r="A174" s="31"/>
      <c r="C174" s="31"/>
      <c r="D174" s="31"/>
      <c r="E174" s="31"/>
      <c r="F174" s="31"/>
    </row>
    <row r="175" spans="1:6">
      <c r="A175" s="31"/>
      <c r="C175" s="31"/>
      <c r="D175" s="31"/>
      <c r="E175" s="31"/>
      <c r="F175" s="31"/>
    </row>
    <row r="176" spans="1:6">
      <c r="A176" s="31"/>
      <c r="C176" s="31"/>
      <c r="D176" s="31"/>
      <c r="E176" s="31"/>
      <c r="F176" s="31"/>
    </row>
    <row r="177" spans="1:6">
      <c r="A177" s="31"/>
      <c r="C177" s="31"/>
      <c r="D177" s="31"/>
      <c r="E177" s="31"/>
      <c r="F177" s="31"/>
    </row>
    <row r="178" spans="1:6">
      <c r="A178" s="31"/>
      <c r="C178" s="31"/>
      <c r="D178" s="31"/>
      <c r="E178" s="31"/>
      <c r="F178" s="31"/>
    </row>
    <row r="179" spans="1:6">
      <c r="A179" s="31"/>
      <c r="C179" s="31"/>
      <c r="D179" s="31"/>
      <c r="E179" s="31"/>
      <c r="F179" s="31"/>
    </row>
    <row r="180" spans="1:6">
      <c r="A180" s="31"/>
      <c r="C180" s="31"/>
      <c r="D180" s="31"/>
      <c r="E180" s="31"/>
      <c r="F180" s="31"/>
    </row>
    <row r="181" spans="1:6">
      <c r="A181" s="31"/>
      <c r="C181" s="31"/>
      <c r="D181" s="31"/>
      <c r="E181" s="31"/>
      <c r="F181" s="31"/>
    </row>
    <row r="182" spans="1:6">
      <c r="A182" s="31"/>
      <c r="C182" s="31"/>
      <c r="D182" s="31"/>
      <c r="E182" s="31"/>
      <c r="F182" s="31"/>
    </row>
    <row r="183" spans="1:6">
      <c r="A183" s="31"/>
      <c r="C183" s="31"/>
      <c r="D183" s="31"/>
      <c r="E183" s="31"/>
      <c r="F183" s="31"/>
    </row>
    <row r="184" spans="1:6">
      <c r="A184" s="31"/>
      <c r="C184" s="31"/>
      <c r="D184" s="31"/>
      <c r="E184" s="31"/>
      <c r="F184" s="31"/>
    </row>
    <row r="185" spans="1:6">
      <c r="A185" s="31"/>
      <c r="C185" s="31"/>
      <c r="D185" s="31"/>
      <c r="E185" s="31"/>
      <c r="F185" s="31"/>
    </row>
    <row r="186" spans="1:6">
      <c r="A186" s="31"/>
      <c r="C186" s="31"/>
      <c r="D186" s="31"/>
      <c r="E186" s="31"/>
      <c r="F186" s="31"/>
    </row>
    <row r="187" spans="1:6">
      <c r="A187" s="31"/>
      <c r="C187" s="31"/>
      <c r="D187" s="31"/>
      <c r="E187" s="31"/>
      <c r="F187" s="31"/>
    </row>
    <row r="188" spans="1:6">
      <c r="A188" s="31"/>
      <c r="C188" s="31"/>
      <c r="D188" s="31"/>
      <c r="E188" s="31"/>
      <c r="F188" s="31"/>
    </row>
    <row r="189" spans="1:6">
      <c r="A189" s="31"/>
      <c r="C189" s="31"/>
      <c r="D189" s="31"/>
      <c r="E189" s="31"/>
      <c r="F189" s="31"/>
    </row>
    <row r="190" spans="1:6">
      <c r="A190" s="31"/>
      <c r="C190" s="31"/>
      <c r="D190" s="31"/>
      <c r="E190" s="31"/>
      <c r="F190" s="31"/>
    </row>
    <row r="191" spans="1:6">
      <c r="A191" s="31"/>
      <c r="C191" s="31"/>
      <c r="D191" s="31"/>
      <c r="E191" s="31"/>
      <c r="F191" s="31"/>
    </row>
    <row r="192" spans="1:6">
      <c r="A192" s="31"/>
      <c r="C192" s="31"/>
      <c r="D192" s="31"/>
      <c r="E192" s="31"/>
      <c r="F192" s="31"/>
    </row>
    <row r="193" spans="1:6">
      <c r="A193" s="31"/>
      <c r="C193" s="31"/>
      <c r="D193" s="31"/>
      <c r="E193" s="31"/>
      <c r="F193" s="31"/>
    </row>
    <row r="194" spans="1:6">
      <c r="A194" s="31"/>
      <c r="C194" s="31"/>
      <c r="D194" s="31"/>
      <c r="E194" s="31"/>
      <c r="F194" s="31"/>
    </row>
    <row r="195" spans="1:6">
      <c r="A195" s="31"/>
      <c r="C195" s="31"/>
      <c r="D195" s="31"/>
      <c r="E195" s="31"/>
      <c r="F195" s="31"/>
    </row>
    <row r="196" spans="1:6">
      <c r="A196" s="31"/>
      <c r="C196" s="31"/>
      <c r="D196" s="31"/>
      <c r="E196" s="31"/>
      <c r="F196" s="31"/>
    </row>
    <row r="197" spans="1:6">
      <c r="A197" s="31"/>
      <c r="C197" s="31"/>
      <c r="D197" s="31"/>
      <c r="E197" s="31"/>
      <c r="F197" s="31"/>
    </row>
    <row r="198" spans="1:6">
      <c r="A198" s="31"/>
      <c r="C198" s="31"/>
      <c r="D198" s="31"/>
      <c r="E198" s="31"/>
      <c r="F198" s="31"/>
    </row>
    <row r="199" spans="1:6">
      <c r="A199" s="31"/>
      <c r="C199" s="31"/>
      <c r="D199" s="31"/>
      <c r="E199" s="31"/>
      <c r="F199" s="31"/>
    </row>
    <row r="200" spans="1:6">
      <c r="A200" s="31"/>
      <c r="C200" s="31"/>
      <c r="D200" s="31"/>
      <c r="E200" s="31"/>
      <c r="F200" s="31"/>
    </row>
    <row r="201" spans="1:6">
      <c r="A201" s="31"/>
      <c r="C201" s="31"/>
      <c r="D201" s="31"/>
      <c r="E201" s="31"/>
      <c r="F201" s="31"/>
    </row>
    <row r="202" spans="1:6">
      <c r="A202" s="31"/>
      <c r="C202" s="31"/>
      <c r="D202" s="31"/>
      <c r="E202" s="31"/>
      <c r="F202" s="31"/>
    </row>
    <row r="203" spans="1:6">
      <c r="A203" s="31"/>
      <c r="C203" s="31"/>
      <c r="D203" s="31"/>
      <c r="E203" s="31"/>
      <c r="F203" s="31"/>
    </row>
    <row r="204" spans="1:6">
      <c r="A204" s="31"/>
      <c r="C204" s="31"/>
      <c r="D204" s="31"/>
      <c r="E204" s="31"/>
      <c r="F204" s="31"/>
    </row>
    <row r="205" spans="1:6">
      <c r="A205" s="31"/>
      <c r="C205" s="31"/>
      <c r="D205" s="31"/>
      <c r="E205" s="31"/>
      <c r="F205" s="31"/>
    </row>
    <row r="206" spans="1:6">
      <c r="A206" s="31"/>
      <c r="C206" s="31"/>
      <c r="D206" s="31"/>
      <c r="E206" s="31"/>
      <c r="F206" s="31"/>
    </row>
    <row r="207" spans="1:6">
      <c r="A207" s="31"/>
      <c r="C207" s="31"/>
      <c r="D207" s="31"/>
      <c r="E207" s="31"/>
      <c r="F207" s="31"/>
    </row>
    <row r="208" spans="1:6">
      <c r="A208" s="31"/>
      <c r="C208" s="31"/>
      <c r="D208" s="31"/>
      <c r="E208" s="31"/>
      <c r="F208" s="31"/>
    </row>
    <row r="209" spans="1:6">
      <c r="A209" s="31"/>
      <c r="C209" s="31"/>
      <c r="D209" s="31"/>
      <c r="E209" s="31"/>
      <c r="F209" s="31"/>
    </row>
    <row r="210" spans="1:6">
      <c r="A210" s="31"/>
      <c r="C210" s="31"/>
      <c r="D210" s="31"/>
      <c r="E210" s="31"/>
      <c r="F210" s="31"/>
    </row>
    <row r="211" spans="1:6">
      <c r="A211" s="31"/>
      <c r="C211" s="31"/>
      <c r="D211" s="31"/>
      <c r="E211" s="31"/>
      <c r="F211" s="31"/>
    </row>
    <row r="212" spans="1:6">
      <c r="A212" s="31"/>
      <c r="C212" s="31"/>
      <c r="D212" s="31"/>
      <c r="E212" s="31"/>
      <c r="F212" s="31"/>
    </row>
    <row r="213" spans="1:6">
      <c r="A213" s="31"/>
      <c r="C213" s="31"/>
      <c r="D213" s="31"/>
      <c r="E213" s="31"/>
      <c r="F213" s="31"/>
    </row>
    <row r="214" spans="1:6">
      <c r="A214" s="31"/>
      <c r="C214" s="31"/>
      <c r="D214" s="31"/>
      <c r="E214" s="31"/>
      <c r="F214" s="31"/>
    </row>
    <row r="215" spans="1:6">
      <c r="A215" s="31"/>
      <c r="C215" s="31"/>
      <c r="D215" s="31"/>
      <c r="E215" s="31"/>
      <c r="F215" s="31"/>
    </row>
    <row r="216" spans="1:6">
      <c r="A216" s="31"/>
      <c r="C216" s="31"/>
      <c r="D216" s="31"/>
      <c r="E216" s="31"/>
      <c r="F216" s="31"/>
    </row>
    <row r="217" spans="1:6">
      <c r="A217" s="31"/>
      <c r="C217" s="31"/>
      <c r="D217" s="31"/>
      <c r="E217" s="31"/>
      <c r="F217" s="31"/>
    </row>
    <row r="218" spans="1:6">
      <c r="A218" s="31"/>
      <c r="C218" s="31"/>
      <c r="D218" s="31"/>
      <c r="E218" s="31"/>
      <c r="F218" s="31"/>
    </row>
    <row r="219" spans="1:6">
      <c r="A219" s="31"/>
      <c r="C219" s="31"/>
      <c r="D219" s="31"/>
      <c r="E219" s="31"/>
      <c r="F219" s="31"/>
    </row>
    <row r="220" spans="1:6">
      <c r="A220" s="31"/>
      <c r="C220" s="31"/>
      <c r="D220" s="31"/>
      <c r="E220" s="31"/>
      <c r="F220" s="31"/>
    </row>
    <row r="221" spans="1:6">
      <c r="A221" s="31"/>
      <c r="C221" s="31"/>
      <c r="D221" s="31"/>
      <c r="E221" s="31"/>
      <c r="F221" s="31"/>
    </row>
    <row r="222" spans="1:6">
      <c r="A222" s="31"/>
      <c r="C222" s="31"/>
      <c r="D222" s="31"/>
      <c r="E222" s="31"/>
      <c r="F222" s="31"/>
    </row>
    <row r="223" spans="1:6">
      <c r="A223" s="31"/>
      <c r="C223" s="31"/>
      <c r="D223" s="31"/>
      <c r="E223" s="31"/>
      <c r="F223" s="31"/>
    </row>
    <row r="224" spans="1:6">
      <c r="A224" s="31"/>
      <c r="C224" s="31"/>
      <c r="D224" s="31"/>
      <c r="E224" s="31"/>
      <c r="F224" s="31"/>
    </row>
    <row r="225" spans="1:7">
      <c r="A225" s="31"/>
      <c r="C225" s="31"/>
      <c r="D225" s="31"/>
      <c r="E225" s="31"/>
      <c r="F225" s="31"/>
    </row>
    <row r="226" spans="1:7">
      <c r="A226" s="31"/>
      <c r="C226" s="31"/>
      <c r="D226" s="31"/>
      <c r="E226" s="31"/>
      <c r="F226" s="31"/>
      <c r="G226" s="8"/>
    </row>
    <row r="227" spans="1:7">
      <c r="A227" s="31"/>
      <c r="C227" s="31"/>
      <c r="D227" s="31"/>
      <c r="E227" s="31"/>
      <c r="F227" s="31"/>
      <c r="G227" s="8"/>
    </row>
    <row r="228" spans="1:7">
      <c r="A228" s="31"/>
      <c r="C228" s="31"/>
      <c r="D228" s="31"/>
      <c r="E228" s="31"/>
      <c r="F228" s="31"/>
      <c r="G228" s="8"/>
    </row>
    <row r="229" spans="1:7">
      <c r="A229" s="31"/>
      <c r="C229" s="31"/>
      <c r="D229" s="31"/>
      <c r="E229" s="31"/>
      <c r="F229" s="31"/>
      <c r="G229" s="8"/>
    </row>
    <row r="230" spans="1:7">
      <c r="A230" s="31"/>
      <c r="C230" s="31"/>
      <c r="D230" s="31"/>
      <c r="E230" s="31"/>
      <c r="F230" s="31"/>
      <c r="G230" s="8"/>
    </row>
    <row r="231" spans="1:7">
      <c r="A231" s="31"/>
      <c r="C231" s="31"/>
      <c r="D231" s="31"/>
      <c r="E231" s="31"/>
      <c r="F231" s="31"/>
      <c r="G231" s="8"/>
    </row>
    <row r="232" spans="1:7">
      <c r="A232" s="31"/>
      <c r="C232" s="31"/>
      <c r="D232" s="31"/>
      <c r="E232" s="31"/>
      <c r="F232" s="31"/>
      <c r="G232" s="8"/>
    </row>
    <row r="233" spans="1:7">
      <c r="A233" s="31"/>
      <c r="C233" s="31"/>
      <c r="D233" s="31"/>
      <c r="E233" s="31"/>
      <c r="F233" s="31"/>
      <c r="G233" s="8"/>
    </row>
    <row r="234" spans="1:7">
      <c r="A234" s="31"/>
      <c r="C234" s="31"/>
      <c r="D234" s="31"/>
      <c r="E234" s="31"/>
      <c r="F234" s="31"/>
      <c r="G234" s="8"/>
    </row>
    <row r="235" spans="1:7">
      <c r="A235" s="31"/>
      <c r="C235" s="31"/>
      <c r="D235" s="31"/>
      <c r="E235" s="31"/>
      <c r="F235" s="31"/>
      <c r="G235" s="8"/>
    </row>
    <row r="236" spans="1:7">
      <c r="A236" s="31"/>
      <c r="C236" s="31"/>
      <c r="D236" s="31"/>
      <c r="E236" s="31"/>
      <c r="F236" s="31"/>
      <c r="G236" s="8"/>
    </row>
    <row r="237" spans="1:7">
      <c r="A237" s="31"/>
      <c r="C237" s="31"/>
      <c r="D237" s="31"/>
      <c r="E237" s="31"/>
      <c r="F237" s="31"/>
      <c r="G237" s="8"/>
    </row>
    <row r="238" spans="1:7">
      <c r="A238" s="31"/>
      <c r="C238" s="31"/>
      <c r="D238" s="31"/>
      <c r="E238" s="31"/>
      <c r="F238" s="31"/>
      <c r="G238" s="8"/>
    </row>
    <row r="239" spans="1:7">
      <c r="A239" s="31"/>
      <c r="C239" s="31"/>
      <c r="D239" s="31"/>
      <c r="E239" s="31"/>
      <c r="F239" s="31"/>
      <c r="G239" s="8"/>
    </row>
    <row r="240" spans="1:7">
      <c r="A240" s="31"/>
      <c r="C240" s="31"/>
      <c r="D240" s="31"/>
      <c r="E240" s="31"/>
      <c r="F240" s="31"/>
      <c r="G240" s="8"/>
    </row>
    <row r="241" spans="1:9">
      <c r="A241" s="31"/>
      <c r="C241" s="31"/>
      <c r="D241" s="31"/>
      <c r="E241" s="31"/>
      <c r="F241" s="31"/>
      <c r="G241" s="8"/>
    </row>
    <row r="242" spans="1:9">
      <c r="A242" s="31"/>
      <c r="C242" s="31"/>
      <c r="D242" s="31"/>
      <c r="E242" s="31"/>
      <c r="F242" s="31"/>
      <c r="G242" s="8"/>
    </row>
    <row r="243" spans="1:9">
      <c r="A243" s="31"/>
      <c r="C243" s="31"/>
      <c r="D243" s="31"/>
      <c r="E243" s="31"/>
      <c r="F243" s="31"/>
      <c r="G243" s="8"/>
    </row>
    <row r="244" spans="1:9">
      <c r="A244" s="31"/>
      <c r="C244" s="31"/>
      <c r="D244" s="31"/>
      <c r="E244" s="31"/>
      <c r="F244" s="31"/>
      <c r="G244" s="8"/>
    </row>
    <row r="245" spans="1:9">
      <c r="A245" s="31"/>
      <c r="C245" s="31"/>
      <c r="D245" s="31"/>
      <c r="E245" s="31"/>
      <c r="F245" s="31"/>
      <c r="G245" s="8"/>
    </row>
    <row r="246" spans="1:9">
      <c r="A246" s="31"/>
      <c r="C246" s="31"/>
      <c r="D246" s="31"/>
      <c r="E246" s="31"/>
      <c r="F246" s="31"/>
      <c r="G246" s="8"/>
      <c r="I246" s="8"/>
    </row>
    <row r="247" spans="1:9">
      <c r="A247" s="31"/>
      <c r="C247" s="31"/>
      <c r="D247" s="31"/>
      <c r="E247" s="31"/>
      <c r="F247" s="31"/>
      <c r="G247" s="8"/>
      <c r="I247" s="8"/>
    </row>
    <row r="248" spans="1:9">
      <c r="A248" s="31"/>
      <c r="C248" s="31"/>
      <c r="D248" s="31"/>
      <c r="E248" s="31"/>
      <c r="F248" s="31"/>
      <c r="G248" s="8"/>
      <c r="I248" s="8"/>
    </row>
    <row r="249" spans="1:9">
      <c r="A249" s="31"/>
      <c r="C249" s="31"/>
      <c r="D249" s="31"/>
      <c r="E249" s="31"/>
      <c r="F249" s="31"/>
      <c r="G249" s="8"/>
    </row>
    <row r="250" spans="1:9">
      <c r="A250" s="31"/>
      <c r="C250" s="31"/>
      <c r="D250" s="31"/>
      <c r="E250" s="31"/>
      <c r="F250" s="31"/>
      <c r="G250" s="8"/>
    </row>
    <row r="251" spans="1:9">
      <c r="A251" s="31"/>
      <c r="C251" s="31"/>
      <c r="D251" s="31"/>
      <c r="E251" s="31"/>
      <c r="F251" s="31"/>
      <c r="G251" s="8"/>
    </row>
    <row r="252" spans="1:9">
      <c r="A252" s="31"/>
      <c r="C252" s="31"/>
      <c r="D252" s="31"/>
      <c r="E252" s="31"/>
      <c r="F252" s="31"/>
      <c r="G252" s="8"/>
    </row>
    <row r="253" spans="1:9">
      <c r="A253" s="31"/>
      <c r="C253" s="31"/>
      <c r="D253" s="31"/>
      <c r="E253" s="31"/>
      <c r="F253" s="31"/>
      <c r="G253" s="8"/>
    </row>
    <row r="254" spans="1:9">
      <c r="A254" s="31"/>
      <c r="C254" s="31"/>
      <c r="D254" s="31"/>
      <c r="E254" s="31"/>
      <c r="F254" s="31"/>
      <c r="G254" s="8"/>
    </row>
    <row r="255" spans="1:9">
      <c r="A255" s="31"/>
      <c r="C255" s="31"/>
      <c r="D255" s="31"/>
      <c r="E255" s="31"/>
      <c r="F255" s="31"/>
      <c r="G255" s="8"/>
    </row>
    <row r="256" spans="1:9">
      <c r="A256" s="31"/>
      <c r="C256" s="31"/>
      <c r="D256" s="31"/>
      <c r="E256" s="31"/>
      <c r="F256" s="31"/>
      <c r="G256" s="8"/>
    </row>
    <row r="257" spans="1:7">
      <c r="A257" s="31"/>
      <c r="C257" s="31"/>
      <c r="D257" s="31"/>
      <c r="E257" s="31"/>
      <c r="F257" s="31"/>
      <c r="G257" s="8"/>
    </row>
    <row r="258" spans="1:7">
      <c r="A258" s="31"/>
      <c r="C258" s="31"/>
      <c r="D258" s="31"/>
      <c r="E258" s="31"/>
      <c r="F258" s="31"/>
      <c r="G258" s="8"/>
    </row>
    <row r="259" spans="1:7">
      <c r="A259" s="31"/>
      <c r="C259" s="31"/>
      <c r="D259" s="31"/>
      <c r="E259" s="31"/>
      <c r="F259" s="31"/>
      <c r="G259" s="8"/>
    </row>
    <row r="260" spans="1:7">
      <c r="A260" s="31"/>
      <c r="C260" s="31"/>
      <c r="D260" s="31"/>
      <c r="E260" s="31"/>
      <c r="F260" s="31"/>
    </row>
    <row r="261" spans="1:7">
      <c r="A261" s="31"/>
      <c r="C261" s="31"/>
      <c r="D261" s="31"/>
      <c r="E261" s="31"/>
      <c r="F261" s="31"/>
    </row>
    <row r="262" spans="1:7">
      <c r="A262" s="31"/>
      <c r="C262" s="31"/>
      <c r="D262" s="31"/>
      <c r="E262" s="31"/>
      <c r="F262" s="31"/>
    </row>
    <row r="263" spans="1:7">
      <c r="A263" s="31"/>
      <c r="C263" s="31"/>
      <c r="D263" s="31"/>
      <c r="E263" s="31"/>
      <c r="F263" s="31"/>
    </row>
    <row r="264" spans="1:7">
      <c r="A264" s="31"/>
      <c r="C264" s="31"/>
      <c r="D264" s="31"/>
      <c r="E264" s="31"/>
      <c r="F264" s="31"/>
    </row>
    <row r="265" spans="1:7">
      <c r="A265" s="31"/>
      <c r="C265" s="31"/>
      <c r="D265" s="31"/>
      <c r="E265" s="31"/>
      <c r="F265" s="31"/>
    </row>
    <row r="266" spans="1:7">
      <c r="A266" s="31"/>
      <c r="C266" s="31"/>
      <c r="D266" s="31"/>
      <c r="E266" s="31"/>
      <c r="F266" s="31"/>
    </row>
    <row r="267" spans="1:7">
      <c r="A267" s="31"/>
      <c r="C267" s="31"/>
      <c r="D267" s="31"/>
      <c r="E267" s="31"/>
      <c r="F267" s="31"/>
    </row>
    <row r="268" spans="1:7">
      <c r="A268" s="31"/>
      <c r="C268" s="31"/>
      <c r="D268" s="31"/>
      <c r="E268" s="31"/>
      <c r="F268" s="31"/>
    </row>
    <row r="269" spans="1:7">
      <c r="A269" s="31"/>
      <c r="C269" s="31"/>
      <c r="D269" s="31"/>
      <c r="E269" s="31"/>
      <c r="F269" s="31"/>
    </row>
    <row r="270" spans="1:7">
      <c r="A270" s="31"/>
      <c r="C270" s="31"/>
      <c r="D270" s="31"/>
      <c r="E270" s="31"/>
      <c r="F270" s="31"/>
    </row>
    <row r="271" spans="1:7">
      <c r="A271" s="31"/>
      <c r="C271" s="31"/>
      <c r="D271" s="31"/>
      <c r="E271" s="31"/>
      <c r="F271" s="31"/>
    </row>
    <row r="272" spans="1:7">
      <c r="A272" s="31"/>
      <c r="C272" s="31"/>
      <c r="D272" s="31"/>
      <c r="E272" s="31"/>
      <c r="F272" s="31"/>
    </row>
    <row r="273" spans="1:6">
      <c r="A273" s="31"/>
      <c r="C273" s="31"/>
      <c r="D273" s="31"/>
      <c r="E273" s="31"/>
      <c r="F273" s="31"/>
    </row>
    <row r="274" spans="1:6">
      <c r="A274" s="31"/>
      <c r="C274" s="31"/>
      <c r="D274" s="31"/>
      <c r="E274" s="31"/>
      <c r="F274" s="31"/>
    </row>
    <row r="275" spans="1:6">
      <c r="A275" s="31"/>
      <c r="C275" s="31"/>
      <c r="D275" s="31"/>
      <c r="E275" s="31"/>
      <c r="F275" s="31"/>
    </row>
    <row r="276" spans="1:6">
      <c r="A276" s="31"/>
      <c r="C276" s="31"/>
      <c r="D276" s="31"/>
      <c r="E276" s="31"/>
      <c r="F276" s="31"/>
    </row>
    <row r="277" spans="1:6">
      <c r="A277" s="31"/>
      <c r="C277" s="31"/>
      <c r="D277" s="31"/>
      <c r="E277" s="31"/>
      <c r="F277" s="31"/>
    </row>
    <row r="278" spans="1:6">
      <c r="A278" s="31"/>
      <c r="C278" s="31"/>
      <c r="D278" s="31"/>
      <c r="E278" s="31"/>
      <c r="F278" s="31"/>
    </row>
    <row r="279" spans="1:6">
      <c r="A279" s="31"/>
      <c r="C279" s="31"/>
      <c r="D279" s="31"/>
      <c r="E279" s="31"/>
      <c r="F279" s="31"/>
    </row>
    <row r="280" spans="1:6">
      <c r="A280" s="31"/>
      <c r="C280" s="31"/>
      <c r="D280" s="31"/>
      <c r="E280" s="31"/>
      <c r="F280" s="31"/>
    </row>
    <row r="281" spans="1:6">
      <c r="A281" s="31"/>
      <c r="C281" s="31"/>
      <c r="D281" s="31"/>
      <c r="E281" s="31"/>
      <c r="F281" s="31"/>
    </row>
    <row r="282" spans="1:6">
      <c r="A282" s="31"/>
      <c r="C282" s="31"/>
      <c r="D282" s="31"/>
      <c r="E282" s="31"/>
      <c r="F282" s="31"/>
    </row>
    <row r="283" spans="1:6">
      <c r="A283" s="31"/>
      <c r="C283" s="31"/>
      <c r="D283" s="31"/>
      <c r="E283" s="31"/>
      <c r="F283" s="31"/>
    </row>
    <row r="284" spans="1:6">
      <c r="A284" s="31"/>
      <c r="C284" s="31"/>
      <c r="D284" s="31"/>
      <c r="E284" s="31"/>
      <c r="F284" s="31"/>
    </row>
    <row r="285" spans="1:6">
      <c r="A285" s="31"/>
      <c r="C285" s="31"/>
      <c r="D285" s="31"/>
      <c r="E285" s="31"/>
      <c r="F285" s="31"/>
    </row>
    <row r="286" spans="1:6">
      <c r="A286" s="31"/>
      <c r="C286" s="31"/>
      <c r="D286" s="31"/>
      <c r="E286" s="31"/>
      <c r="F286" s="31"/>
    </row>
    <row r="287" spans="1:6">
      <c r="A287" s="31"/>
      <c r="C287" s="31"/>
      <c r="D287" s="31"/>
      <c r="E287" s="31"/>
      <c r="F287" s="31"/>
    </row>
    <row r="288" spans="1:6">
      <c r="A288" s="31"/>
      <c r="C288" s="31"/>
      <c r="D288" s="31"/>
      <c r="E288" s="31"/>
      <c r="F288" s="31"/>
    </row>
    <row r="289" spans="1:6">
      <c r="A289" s="31"/>
      <c r="C289" s="31"/>
      <c r="D289" s="31"/>
      <c r="E289" s="31"/>
      <c r="F289" s="31"/>
    </row>
    <row r="290" spans="1:6">
      <c r="A290" s="31"/>
      <c r="C290" s="31"/>
      <c r="D290" s="31"/>
      <c r="E290" s="31"/>
      <c r="F290" s="31"/>
    </row>
    <row r="291" spans="1:6">
      <c r="A291" s="31"/>
      <c r="C291" s="31"/>
      <c r="D291" s="31"/>
      <c r="E291" s="31"/>
      <c r="F291" s="31"/>
    </row>
    <row r="292" spans="1:6">
      <c r="A292" s="31"/>
      <c r="C292" s="31"/>
      <c r="D292" s="31"/>
      <c r="E292" s="31"/>
      <c r="F292" s="31"/>
    </row>
    <row r="293" spans="1:6">
      <c r="A293" s="31"/>
      <c r="C293" s="31"/>
      <c r="D293" s="31"/>
      <c r="E293" s="31"/>
      <c r="F293" s="31"/>
    </row>
    <row r="294" spans="1:6">
      <c r="A294" s="31"/>
      <c r="C294" s="31"/>
      <c r="D294" s="31"/>
      <c r="E294" s="31"/>
      <c r="F294" s="31"/>
    </row>
    <row r="295" spans="1:6">
      <c r="A295" s="31"/>
      <c r="C295" s="31"/>
      <c r="D295" s="31"/>
      <c r="E295" s="31"/>
      <c r="F295" s="31"/>
    </row>
    <row r="296" spans="1:6">
      <c r="A296" s="31"/>
      <c r="C296" s="31"/>
      <c r="D296" s="31"/>
      <c r="E296" s="31"/>
      <c r="F296" s="31"/>
    </row>
    <row r="297" spans="1:6">
      <c r="A297" s="31"/>
      <c r="C297" s="31"/>
      <c r="D297" s="31"/>
      <c r="E297" s="31"/>
      <c r="F297" s="31"/>
    </row>
    <row r="298" spans="1:6">
      <c r="A298" s="31"/>
      <c r="C298" s="31"/>
      <c r="D298" s="31"/>
      <c r="E298" s="31"/>
      <c r="F298" s="31"/>
    </row>
    <row r="299" spans="1:6">
      <c r="A299" s="31"/>
      <c r="C299" s="31"/>
      <c r="D299" s="31"/>
      <c r="E299" s="31"/>
      <c r="F299" s="31"/>
    </row>
    <row r="300" spans="1:6">
      <c r="A300" s="31"/>
      <c r="C300" s="31"/>
      <c r="D300" s="31"/>
      <c r="E300" s="31"/>
      <c r="F300" s="31"/>
    </row>
    <row r="301" spans="1:6">
      <c r="A301" s="31"/>
      <c r="C301" s="31"/>
      <c r="D301" s="31"/>
      <c r="E301" s="31"/>
      <c r="F301" s="31"/>
    </row>
    <row r="302" spans="1:6">
      <c r="A302" s="31"/>
      <c r="C302" s="31"/>
      <c r="D302" s="31"/>
      <c r="E302" s="31"/>
      <c r="F302" s="31"/>
    </row>
    <row r="303" spans="1:6">
      <c r="A303" s="31"/>
      <c r="C303" s="31"/>
      <c r="D303" s="31"/>
      <c r="E303" s="31"/>
      <c r="F303" s="31"/>
    </row>
    <row r="304" spans="1:6">
      <c r="A304" s="31"/>
      <c r="C304" s="31"/>
      <c r="D304" s="31"/>
      <c r="E304" s="31"/>
      <c r="F304" s="31"/>
    </row>
    <row r="305" spans="1:6">
      <c r="A305" s="31"/>
      <c r="C305" s="31"/>
      <c r="D305" s="31"/>
      <c r="E305" s="31"/>
      <c r="F305" s="31"/>
    </row>
    <row r="306" spans="1:6">
      <c r="A306" s="31"/>
      <c r="C306" s="31"/>
      <c r="D306" s="31"/>
      <c r="E306" s="31"/>
      <c r="F306" s="31"/>
    </row>
    <row r="307" spans="1:6">
      <c r="A307" s="31"/>
      <c r="C307" s="31"/>
      <c r="D307" s="31"/>
      <c r="E307" s="31"/>
      <c r="F307" s="31"/>
    </row>
    <row r="308" spans="1:6">
      <c r="A308" s="31"/>
      <c r="C308" s="31"/>
      <c r="D308" s="31"/>
      <c r="E308" s="31"/>
      <c r="F308" s="31"/>
    </row>
    <row r="309" spans="1:6">
      <c r="A309" s="31"/>
      <c r="C309" s="31"/>
      <c r="D309" s="31"/>
      <c r="E309" s="31"/>
      <c r="F309" s="31"/>
    </row>
    <row r="310" spans="1:6">
      <c r="A310" s="31"/>
      <c r="C310" s="31"/>
      <c r="D310" s="31"/>
      <c r="E310" s="31"/>
      <c r="F310" s="31"/>
    </row>
    <row r="311" spans="1:6">
      <c r="A311" s="31"/>
      <c r="C311" s="31"/>
      <c r="D311" s="31"/>
      <c r="E311" s="31"/>
      <c r="F311" s="31"/>
    </row>
    <row r="312" spans="1:6">
      <c r="A312" s="31"/>
      <c r="C312" s="31"/>
      <c r="D312" s="31"/>
      <c r="E312" s="31"/>
      <c r="F312" s="31"/>
    </row>
    <row r="313" spans="1:6">
      <c r="A313" s="31"/>
      <c r="C313" s="31"/>
      <c r="D313" s="31"/>
      <c r="E313" s="31"/>
      <c r="F313" s="31"/>
    </row>
    <row r="314" spans="1:6">
      <c r="A314" s="31"/>
      <c r="C314" s="31"/>
      <c r="D314" s="31"/>
      <c r="E314" s="31"/>
      <c r="F314" s="31"/>
    </row>
    <row r="315" spans="1:6">
      <c r="A315" s="31"/>
      <c r="C315" s="31"/>
      <c r="D315" s="31"/>
      <c r="E315" s="31"/>
      <c r="F315" s="31"/>
    </row>
    <row r="316" spans="1:6">
      <c r="A316" s="31"/>
      <c r="C316" s="31"/>
      <c r="D316" s="31"/>
      <c r="E316" s="31"/>
      <c r="F316" s="31"/>
    </row>
    <row r="317" spans="1:6">
      <c r="A317" s="31"/>
      <c r="C317" s="31"/>
      <c r="D317" s="31"/>
      <c r="E317" s="31"/>
      <c r="F317" s="31"/>
    </row>
    <row r="318" spans="1:6">
      <c r="A318" s="31"/>
      <c r="C318" s="31"/>
      <c r="D318" s="31"/>
      <c r="E318" s="31"/>
      <c r="F318" s="31"/>
    </row>
    <row r="319" spans="1:6">
      <c r="A319" s="31"/>
      <c r="C319" s="31"/>
      <c r="D319" s="31"/>
      <c r="E319" s="31"/>
      <c r="F319" s="31"/>
    </row>
    <row r="320" spans="1:6">
      <c r="A320" s="31"/>
      <c r="C320" s="31"/>
      <c r="D320" s="31"/>
      <c r="E320" s="31"/>
      <c r="F320" s="31"/>
    </row>
    <row r="321" spans="1:10">
      <c r="A321" s="31"/>
      <c r="C321" s="31"/>
      <c r="D321" s="31"/>
      <c r="E321" s="31"/>
      <c r="F321" s="31"/>
    </row>
    <row r="322" spans="1:10">
      <c r="A322" s="31"/>
      <c r="C322" s="31"/>
      <c r="D322" s="31"/>
      <c r="E322" s="31"/>
      <c r="F322" s="31"/>
    </row>
    <row r="323" spans="1:10">
      <c r="A323" s="31"/>
      <c r="C323" s="31"/>
      <c r="D323" s="31"/>
      <c r="E323" s="31"/>
      <c r="F323" s="31"/>
    </row>
    <row r="324" spans="1:10">
      <c r="A324" s="31"/>
      <c r="C324" s="31"/>
      <c r="D324" s="31"/>
      <c r="E324" s="31"/>
      <c r="F324" s="31"/>
    </row>
    <row r="325" spans="1:10">
      <c r="A325" s="31"/>
      <c r="C325" s="31"/>
      <c r="D325" s="31"/>
      <c r="E325" s="31"/>
      <c r="F325" s="31"/>
    </row>
    <row r="326" spans="1:10">
      <c r="A326" s="31"/>
      <c r="C326" s="31"/>
      <c r="D326" s="31"/>
      <c r="E326" s="31"/>
      <c r="F326" s="31"/>
      <c r="J326" s="8"/>
    </row>
    <row r="327" spans="1:10">
      <c r="A327" s="31"/>
      <c r="C327" s="31"/>
      <c r="D327" s="31"/>
      <c r="E327" s="31"/>
      <c r="F327" s="31"/>
      <c r="J327" s="8"/>
    </row>
    <row r="328" spans="1:10">
      <c r="A328" s="31"/>
      <c r="C328" s="31"/>
      <c r="D328" s="31"/>
      <c r="E328" s="31"/>
      <c r="F328" s="31"/>
      <c r="J328" s="8"/>
    </row>
    <row r="329" spans="1:10">
      <c r="A329" s="31"/>
      <c r="C329" s="31"/>
      <c r="D329" s="31"/>
      <c r="E329" s="31"/>
      <c r="F329" s="31"/>
    </row>
    <row r="330" spans="1:10">
      <c r="A330" s="31"/>
      <c r="C330" s="31"/>
      <c r="D330" s="31"/>
      <c r="E330" s="31"/>
      <c r="F330" s="31"/>
    </row>
    <row r="331" spans="1:10">
      <c r="A331" s="31"/>
      <c r="C331" s="31"/>
      <c r="D331" s="31"/>
      <c r="E331" s="31"/>
      <c r="F331" s="31"/>
    </row>
    <row r="332" spans="1:10">
      <c r="A332" s="31"/>
      <c r="C332" s="31"/>
      <c r="D332" s="31"/>
      <c r="E332" s="31"/>
      <c r="F332" s="31"/>
    </row>
    <row r="333" spans="1:10">
      <c r="A333" s="31"/>
      <c r="C333" s="31"/>
      <c r="D333" s="31"/>
      <c r="E333" s="31"/>
      <c r="F333" s="31"/>
    </row>
    <row r="334" spans="1:10">
      <c r="A334" s="31"/>
      <c r="C334" s="31"/>
      <c r="D334" s="31"/>
      <c r="E334" s="31"/>
      <c r="F334" s="31"/>
    </row>
    <row r="335" spans="1:10">
      <c r="A335" s="31"/>
      <c r="C335" s="31"/>
      <c r="D335" s="31"/>
      <c r="E335" s="31"/>
      <c r="F335" s="31"/>
    </row>
    <row r="336" spans="1:10">
      <c r="A336" s="31"/>
      <c r="C336" s="31"/>
      <c r="D336" s="31"/>
      <c r="E336" s="31"/>
      <c r="F336" s="31"/>
    </row>
    <row r="337" spans="1:6">
      <c r="A337" s="31"/>
      <c r="C337" s="31"/>
      <c r="D337" s="31"/>
      <c r="E337" s="31"/>
      <c r="F337" s="31"/>
    </row>
    <row r="338" spans="1:6">
      <c r="A338" s="31"/>
      <c r="C338" s="31"/>
      <c r="D338" s="31"/>
      <c r="E338" s="31"/>
      <c r="F338" s="31"/>
    </row>
    <row r="339" spans="1:6">
      <c r="A339" s="31"/>
      <c r="C339" s="31"/>
      <c r="D339" s="31"/>
      <c r="E339" s="31"/>
      <c r="F339" s="31"/>
    </row>
    <row r="340" spans="1:6">
      <c r="A340" s="31"/>
      <c r="C340" s="31"/>
      <c r="D340" s="31"/>
      <c r="E340" s="31"/>
      <c r="F340" s="31"/>
    </row>
    <row r="341" spans="1:6">
      <c r="A341" s="31"/>
      <c r="C341" s="31"/>
      <c r="D341" s="31"/>
      <c r="E341" s="31"/>
      <c r="F341" s="31"/>
    </row>
    <row r="342" spans="1:6">
      <c r="A342" s="31"/>
      <c r="C342" s="31"/>
      <c r="D342" s="31"/>
      <c r="E342" s="31"/>
      <c r="F342" s="31"/>
    </row>
    <row r="343" spans="1:6">
      <c r="A343" s="31"/>
      <c r="C343" s="31"/>
      <c r="D343" s="31"/>
      <c r="E343" s="31"/>
      <c r="F343" s="31"/>
    </row>
    <row r="344" spans="1:6">
      <c r="A344" s="31"/>
      <c r="C344" s="31"/>
      <c r="D344" s="31"/>
      <c r="E344" s="31"/>
      <c r="F344" s="31"/>
    </row>
    <row r="345" spans="1:6">
      <c r="A345" s="31"/>
      <c r="C345" s="31"/>
      <c r="D345" s="31"/>
      <c r="E345" s="31"/>
      <c r="F345" s="31"/>
    </row>
    <row r="346" spans="1:6">
      <c r="A346" s="31"/>
      <c r="C346" s="31"/>
      <c r="D346" s="31"/>
      <c r="E346" s="31"/>
      <c r="F346" s="31"/>
    </row>
    <row r="347" spans="1:6">
      <c r="A347" s="31"/>
      <c r="C347" s="31"/>
      <c r="D347" s="31"/>
      <c r="E347" s="31"/>
      <c r="F347" s="31"/>
    </row>
    <row r="348" spans="1:6">
      <c r="A348" s="31"/>
      <c r="C348" s="31"/>
      <c r="D348" s="31"/>
      <c r="E348" s="31"/>
      <c r="F348" s="31"/>
    </row>
    <row r="349" spans="1:6">
      <c r="A349" s="31"/>
      <c r="C349" s="31"/>
      <c r="D349" s="31"/>
      <c r="E349" s="31"/>
      <c r="F349" s="31"/>
    </row>
    <row r="350" spans="1:6">
      <c r="A350" s="31"/>
      <c r="C350" s="31"/>
      <c r="D350" s="31"/>
      <c r="E350" s="31"/>
      <c r="F350" s="31"/>
    </row>
    <row r="351" spans="1:6">
      <c r="A351" s="31"/>
      <c r="C351" s="31"/>
      <c r="D351" s="31"/>
      <c r="E351" s="31"/>
      <c r="F351" s="31"/>
    </row>
    <row r="352" spans="1:6">
      <c r="A352" s="31"/>
      <c r="C352" s="31"/>
      <c r="D352" s="31"/>
      <c r="E352" s="31"/>
      <c r="F352" s="31"/>
    </row>
    <row r="353" spans="1:6">
      <c r="A353" s="31"/>
      <c r="C353" s="31"/>
      <c r="D353" s="31"/>
      <c r="E353" s="31"/>
      <c r="F353" s="31"/>
    </row>
    <row r="354" spans="1:6">
      <c r="A354" s="31"/>
      <c r="C354" s="31"/>
      <c r="D354" s="31"/>
      <c r="E354" s="31"/>
      <c r="F354" s="31"/>
    </row>
    <row r="355" spans="1:6">
      <c r="A355" s="31"/>
      <c r="C355" s="31"/>
      <c r="D355" s="31"/>
      <c r="E355" s="31"/>
      <c r="F355" s="31"/>
    </row>
    <row r="356" spans="1:6">
      <c r="A356" s="31"/>
      <c r="C356" s="31"/>
      <c r="D356" s="31"/>
      <c r="E356" s="31"/>
      <c r="F356" s="31"/>
    </row>
    <row r="357" spans="1:6">
      <c r="A357" s="31"/>
      <c r="C357" s="31"/>
      <c r="D357" s="31"/>
      <c r="E357" s="31"/>
      <c r="F357" s="31"/>
    </row>
    <row r="358" spans="1:6">
      <c r="A358" s="31"/>
      <c r="C358" s="31"/>
      <c r="D358" s="31"/>
      <c r="E358" s="31"/>
      <c r="F358" s="31"/>
    </row>
    <row r="359" spans="1:6">
      <c r="A359" s="31"/>
      <c r="C359" s="31"/>
      <c r="D359" s="31"/>
      <c r="E359" s="31"/>
      <c r="F359" s="31"/>
    </row>
    <row r="360" spans="1:6">
      <c r="A360" s="31"/>
      <c r="C360" s="31"/>
      <c r="D360" s="31"/>
      <c r="E360" s="31"/>
      <c r="F360" s="31"/>
    </row>
    <row r="361" spans="1:6">
      <c r="A361" s="31"/>
      <c r="C361" s="31"/>
      <c r="D361" s="31"/>
      <c r="E361" s="31"/>
      <c r="F361" s="31"/>
    </row>
    <row r="362" spans="1:6">
      <c r="A362" s="31"/>
      <c r="C362" s="31"/>
      <c r="D362" s="31"/>
      <c r="E362" s="31"/>
      <c r="F362" s="31"/>
    </row>
    <row r="363" spans="1:6">
      <c r="A363" s="31"/>
      <c r="C363" s="31"/>
      <c r="D363" s="31"/>
      <c r="E363" s="31"/>
      <c r="F363" s="31"/>
    </row>
    <row r="364" spans="1:6">
      <c r="A364" s="31"/>
      <c r="C364" s="31"/>
      <c r="D364" s="31"/>
      <c r="E364" s="31"/>
      <c r="F364" s="31"/>
    </row>
    <row r="365" spans="1:6">
      <c r="A365" s="31"/>
      <c r="C365" s="31"/>
      <c r="D365" s="31"/>
      <c r="E365" s="31"/>
      <c r="F365" s="31"/>
    </row>
    <row r="366" spans="1:6">
      <c r="A366" s="31"/>
      <c r="C366" s="31"/>
      <c r="D366" s="31"/>
      <c r="E366" s="31"/>
      <c r="F366" s="31"/>
    </row>
    <row r="367" spans="1:6">
      <c r="A367" s="31"/>
      <c r="C367" s="31"/>
      <c r="D367" s="31"/>
      <c r="E367" s="31"/>
      <c r="F367" s="31"/>
    </row>
    <row r="368" spans="1:6">
      <c r="A368" s="31"/>
      <c r="C368" s="31"/>
      <c r="D368" s="31"/>
      <c r="E368" s="31"/>
      <c r="F368" s="31"/>
    </row>
    <row r="369" spans="1:6">
      <c r="A369" s="31"/>
      <c r="C369" s="31"/>
      <c r="D369" s="31"/>
      <c r="E369" s="31"/>
      <c r="F369" s="31"/>
    </row>
    <row r="370" spans="1:6">
      <c r="A370" s="31"/>
      <c r="C370" s="31"/>
      <c r="D370" s="31"/>
      <c r="E370" s="31"/>
      <c r="F370" s="31"/>
    </row>
    <row r="371" spans="1:6">
      <c r="A371" s="31"/>
      <c r="C371" s="31"/>
      <c r="D371" s="31"/>
      <c r="E371" s="31"/>
      <c r="F371" s="31"/>
    </row>
    <row r="372" spans="1:6">
      <c r="A372" s="31"/>
      <c r="C372" s="31"/>
      <c r="D372" s="31"/>
      <c r="E372" s="31"/>
      <c r="F372" s="31"/>
    </row>
    <row r="373" spans="1:6">
      <c r="A373" s="31"/>
      <c r="C373" s="31"/>
      <c r="D373" s="31"/>
      <c r="E373" s="31"/>
      <c r="F373" s="31"/>
    </row>
    <row r="374" spans="1:6">
      <c r="A374" s="31"/>
      <c r="C374" s="31"/>
      <c r="D374" s="31"/>
      <c r="E374" s="31"/>
      <c r="F374" s="31"/>
    </row>
    <row r="375" spans="1:6">
      <c r="A375" s="31"/>
      <c r="C375" s="31"/>
      <c r="D375" s="31"/>
      <c r="E375" s="31"/>
      <c r="F375" s="31"/>
    </row>
    <row r="376" spans="1:6">
      <c r="A376" s="31"/>
      <c r="C376" s="31"/>
      <c r="D376" s="31"/>
      <c r="E376" s="31"/>
      <c r="F376" s="31"/>
    </row>
    <row r="377" spans="1:6">
      <c r="A377" s="31"/>
      <c r="C377" s="31"/>
      <c r="D377" s="31"/>
      <c r="E377" s="31"/>
      <c r="F377" s="31"/>
    </row>
    <row r="378" spans="1:6">
      <c r="A378" s="31"/>
      <c r="C378" s="31"/>
      <c r="D378" s="31"/>
      <c r="E378" s="31"/>
      <c r="F378" s="31"/>
    </row>
    <row r="379" spans="1:6">
      <c r="A379" s="31"/>
      <c r="C379" s="31"/>
      <c r="D379" s="31"/>
      <c r="E379" s="31"/>
      <c r="F379" s="31"/>
    </row>
    <row r="380" spans="1:6">
      <c r="A380" s="31"/>
      <c r="C380" s="31"/>
      <c r="D380" s="31"/>
      <c r="E380" s="31"/>
      <c r="F380" s="31"/>
    </row>
    <row r="381" spans="1:6">
      <c r="A381" s="31"/>
      <c r="C381" s="31"/>
      <c r="D381" s="31"/>
      <c r="E381" s="31"/>
      <c r="F381" s="31"/>
    </row>
    <row r="382" spans="1:6">
      <c r="A382" s="31"/>
      <c r="C382" s="31"/>
      <c r="D382" s="31"/>
      <c r="E382" s="31"/>
      <c r="F382" s="31"/>
    </row>
    <row r="383" spans="1:6">
      <c r="A383" s="31"/>
      <c r="C383" s="31"/>
      <c r="D383" s="31"/>
      <c r="E383" s="31"/>
      <c r="F383" s="31"/>
    </row>
    <row r="384" spans="1:6">
      <c r="A384" s="31"/>
      <c r="C384" s="31"/>
      <c r="D384" s="31"/>
      <c r="E384" s="31"/>
      <c r="F384" s="31"/>
    </row>
    <row r="385" spans="1:6">
      <c r="A385" s="31"/>
      <c r="C385" s="31"/>
      <c r="D385" s="31"/>
      <c r="E385" s="31"/>
      <c r="F385" s="31"/>
    </row>
    <row r="386" spans="1:6">
      <c r="A386" s="31"/>
      <c r="C386" s="31"/>
      <c r="D386" s="31"/>
      <c r="E386" s="31"/>
      <c r="F386" s="31"/>
    </row>
    <row r="387" spans="1:6">
      <c r="A387" s="31"/>
      <c r="C387" s="31"/>
      <c r="D387" s="31"/>
      <c r="E387" s="31"/>
      <c r="F387" s="31"/>
    </row>
    <row r="388" spans="1:6">
      <c r="A388" s="31"/>
      <c r="C388" s="31"/>
      <c r="D388" s="31"/>
      <c r="E388" s="31"/>
      <c r="F388" s="31"/>
    </row>
    <row r="389" spans="1:6">
      <c r="A389" s="31"/>
      <c r="C389" s="31"/>
      <c r="D389" s="31"/>
      <c r="E389" s="31"/>
      <c r="F389" s="31"/>
    </row>
    <row r="390" spans="1:6">
      <c r="A390" s="31"/>
      <c r="C390" s="31"/>
      <c r="D390" s="31"/>
      <c r="E390" s="31"/>
      <c r="F390" s="31"/>
    </row>
    <row r="391" spans="1:6">
      <c r="A391" s="31"/>
      <c r="C391" s="31"/>
      <c r="D391" s="31"/>
      <c r="E391" s="31"/>
      <c r="F391" s="31"/>
    </row>
    <row r="392" spans="1:6">
      <c r="A392" s="31"/>
      <c r="C392" s="31"/>
      <c r="D392" s="31"/>
      <c r="E392" s="31"/>
      <c r="F392" s="31"/>
    </row>
    <row r="393" spans="1:6">
      <c r="A393" s="31"/>
      <c r="C393" s="31"/>
      <c r="D393" s="31"/>
      <c r="E393" s="31"/>
      <c r="F393" s="31"/>
    </row>
    <row r="394" spans="1:6">
      <c r="A394" s="31"/>
      <c r="C394" s="31"/>
      <c r="D394" s="31"/>
      <c r="E394" s="31"/>
      <c r="F394" s="31"/>
    </row>
    <row r="395" spans="1:6">
      <c r="A395" s="31"/>
      <c r="C395" s="31"/>
      <c r="D395" s="31"/>
      <c r="E395" s="31"/>
      <c r="F395" s="31"/>
    </row>
    <row r="396" spans="1:6">
      <c r="A396" s="31"/>
      <c r="C396" s="31"/>
      <c r="D396" s="31"/>
      <c r="E396" s="31"/>
      <c r="F396" s="31"/>
    </row>
    <row r="397" spans="1:6">
      <c r="A397" s="31"/>
      <c r="C397" s="31"/>
      <c r="D397" s="31"/>
      <c r="E397" s="31"/>
      <c r="F397" s="31"/>
    </row>
    <row r="398" spans="1:6">
      <c r="A398" s="31"/>
      <c r="C398" s="31"/>
      <c r="D398" s="31"/>
      <c r="E398" s="31"/>
      <c r="F398" s="31"/>
    </row>
    <row r="399" spans="1:6">
      <c r="A399" s="31"/>
      <c r="C399" s="31"/>
      <c r="D399" s="31"/>
      <c r="E399" s="31"/>
      <c r="F399" s="31"/>
    </row>
    <row r="400" spans="1:6">
      <c r="A400" s="31"/>
      <c r="C400" s="31"/>
      <c r="D400" s="31"/>
      <c r="E400" s="31"/>
      <c r="F400" s="31"/>
    </row>
    <row r="401" spans="1:6">
      <c r="A401" s="31"/>
      <c r="C401" s="31"/>
      <c r="D401" s="31"/>
      <c r="E401" s="31"/>
      <c r="F401" s="31"/>
    </row>
    <row r="402" spans="1:6">
      <c r="A402" s="31"/>
      <c r="C402" s="31"/>
      <c r="D402" s="31"/>
      <c r="E402" s="31"/>
      <c r="F402" s="31"/>
    </row>
    <row r="403" spans="1:6">
      <c r="A403" s="31"/>
      <c r="C403" s="31"/>
      <c r="D403" s="31"/>
      <c r="E403" s="31"/>
      <c r="F403" s="31"/>
    </row>
    <row r="404" spans="1:6">
      <c r="A404" s="31"/>
      <c r="C404" s="31"/>
      <c r="D404" s="31"/>
      <c r="E404" s="31"/>
      <c r="F404" s="31"/>
    </row>
    <row r="405" spans="1:6">
      <c r="A405" s="31"/>
      <c r="C405" s="31"/>
      <c r="D405" s="31"/>
      <c r="E405" s="31"/>
      <c r="F405" s="31"/>
    </row>
    <row r="406" spans="1:6">
      <c r="A406" s="31"/>
      <c r="C406" s="31"/>
      <c r="D406" s="31"/>
      <c r="E406" s="31"/>
      <c r="F406" s="31"/>
    </row>
    <row r="407" spans="1:6">
      <c r="A407" s="31"/>
      <c r="C407" s="31"/>
      <c r="D407" s="31"/>
      <c r="E407" s="31"/>
      <c r="F407" s="31"/>
    </row>
    <row r="408" spans="1:6">
      <c r="A408" s="31"/>
      <c r="C408" s="31"/>
      <c r="D408" s="31"/>
      <c r="E408" s="31"/>
      <c r="F408" s="31"/>
    </row>
    <row r="409" spans="1:6">
      <c r="A409" s="31"/>
      <c r="C409" s="31"/>
      <c r="D409" s="31"/>
      <c r="E409" s="31"/>
      <c r="F409" s="31"/>
    </row>
    <row r="410" spans="1:6">
      <c r="A410" s="31"/>
      <c r="C410" s="31"/>
      <c r="D410" s="31"/>
      <c r="E410" s="31"/>
      <c r="F410" s="31"/>
    </row>
    <row r="411" spans="1:6">
      <c r="A411" s="31"/>
      <c r="C411" s="31"/>
      <c r="D411" s="31"/>
      <c r="E411" s="31"/>
      <c r="F411" s="31"/>
    </row>
    <row r="412" spans="1:6">
      <c r="A412" s="31"/>
      <c r="C412" s="31"/>
      <c r="D412" s="31"/>
      <c r="E412" s="31"/>
      <c r="F412" s="31"/>
    </row>
    <row r="413" spans="1:6">
      <c r="A413" s="31"/>
      <c r="C413" s="31"/>
      <c r="D413" s="31"/>
      <c r="E413" s="31"/>
      <c r="F413" s="31"/>
    </row>
    <row r="414" spans="1:6">
      <c r="A414" s="31"/>
      <c r="C414" s="31"/>
      <c r="D414" s="31"/>
      <c r="E414" s="31"/>
      <c r="F414" s="31"/>
    </row>
    <row r="415" spans="1:6">
      <c r="A415" s="31"/>
      <c r="C415" s="31"/>
      <c r="D415" s="31"/>
      <c r="E415" s="31"/>
      <c r="F415" s="31"/>
    </row>
    <row r="416" spans="1:6">
      <c r="A416" s="31"/>
      <c r="C416" s="31"/>
      <c r="D416" s="31"/>
      <c r="E416" s="31"/>
      <c r="F416" s="31"/>
    </row>
    <row r="417" spans="1:6">
      <c r="A417" s="31"/>
      <c r="C417" s="31"/>
      <c r="D417" s="31"/>
      <c r="E417" s="31"/>
      <c r="F417" s="31"/>
    </row>
    <row r="418" spans="1:6">
      <c r="A418" s="31"/>
      <c r="C418" s="31"/>
      <c r="D418" s="31"/>
      <c r="E418" s="31"/>
      <c r="F418" s="31"/>
    </row>
    <row r="419" spans="1:6">
      <c r="A419" s="31"/>
      <c r="C419" s="31"/>
      <c r="D419" s="31"/>
      <c r="E419" s="31"/>
      <c r="F419" s="31"/>
    </row>
    <row r="420" spans="1:6">
      <c r="A420" s="31"/>
      <c r="C420" s="31"/>
      <c r="D420" s="31"/>
      <c r="E420" s="31"/>
      <c r="F420" s="31"/>
    </row>
    <row r="421" spans="1:6">
      <c r="A421" s="31"/>
      <c r="C421" s="31"/>
      <c r="D421" s="31"/>
      <c r="E421" s="31"/>
      <c r="F421" s="31"/>
    </row>
    <row r="422" spans="1:6">
      <c r="A422" s="31"/>
      <c r="C422" s="31"/>
      <c r="D422" s="31"/>
      <c r="E422" s="31"/>
      <c r="F422" s="31"/>
    </row>
    <row r="423" spans="1:6">
      <c r="A423" s="31"/>
      <c r="C423" s="31"/>
      <c r="D423" s="31"/>
      <c r="E423" s="31"/>
      <c r="F423" s="31"/>
    </row>
    <row r="424" spans="1:6">
      <c r="A424" s="31"/>
      <c r="C424" s="31"/>
      <c r="D424" s="31"/>
      <c r="E424" s="31"/>
      <c r="F424" s="31"/>
    </row>
    <row r="425" spans="1:6">
      <c r="A425" s="31"/>
      <c r="C425" s="31"/>
      <c r="D425" s="31"/>
      <c r="E425" s="31"/>
      <c r="F425" s="31"/>
    </row>
    <row r="426" spans="1:6">
      <c r="A426" s="31"/>
      <c r="C426" s="31"/>
      <c r="D426" s="31"/>
      <c r="E426" s="31"/>
      <c r="F426" s="31"/>
    </row>
    <row r="427" spans="1:6">
      <c r="A427" s="31"/>
      <c r="C427" s="31"/>
      <c r="D427" s="31"/>
      <c r="E427" s="31"/>
      <c r="F427" s="31"/>
    </row>
    <row r="428" spans="1:6">
      <c r="A428" s="31"/>
      <c r="C428" s="31"/>
      <c r="D428" s="31"/>
      <c r="E428" s="31"/>
      <c r="F428" s="31"/>
    </row>
    <row r="429" spans="1:6">
      <c r="A429" s="31"/>
      <c r="C429" s="31"/>
      <c r="D429" s="31"/>
      <c r="E429" s="31"/>
      <c r="F429" s="31"/>
    </row>
    <row r="430" spans="1:6">
      <c r="A430" s="31"/>
      <c r="C430" s="31"/>
      <c r="D430" s="31"/>
      <c r="E430" s="31"/>
      <c r="F430" s="31"/>
    </row>
    <row r="431" spans="1:6">
      <c r="A431" s="31"/>
      <c r="C431" s="31"/>
      <c r="D431" s="31"/>
      <c r="E431" s="31"/>
      <c r="F431" s="31"/>
    </row>
    <row r="432" spans="1:6">
      <c r="A432" s="31"/>
      <c r="C432" s="31"/>
      <c r="D432" s="31"/>
      <c r="E432" s="31"/>
      <c r="F432" s="31"/>
    </row>
    <row r="433" spans="1:6">
      <c r="A433" s="31"/>
      <c r="C433" s="31"/>
      <c r="D433" s="31"/>
      <c r="E433" s="31"/>
      <c r="F433" s="31"/>
    </row>
    <row r="434" spans="1:6">
      <c r="A434" s="31"/>
      <c r="C434" s="31"/>
      <c r="D434" s="31"/>
      <c r="E434" s="31"/>
      <c r="F434" s="31"/>
    </row>
    <row r="435" spans="1:6">
      <c r="A435" s="31"/>
      <c r="C435" s="31"/>
      <c r="D435" s="31"/>
      <c r="E435" s="31"/>
      <c r="F435" s="31"/>
    </row>
    <row r="436" spans="1:6">
      <c r="A436" s="31"/>
      <c r="C436" s="31"/>
      <c r="D436" s="31"/>
      <c r="E436" s="31"/>
      <c r="F436" s="31"/>
    </row>
    <row r="437" spans="1:6">
      <c r="A437" s="31"/>
      <c r="C437" s="31"/>
      <c r="D437" s="31"/>
      <c r="E437" s="31"/>
      <c r="F437" s="31"/>
    </row>
    <row r="438" spans="1:6">
      <c r="A438" s="31"/>
      <c r="C438" s="31"/>
      <c r="D438" s="31"/>
      <c r="E438" s="31"/>
      <c r="F438" s="31"/>
    </row>
    <row r="439" spans="1:6">
      <c r="A439" s="31"/>
      <c r="C439" s="31"/>
      <c r="D439" s="31"/>
      <c r="E439" s="31"/>
      <c r="F439" s="31"/>
    </row>
    <row r="440" spans="1:6">
      <c r="A440" s="31"/>
      <c r="C440" s="31"/>
      <c r="D440" s="31"/>
      <c r="E440" s="31"/>
      <c r="F440" s="31"/>
    </row>
    <row r="441" spans="1:6">
      <c r="A441" s="31"/>
      <c r="C441" s="31"/>
      <c r="D441" s="31"/>
      <c r="E441" s="31"/>
      <c r="F441" s="31"/>
    </row>
    <row r="442" spans="1:6">
      <c r="A442" s="31"/>
      <c r="C442" s="31"/>
      <c r="D442" s="31"/>
      <c r="E442" s="31"/>
      <c r="F442" s="31"/>
    </row>
    <row r="443" spans="1:6">
      <c r="A443" s="31"/>
      <c r="C443" s="31"/>
      <c r="D443" s="31"/>
      <c r="E443" s="31"/>
      <c r="F443" s="31"/>
    </row>
    <row r="444" spans="1:6">
      <c r="A444" s="31"/>
      <c r="C444" s="31"/>
      <c r="D444" s="31"/>
      <c r="E444" s="31"/>
      <c r="F444" s="31"/>
    </row>
    <row r="445" spans="1:6">
      <c r="A445" s="31"/>
      <c r="C445" s="31"/>
      <c r="D445" s="31"/>
      <c r="E445" s="31"/>
      <c r="F445" s="31"/>
    </row>
    <row r="446" spans="1:6">
      <c r="A446" s="31"/>
      <c r="C446" s="31"/>
      <c r="D446" s="31"/>
      <c r="E446" s="31"/>
      <c r="F446" s="31"/>
    </row>
    <row r="447" spans="1:6">
      <c r="A447" s="31"/>
      <c r="C447" s="31"/>
      <c r="D447" s="31"/>
      <c r="E447" s="31"/>
      <c r="F447" s="31"/>
    </row>
    <row r="448" spans="1:6">
      <c r="A448" s="31"/>
      <c r="C448" s="31"/>
      <c r="D448" s="31"/>
      <c r="E448" s="31"/>
      <c r="F448" s="31"/>
    </row>
    <row r="449" spans="1:6">
      <c r="A449" s="31"/>
      <c r="C449" s="31"/>
      <c r="D449" s="31"/>
      <c r="E449" s="31"/>
      <c r="F449" s="31"/>
    </row>
    <row r="450" spans="1:6">
      <c r="A450" s="31"/>
      <c r="C450" s="31"/>
      <c r="D450" s="31"/>
      <c r="E450" s="31"/>
      <c r="F450" s="31"/>
    </row>
    <row r="451" spans="1:6">
      <c r="A451" s="31"/>
      <c r="C451" s="31"/>
      <c r="D451" s="31"/>
      <c r="E451" s="31"/>
      <c r="F451" s="31"/>
    </row>
    <row r="452" spans="1:6">
      <c r="A452" s="31"/>
      <c r="C452" s="31"/>
      <c r="D452" s="31"/>
      <c r="E452" s="31"/>
      <c r="F452" s="31"/>
    </row>
    <row r="453" spans="1:6">
      <c r="A453" s="31"/>
      <c r="C453" s="31"/>
      <c r="D453" s="31"/>
      <c r="E453" s="31"/>
      <c r="F453" s="31"/>
    </row>
    <row r="454" spans="1:6">
      <c r="A454" s="31"/>
      <c r="C454" s="31"/>
      <c r="D454" s="31"/>
      <c r="E454" s="31"/>
      <c r="F454" s="31"/>
    </row>
    <row r="455" spans="1:6">
      <c r="A455" s="31"/>
      <c r="C455" s="31"/>
      <c r="D455" s="31"/>
      <c r="E455" s="31"/>
      <c r="F455" s="31"/>
    </row>
    <row r="456" spans="1:6">
      <c r="A456" s="31"/>
      <c r="C456" s="31"/>
      <c r="D456" s="31"/>
      <c r="E456" s="31"/>
      <c r="F456" s="31"/>
    </row>
    <row r="457" spans="1:6">
      <c r="A457" s="31"/>
      <c r="C457" s="31"/>
      <c r="D457" s="31"/>
      <c r="E457" s="31"/>
      <c r="F457" s="31"/>
    </row>
    <row r="458" spans="1:6">
      <c r="A458" s="31"/>
      <c r="C458" s="31"/>
      <c r="D458" s="31"/>
      <c r="E458" s="31"/>
      <c r="F458" s="31"/>
    </row>
    <row r="459" spans="1:6">
      <c r="A459" s="31"/>
      <c r="C459" s="31"/>
      <c r="D459" s="31"/>
      <c r="E459" s="31"/>
      <c r="F459" s="31"/>
    </row>
    <row r="460" spans="1:6">
      <c r="A460" s="31"/>
      <c r="C460" s="31"/>
      <c r="D460" s="31"/>
      <c r="E460" s="31"/>
      <c r="F460" s="31"/>
    </row>
    <row r="461" spans="1:6">
      <c r="A461" s="31"/>
      <c r="C461" s="31"/>
      <c r="D461" s="31"/>
      <c r="E461" s="31"/>
      <c r="F461" s="31"/>
    </row>
    <row r="462" spans="1:6">
      <c r="A462" s="31"/>
      <c r="C462" s="31"/>
      <c r="D462" s="31"/>
      <c r="E462" s="31"/>
      <c r="F462" s="31"/>
    </row>
    <row r="463" spans="1:6">
      <c r="A463" s="31"/>
      <c r="C463" s="31"/>
      <c r="D463" s="31"/>
      <c r="E463" s="31"/>
      <c r="F463" s="31"/>
    </row>
    <row r="464" spans="1:6">
      <c r="A464" s="31"/>
      <c r="C464" s="31"/>
      <c r="D464" s="31"/>
      <c r="E464" s="31"/>
      <c r="F464" s="31"/>
    </row>
    <row r="465" spans="1:6">
      <c r="A465" s="31"/>
      <c r="C465" s="31"/>
      <c r="D465" s="31"/>
      <c r="E465" s="31"/>
      <c r="F465" s="31"/>
    </row>
    <row r="466" spans="1:6">
      <c r="A466" s="31"/>
      <c r="C466" s="31"/>
      <c r="D466" s="31"/>
      <c r="E466" s="31"/>
      <c r="F466" s="31"/>
    </row>
    <row r="467" spans="1:6">
      <c r="A467" s="31"/>
      <c r="C467" s="31"/>
      <c r="D467" s="31"/>
      <c r="E467" s="31"/>
      <c r="F467" s="31"/>
    </row>
    <row r="468" spans="1:6">
      <c r="A468" s="31"/>
      <c r="C468" s="31"/>
      <c r="D468" s="31"/>
      <c r="E468" s="31"/>
      <c r="F468" s="31"/>
    </row>
    <row r="469" spans="1:6">
      <c r="A469" s="31"/>
      <c r="C469" s="31"/>
      <c r="D469" s="31"/>
      <c r="E469" s="31"/>
      <c r="F469" s="31"/>
    </row>
    <row r="470" spans="1:6">
      <c r="A470" s="31"/>
      <c r="C470" s="31"/>
      <c r="D470" s="31"/>
      <c r="E470" s="31"/>
      <c r="F470" s="31"/>
    </row>
    <row r="471" spans="1:6">
      <c r="A471" s="31"/>
      <c r="C471" s="31"/>
      <c r="D471" s="31"/>
      <c r="E471" s="31"/>
      <c r="F471" s="31"/>
    </row>
    <row r="472" spans="1:6">
      <c r="A472" s="31"/>
      <c r="C472" s="31"/>
      <c r="D472" s="31"/>
      <c r="E472" s="31"/>
      <c r="F472" s="31"/>
    </row>
    <row r="473" spans="1:6">
      <c r="A473" s="31"/>
      <c r="C473" s="31"/>
      <c r="D473" s="31"/>
      <c r="E473" s="31"/>
      <c r="F473" s="31"/>
    </row>
    <row r="474" spans="1:6">
      <c r="A474" s="31"/>
      <c r="C474" s="31"/>
      <c r="D474" s="31"/>
      <c r="E474" s="31"/>
      <c r="F474" s="31"/>
    </row>
    <row r="475" spans="1:6">
      <c r="A475" s="31"/>
      <c r="C475" s="31"/>
      <c r="D475" s="31"/>
      <c r="E475" s="31"/>
      <c r="F475" s="31"/>
    </row>
    <row r="476" spans="1:6">
      <c r="A476" s="31"/>
      <c r="C476" s="31"/>
      <c r="D476" s="31"/>
      <c r="E476" s="31"/>
      <c r="F476" s="31"/>
    </row>
    <row r="477" spans="1:6">
      <c r="A477" s="31"/>
      <c r="C477" s="31"/>
      <c r="D477" s="31"/>
      <c r="E477" s="31"/>
      <c r="F477" s="31"/>
    </row>
    <row r="478" spans="1:6">
      <c r="A478" s="31"/>
      <c r="C478" s="31"/>
      <c r="D478" s="31"/>
      <c r="E478" s="31"/>
      <c r="F478" s="31"/>
    </row>
    <row r="479" spans="1:6">
      <c r="A479" s="31"/>
      <c r="C479" s="31"/>
      <c r="D479" s="31"/>
      <c r="E479" s="31"/>
      <c r="F479" s="31"/>
    </row>
    <row r="480" spans="1:6">
      <c r="A480" s="31"/>
      <c r="C480" s="31"/>
      <c r="D480" s="31"/>
      <c r="E480" s="31"/>
      <c r="F480" s="31"/>
    </row>
    <row r="481" spans="1:6">
      <c r="A481" s="31"/>
      <c r="C481" s="31"/>
      <c r="D481" s="31"/>
      <c r="E481" s="31"/>
      <c r="F481" s="31"/>
    </row>
    <row r="482" spans="1:6">
      <c r="A482" s="31"/>
      <c r="C482" s="31"/>
      <c r="D482" s="31"/>
      <c r="E482" s="31"/>
      <c r="F482" s="31"/>
    </row>
    <row r="483" spans="1:6">
      <c r="A483" s="31"/>
      <c r="C483" s="31"/>
      <c r="D483" s="31"/>
      <c r="E483" s="31"/>
      <c r="F483" s="31"/>
    </row>
    <row r="484" spans="1:6">
      <c r="A484" s="31"/>
      <c r="C484" s="31"/>
      <c r="D484" s="31"/>
      <c r="E484" s="31"/>
      <c r="F484" s="31"/>
    </row>
    <row r="485" spans="1:6">
      <c r="A485" s="31"/>
      <c r="C485" s="31"/>
      <c r="D485" s="31"/>
      <c r="E485" s="31"/>
      <c r="F485" s="31"/>
    </row>
    <row r="486" spans="1:6">
      <c r="A486" s="31"/>
      <c r="C486" s="31"/>
      <c r="D486" s="31"/>
      <c r="E486" s="31"/>
      <c r="F486" s="31"/>
    </row>
    <row r="487" spans="1:6">
      <c r="A487" s="31"/>
      <c r="C487" s="31"/>
      <c r="D487" s="31"/>
      <c r="E487" s="31"/>
      <c r="F487" s="31"/>
    </row>
    <row r="488" spans="1:6">
      <c r="A488" s="31"/>
      <c r="C488" s="31"/>
      <c r="D488" s="31"/>
      <c r="E488" s="31"/>
      <c r="F488" s="31"/>
    </row>
    <row r="489" spans="1:6">
      <c r="A489" s="31"/>
      <c r="C489" s="31"/>
      <c r="D489" s="31"/>
      <c r="E489" s="31"/>
      <c r="F489" s="31"/>
    </row>
    <row r="490" spans="1:6">
      <c r="A490" s="31"/>
      <c r="C490" s="31"/>
      <c r="D490" s="31"/>
      <c r="E490" s="31"/>
      <c r="F490" s="31"/>
    </row>
    <row r="491" spans="1:6">
      <c r="A491" s="31"/>
      <c r="C491" s="31"/>
      <c r="D491" s="31"/>
      <c r="E491" s="31"/>
      <c r="F491" s="31"/>
    </row>
    <row r="492" spans="1:6">
      <c r="A492" s="31"/>
      <c r="C492" s="31"/>
      <c r="D492" s="31"/>
      <c r="E492" s="31"/>
      <c r="F492" s="31"/>
    </row>
    <row r="493" spans="1:6">
      <c r="A493" s="31"/>
      <c r="C493" s="31"/>
      <c r="D493" s="31"/>
      <c r="E493" s="31"/>
      <c r="F493" s="31"/>
    </row>
    <row r="494" spans="1:6">
      <c r="A494" s="31"/>
      <c r="C494" s="31"/>
      <c r="D494" s="31"/>
      <c r="E494" s="31"/>
      <c r="F494" s="31"/>
    </row>
    <row r="495" spans="1:6">
      <c r="A495" s="31"/>
      <c r="C495" s="31"/>
      <c r="D495" s="31"/>
      <c r="E495" s="31"/>
      <c r="F495" s="31"/>
    </row>
    <row r="496" spans="1:6">
      <c r="A496" s="31"/>
      <c r="C496" s="31"/>
      <c r="D496" s="31"/>
      <c r="E496" s="31"/>
      <c r="F496" s="31"/>
    </row>
    <row r="497" spans="1:6">
      <c r="A497" s="31"/>
      <c r="C497" s="31"/>
      <c r="D497" s="31"/>
      <c r="E497" s="31"/>
      <c r="F497" s="31"/>
    </row>
    <row r="498" spans="1:6">
      <c r="A498" s="31"/>
      <c r="C498" s="31"/>
      <c r="D498" s="31"/>
      <c r="E498" s="31"/>
      <c r="F498" s="31"/>
    </row>
    <row r="499" spans="1:6">
      <c r="A499" s="31"/>
      <c r="C499" s="31"/>
      <c r="D499" s="31"/>
      <c r="E499" s="31"/>
      <c r="F499" s="31"/>
    </row>
    <row r="500" spans="1:6">
      <c r="A500" s="31"/>
      <c r="C500" s="31"/>
      <c r="D500" s="31"/>
      <c r="E500" s="31"/>
      <c r="F500" s="31"/>
    </row>
    <row r="501" spans="1:6">
      <c r="A501" s="31"/>
      <c r="C501" s="31"/>
      <c r="D501" s="31"/>
      <c r="E501" s="31"/>
      <c r="F501" s="31"/>
    </row>
    <row r="502" spans="1:6">
      <c r="A502" s="31"/>
      <c r="C502" s="31"/>
      <c r="D502" s="31"/>
      <c r="E502" s="31"/>
      <c r="F502" s="31"/>
    </row>
    <row r="503" spans="1:6">
      <c r="A503" s="31"/>
      <c r="C503" s="31"/>
      <c r="D503" s="31"/>
      <c r="E503" s="31"/>
      <c r="F503" s="31"/>
    </row>
    <row r="504" spans="1:6">
      <c r="A504" s="31"/>
      <c r="C504" s="31"/>
      <c r="D504" s="31"/>
      <c r="E504" s="31"/>
      <c r="F504" s="31"/>
    </row>
    <row r="505" spans="1:6">
      <c r="A505" s="31"/>
      <c r="C505" s="31"/>
      <c r="D505" s="31"/>
      <c r="E505" s="31"/>
      <c r="F505" s="31"/>
    </row>
    <row r="506" spans="1:6">
      <c r="A506" s="31"/>
      <c r="C506" s="31"/>
      <c r="D506" s="31"/>
      <c r="E506" s="31"/>
      <c r="F506" s="31"/>
    </row>
    <row r="507" spans="1:6">
      <c r="A507" s="31"/>
      <c r="C507" s="31"/>
      <c r="D507" s="31"/>
      <c r="E507" s="31"/>
      <c r="F507" s="31"/>
    </row>
    <row r="508" spans="1:6">
      <c r="A508" s="31"/>
      <c r="C508" s="31"/>
      <c r="D508" s="31"/>
      <c r="E508" s="31"/>
      <c r="F508" s="31"/>
    </row>
    <row r="509" spans="1:6">
      <c r="A509" s="31"/>
      <c r="C509" s="31"/>
      <c r="D509" s="31"/>
      <c r="E509" s="31"/>
      <c r="F509" s="31"/>
    </row>
    <row r="510" spans="1:6">
      <c r="A510" s="31"/>
      <c r="C510" s="31"/>
      <c r="D510" s="31"/>
      <c r="E510" s="31"/>
      <c r="F510" s="31"/>
    </row>
    <row r="511" spans="1:6">
      <c r="A511" s="31"/>
      <c r="C511" s="31"/>
      <c r="D511" s="31"/>
      <c r="E511" s="31"/>
      <c r="F511" s="31"/>
    </row>
    <row r="512" spans="1:6">
      <c r="A512" s="31"/>
      <c r="C512" s="31"/>
      <c r="D512" s="31"/>
      <c r="E512" s="31"/>
      <c r="F512" s="31"/>
    </row>
    <row r="513" spans="1:6">
      <c r="A513" s="31"/>
      <c r="C513" s="31"/>
      <c r="D513" s="31"/>
      <c r="E513" s="31"/>
      <c r="F513" s="31"/>
    </row>
    <row r="514" spans="1:6">
      <c r="A514" s="31"/>
      <c r="C514" s="31"/>
      <c r="D514" s="31"/>
      <c r="E514" s="31"/>
      <c r="F514" s="31"/>
    </row>
    <row r="515" spans="1:6">
      <c r="A515" s="31"/>
      <c r="C515" s="31"/>
      <c r="D515" s="31"/>
      <c r="E515" s="31"/>
      <c r="F515" s="31"/>
    </row>
    <row r="516" spans="1:6">
      <c r="A516" s="31"/>
      <c r="C516" s="31"/>
      <c r="D516" s="31"/>
      <c r="E516" s="31"/>
      <c r="F516" s="31"/>
    </row>
    <row r="517" spans="1:6">
      <c r="A517" s="31"/>
      <c r="C517" s="31"/>
      <c r="D517" s="31"/>
      <c r="E517" s="31"/>
      <c r="F517" s="31"/>
    </row>
    <row r="518" spans="1:6">
      <c r="A518" s="31"/>
      <c r="C518" s="31"/>
      <c r="D518" s="31"/>
      <c r="E518" s="31"/>
      <c r="F518" s="31"/>
    </row>
    <row r="519" spans="1:6">
      <c r="A519" s="31"/>
      <c r="C519" s="31"/>
      <c r="D519" s="31"/>
      <c r="E519" s="31"/>
      <c r="F519" s="31"/>
    </row>
    <row r="520" spans="1:6">
      <c r="A520" s="31"/>
      <c r="C520" s="31"/>
      <c r="D520" s="31"/>
      <c r="E520" s="31"/>
      <c r="F520" s="31"/>
    </row>
    <row r="521" spans="1:6">
      <c r="A521" s="31"/>
      <c r="C521" s="31"/>
      <c r="D521" s="31"/>
      <c r="E521" s="31"/>
      <c r="F521" s="31"/>
    </row>
    <row r="522" spans="1:6">
      <c r="A522" s="31"/>
      <c r="C522" s="31"/>
      <c r="D522" s="31"/>
      <c r="E522" s="31"/>
      <c r="F522" s="31"/>
    </row>
    <row r="523" spans="1:6">
      <c r="A523" s="31"/>
      <c r="C523" s="31"/>
      <c r="D523" s="31"/>
      <c r="E523" s="31"/>
      <c r="F523" s="31"/>
    </row>
    <row r="524" spans="1:6">
      <c r="A524" s="31"/>
      <c r="C524" s="31"/>
      <c r="D524" s="31"/>
      <c r="E524" s="31"/>
      <c r="F524" s="31"/>
    </row>
    <row r="525" spans="1:6">
      <c r="A525" s="31"/>
      <c r="C525" s="31"/>
      <c r="D525" s="31"/>
      <c r="E525" s="31"/>
      <c r="F525" s="31"/>
    </row>
    <row r="526" spans="1:6">
      <c r="A526" s="31"/>
      <c r="C526" s="31"/>
      <c r="D526" s="31"/>
      <c r="E526" s="31"/>
      <c r="F526" s="31"/>
    </row>
    <row r="527" spans="1:6">
      <c r="A527" s="31"/>
      <c r="C527" s="31"/>
      <c r="D527" s="31"/>
      <c r="E527" s="31"/>
      <c r="F527" s="31"/>
    </row>
    <row r="528" spans="1:6">
      <c r="A528" s="31"/>
      <c r="C528" s="31"/>
      <c r="D528" s="31"/>
      <c r="E528" s="31"/>
      <c r="F528" s="31"/>
    </row>
    <row r="529" spans="1:6">
      <c r="A529" s="31"/>
      <c r="C529" s="31"/>
      <c r="D529" s="31"/>
      <c r="E529" s="31"/>
      <c r="F529" s="31"/>
    </row>
    <row r="530" spans="1:6">
      <c r="A530" s="31"/>
      <c r="C530" s="31"/>
      <c r="D530" s="31"/>
      <c r="E530" s="31"/>
      <c r="F530" s="31"/>
    </row>
    <row r="531" spans="1:6">
      <c r="A531" s="31"/>
      <c r="C531" s="31"/>
      <c r="D531" s="31"/>
      <c r="E531" s="31"/>
      <c r="F531" s="31"/>
    </row>
    <row r="532" spans="1:6">
      <c r="A532" s="31"/>
      <c r="C532" s="31"/>
      <c r="D532" s="31"/>
      <c r="E532" s="31"/>
      <c r="F532" s="31"/>
    </row>
    <row r="533" spans="1:6">
      <c r="A533" s="31"/>
      <c r="C533" s="31"/>
      <c r="D533" s="31"/>
      <c r="E533" s="31"/>
      <c r="F533" s="31"/>
    </row>
    <row r="534" spans="1:6">
      <c r="A534" s="31"/>
      <c r="C534" s="31"/>
      <c r="D534" s="31"/>
      <c r="E534" s="31"/>
      <c r="F534" s="31"/>
    </row>
    <row r="535" spans="1:6">
      <c r="A535" s="31"/>
      <c r="C535" s="31"/>
      <c r="D535" s="31"/>
      <c r="E535" s="31"/>
      <c r="F535" s="31"/>
    </row>
    <row r="536" spans="1:6">
      <c r="A536" s="31"/>
      <c r="C536" s="31"/>
      <c r="D536" s="31"/>
      <c r="E536" s="31"/>
      <c r="F536" s="31"/>
    </row>
    <row r="537" spans="1:6">
      <c r="A537" s="31"/>
      <c r="C537" s="31"/>
      <c r="D537" s="31"/>
      <c r="E537" s="31"/>
      <c r="F537" s="31"/>
    </row>
    <row r="538" spans="1:6">
      <c r="A538" s="31"/>
      <c r="C538" s="31"/>
      <c r="D538" s="31"/>
      <c r="E538" s="31"/>
      <c r="F538" s="31"/>
    </row>
    <row r="539" spans="1:6">
      <c r="A539" s="31"/>
      <c r="C539" s="31"/>
      <c r="D539" s="31"/>
      <c r="E539" s="31"/>
      <c r="F539" s="31"/>
    </row>
    <row r="540" spans="1:6">
      <c r="A540" s="31"/>
      <c r="C540" s="31"/>
      <c r="D540" s="31"/>
      <c r="E540" s="31"/>
      <c r="F540" s="31"/>
    </row>
    <row r="541" spans="1:6">
      <c r="A541" s="31"/>
      <c r="C541" s="31"/>
      <c r="D541" s="31"/>
      <c r="E541" s="31"/>
      <c r="F541" s="31"/>
    </row>
    <row r="542" spans="1:6">
      <c r="A542" s="31"/>
      <c r="C542" s="31"/>
      <c r="D542" s="31"/>
      <c r="E542" s="31"/>
      <c r="F542" s="31"/>
    </row>
    <row r="543" spans="1:6">
      <c r="A543" s="31"/>
      <c r="C543" s="31"/>
      <c r="D543" s="31"/>
      <c r="E543" s="31"/>
      <c r="F543" s="31"/>
    </row>
    <row r="544" spans="1:6">
      <c r="A544" s="31"/>
      <c r="C544" s="31"/>
      <c r="D544" s="31"/>
      <c r="E544" s="31"/>
      <c r="F544" s="31"/>
    </row>
    <row r="545" spans="1:6">
      <c r="A545" s="31"/>
      <c r="C545" s="31"/>
      <c r="D545" s="31"/>
      <c r="E545" s="31"/>
      <c r="F545" s="31"/>
    </row>
    <row r="546" spans="1:6">
      <c r="A546" s="31"/>
      <c r="C546" s="31"/>
      <c r="D546" s="31"/>
      <c r="E546" s="31"/>
      <c r="F546" s="31"/>
    </row>
    <row r="547" spans="1:6">
      <c r="A547" s="31"/>
      <c r="C547" s="31"/>
      <c r="D547" s="31"/>
      <c r="E547" s="31"/>
      <c r="F547" s="31"/>
    </row>
    <row r="548" spans="1:6">
      <c r="A548" s="31"/>
      <c r="C548" s="31"/>
      <c r="D548" s="31"/>
      <c r="E548" s="31"/>
      <c r="F548" s="31"/>
    </row>
    <row r="549" spans="1:6">
      <c r="A549" s="31"/>
      <c r="C549" s="31"/>
      <c r="D549" s="31"/>
      <c r="E549" s="31"/>
      <c r="F549" s="31"/>
    </row>
    <row r="550" spans="1:6">
      <c r="A550" s="31"/>
      <c r="C550" s="31"/>
      <c r="D550" s="31"/>
      <c r="E550" s="31"/>
      <c r="F550" s="31"/>
    </row>
    <row r="551" spans="1:6">
      <c r="A551" s="31"/>
      <c r="C551" s="31"/>
      <c r="D551" s="31"/>
      <c r="E551" s="31"/>
      <c r="F551" s="31"/>
    </row>
    <row r="552" spans="1:6">
      <c r="A552" s="31"/>
      <c r="C552" s="31"/>
      <c r="D552" s="31"/>
      <c r="E552" s="31"/>
      <c r="F552" s="31"/>
    </row>
    <row r="553" spans="1:6">
      <c r="A553" s="31"/>
      <c r="C553" s="31"/>
      <c r="D553" s="31"/>
      <c r="E553" s="31"/>
      <c r="F553" s="31"/>
    </row>
    <row r="554" spans="1:6">
      <c r="A554" s="31"/>
      <c r="C554" s="31"/>
      <c r="D554" s="31"/>
      <c r="E554" s="31"/>
      <c r="F554" s="31"/>
    </row>
    <row r="555" spans="1:6">
      <c r="A555" s="31"/>
      <c r="C555" s="31"/>
      <c r="D555" s="31"/>
      <c r="E555" s="31"/>
      <c r="F555" s="31"/>
    </row>
    <row r="556" spans="1:6">
      <c r="A556" s="31"/>
      <c r="C556" s="31"/>
      <c r="D556" s="31"/>
      <c r="E556" s="31"/>
      <c r="F556" s="31"/>
    </row>
    <row r="557" spans="1:6">
      <c r="A557" s="31"/>
      <c r="C557" s="31"/>
      <c r="D557" s="31"/>
      <c r="E557" s="31"/>
      <c r="F557" s="31"/>
    </row>
    <row r="558" spans="1:6">
      <c r="A558" s="31"/>
      <c r="C558" s="31"/>
      <c r="D558" s="31"/>
      <c r="E558" s="31"/>
      <c r="F558" s="31"/>
    </row>
    <row r="559" spans="1:6">
      <c r="A559" s="31"/>
      <c r="C559" s="31"/>
      <c r="D559" s="31"/>
      <c r="E559" s="31"/>
      <c r="F559" s="31"/>
    </row>
    <row r="560" spans="1:6">
      <c r="A560" s="31"/>
      <c r="C560" s="31"/>
      <c r="D560" s="31"/>
      <c r="E560" s="31"/>
      <c r="F560" s="31"/>
    </row>
    <row r="561" spans="1:6">
      <c r="A561" s="31"/>
      <c r="C561" s="31"/>
      <c r="D561" s="31"/>
      <c r="E561" s="31"/>
      <c r="F561" s="31"/>
    </row>
    <row r="562" spans="1:6">
      <c r="A562" s="31"/>
      <c r="C562" s="31"/>
      <c r="D562" s="31"/>
      <c r="E562" s="31"/>
      <c r="F562" s="31"/>
    </row>
    <row r="563" spans="1:6">
      <c r="A563" s="31"/>
      <c r="C563" s="31"/>
      <c r="D563" s="31"/>
      <c r="E563" s="31"/>
      <c r="F563" s="31"/>
    </row>
    <row r="564" spans="1:6">
      <c r="A564" s="31"/>
      <c r="C564" s="31"/>
      <c r="D564" s="31"/>
      <c r="E564" s="31"/>
      <c r="F564" s="31"/>
    </row>
    <row r="565" spans="1:6">
      <c r="A565" s="31"/>
      <c r="C565" s="31"/>
      <c r="D565" s="31"/>
      <c r="E565" s="31"/>
      <c r="F565" s="31"/>
    </row>
    <row r="566" spans="1:6">
      <c r="A566" s="31"/>
      <c r="C566" s="31"/>
      <c r="D566" s="31"/>
      <c r="E566" s="31"/>
      <c r="F566" s="31"/>
    </row>
    <row r="567" spans="1:6">
      <c r="A567" s="31"/>
      <c r="C567" s="31"/>
      <c r="D567" s="31"/>
      <c r="E567" s="31"/>
      <c r="F567" s="31"/>
    </row>
    <row r="568" spans="1:6">
      <c r="A568" s="31"/>
      <c r="C568" s="31"/>
      <c r="D568" s="31"/>
      <c r="E568" s="31"/>
      <c r="F568" s="31"/>
    </row>
    <row r="569" spans="1:6">
      <c r="A569" s="31"/>
      <c r="C569" s="31"/>
      <c r="D569" s="31"/>
      <c r="E569" s="31"/>
      <c r="F569" s="31"/>
    </row>
    <row r="570" spans="1:6">
      <c r="A570" s="31"/>
      <c r="C570" s="31"/>
      <c r="D570" s="31"/>
      <c r="E570" s="31"/>
      <c r="F570" s="31"/>
    </row>
    <row r="571" spans="1:6">
      <c r="A571" s="31"/>
      <c r="C571" s="31"/>
      <c r="D571" s="31"/>
      <c r="E571" s="31"/>
      <c r="F571" s="31"/>
    </row>
    <row r="572" spans="1:6">
      <c r="A572" s="31"/>
      <c r="C572" s="31"/>
      <c r="D572" s="31"/>
      <c r="E572" s="31"/>
      <c r="F572" s="31"/>
    </row>
    <row r="573" spans="1:6">
      <c r="A573" s="31"/>
      <c r="C573" s="31"/>
      <c r="D573" s="31"/>
      <c r="E573" s="31"/>
      <c r="F573" s="31"/>
    </row>
    <row r="574" spans="1:6">
      <c r="A574" s="31"/>
      <c r="C574" s="31"/>
      <c r="D574" s="31"/>
      <c r="E574" s="31"/>
      <c r="F574" s="31"/>
    </row>
    <row r="575" spans="1:6">
      <c r="A575" s="31"/>
      <c r="C575" s="31"/>
      <c r="D575" s="31"/>
      <c r="E575" s="31"/>
      <c r="F575" s="31"/>
    </row>
    <row r="576" spans="1:6">
      <c r="A576" s="31"/>
      <c r="C576" s="31"/>
      <c r="D576" s="31"/>
      <c r="E576" s="31"/>
      <c r="F576" s="31"/>
    </row>
    <row r="577" spans="1:6">
      <c r="A577" s="31"/>
      <c r="C577" s="31"/>
      <c r="D577" s="31"/>
      <c r="E577" s="31"/>
      <c r="F577" s="31"/>
    </row>
    <row r="578" spans="1:6">
      <c r="A578" s="31"/>
      <c r="C578" s="31"/>
      <c r="D578" s="31"/>
      <c r="E578" s="31"/>
      <c r="F578" s="31"/>
    </row>
    <row r="579" spans="1:6">
      <c r="A579" s="31"/>
      <c r="C579" s="31"/>
      <c r="D579" s="31"/>
      <c r="E579" s="31"/>
      <c r="F579" s="31"/>
    </row>
    <row r="580" spans="1:6">
      <c r="A580" s="31"/>
      <c r="C580" s="31"/>
      <c r="D580" s="31"/>
      <c r="E580" s="31"/>
      <c r="F580" s="31"/>
    </row>
    <row r="581" spans="1:6">
      <c r="A581" s="31"/>
      <c r="C581" s="31"/>
      <c r="D581" s="31"/>
      <c r="E581" s="31"/>
      <c r="F581" s="31"/>
    </row>
    <row r="582" spans="1:6">
      <c r="A582" s="31"/>
      <c r="C582" s="31"/>
      <c r="D582" s="31"/>
      <c r="E582" s="31"/>
      <c r="F582" s="31"/>
    </row>
    <row r="583" spans="1:6">
      <c r="A583" s="31"/>
      <c r="C583" s="31"/>
      <c r="D583" s="31"/>
      <c r="E583" s="31"/>
      <c r="F583" s="31"/>
    </row>
    <row r="584" spans="1:6">
      <c r="A584" s="31"/>
      <c r="C584" s="31"/>
      <c r="D584" s="31"/>
      <c r="E584" s="31"/>
      <c r="F584" s="31"/>
    </row>
    <row r="585" spans="1:6">
      <c r="A585" s="31"/>
      <c r="C585" s="31"/>
      <c r="D585" s="31"/>
      <c r="E585" s="31"/>
      <c r="F585" s="31"/>
    </row>
    <row r="586" spans="1:6">
      <c r="A586" s="31"/>
      <c r="C586" s="31"/>
      <c r="D586" s="31"/>
      <c r="E586" s="31"/>
      <c r="F586" s="31"/>
    </row>
    <row r="587" spans="1:6">
      <c r="A587" s="31"/>
      <c r="C587" s="31"/>
      <c r="D587" s="31"/>
      <c r="E587" s="31"/>
      <c r="F587" s="31"/>
    </row>
    <row r="588" spans="1:6">
      <c r="A588" s="31"/>
      <c r="C588" s="31"/>
      <c r="D588" s="31"/>
      <c r="E588" s="31"/>
      <c r="F588" s="31"/>
    </row>
    <row r="589" spans="1:6">
      <c r="A589" s="31"/>
      <c r="C589" s="31"/>
      <c r="D589" s="31"/>
      <c r="E589" s="31"/>
      <c r="F589" s="31"/>
    </row>
    <row r="590" spans="1:6">
      <c r="A590" s="31"/>
      <c r="C590" s="31"/>
      <c r="D590" s="31"/>
      <c r="E590" s="31"/>
      <c r="F590" s="31"/>
    </row>
    <row r="591" spans="1:6">
      <c r="A591" s="31"/>
      <c r="C591" s="31"/>
      <c r="D591" s="31"/>
      <c r="E591" s="31"/>
      <c r="F591" s="31"/>
    </row>
    <row r="592" spans="1:6">
      <c r="A592" s="31"/>
      <c r="C592" s="31"/>
      <c r="D592" s="31"/>
      <c r="E592" s="31"/>
      <c r="F592" s="31"/>
    </row>
    <row r="593" spans="1:6">
      <c r="A593" s="31"/>
      <c r="C593" s="31"/>
      <c r="D593" s="31"/>
      <c r="E593" s="31"/>
      <c r="F593" s="31"/>
    </row>
    <row r="594" spans="1:6">
      <c r="A594" s="31"/>
      <c r="C594" s="31"/>
      <c r="D594" s="31"/>
      <c r="E594" s="31"/>
      <c r="F594" s="31"/>
    </row>
    <row r="595" spans="1:6">
      <c r="A595" s="31"/>
      <c r="C595" s="31"/>
      <c r="D595" s="31"/>
      <c r="E595" s="31"/>
      <c r="F595" s="31"/>
    </row>
    <row r="596" spans="1:6">
      <c r="A596" s="31"/>
      <c r="C596" s="31"/>
      <c r="D596" s="31"/>
      <c r="E596" s="31"/>
      <c r="F596" s="31"/>
    </row>
    <row r="597" spans="1:6">
      <c r="A597" s="31"/>
      <c r="C597" s="31"/>
      <c r="D597" s="31"/>
      <c r="E597" s="31"/>
      <c r="F597" s="31"/>
    </row>
    <row r="598" spans="1:6">
      <c r="A598" s="31"/>
      <c r="C598" s="31"/>
      <c r="D598" s="31"/>
      <c r="E598" s="31"/>
      <c r="F598" s="31"/>
    </row>
    <row r="599" spans="1:6">
      <c r="A599" s="31"/>
      <c r="C599" s="31"/>
      <c r="D599" s="31"/>
      <c r="E599" s="31"/>
      <c r="F599" s="31"/>
    </row>
    <row r="600" spans="1:6">
      <c r="A600" s="31"/>
      <c r="C600" s="31"/>
      <c r="D600" s="31"/>
      <c r="E600" s="31"/>
      <c r="F600" s="31"/>
    </row>
    <row r="601" spans="1:6">
      <c r="A601" s="31"/>
      <c r="C601" s="31"/>
      <c r="D601" s="31"/>
      <c r="E601" s="31"/>
      <c r="F601" s="31"/>
    </row>
    <row r="602" spans="1:6">
      <c r="A602" s="31"/>
      <c r="C602" s="31"/>
      <c r="D602" s="31"/>
      <c r="E602" s="31"/>
      <c r="F602" s="31"/>
    </row>
    <row r="603" spans="1:6">
      <c r="A603" s="31"/>
      <c r="C603" s="31"/>
      <c r="D603" s="31"/>
      <c r="E603" s="31"/>
      <c r="F603" s="31"/>
    </row>
    <row r="604" spans="1:6">
      <c r="A604" s="31"/>
      <c r="C604" s="31"/>
      <c r="D604" s="31"/>
      <c r="E604" s="31"/>
      <c r="F604" s="31"/>
    </row>
    <row r="605" spans="1:6">
      <c r="A605" s="31"/>
      <c r="C605" s="31"/>
      <c r="D605" s="31"/>
      <c r="E605" s="31"/>
      <c r="F605" s="31"/>
    </row>
    <row r="606" spans="1:6">
      <c r="A606" s="31"/>
      <c r="C606" s="31"/>
      <c r="D606" s="31"/>
      <c r="E606" s="31"/>
      <c r="F606" s="31"/>
    </row>
    <row r="607" spans="1:6">
      <c r="D607" s="8"/>
      <c r="E607" s="8"/>
      <c r="F607" s="31"/>
    </row>
    <row r="608" spans="1:6">
      <c r="D608" s="8"/>
      <c r="E608" s="8"/>
      <c r="F608" s="31"/>
    </row>
    <row r="609" spans="4:6">
      <c r="D609" s="8"/>
      <c r="E609" s="8"/>
      <c r="F609" s="31"/>
    </row>
    <row r="610" spans="4:6">
      <c r="D610" s="8"/>
      <c r="E610" s="8"/>
      <c r="F610" s="31"/>
    </row>
    <row r="611" spans="4:6">
      <c r="D611" s="8"/>
      <c r="E611" s="8"/>
      <c r="F611" s="31"/>
    </row>
    <row r="612" spans="4:6">
      <c r="D612" s="8"/>
      <c r="E612" s="8"/>
      <c r="F612" s="31"/>
    </row>
    <row r="613" spans="4:6">
      <c r="D613" s="8"/>
      <c r="E613" s="8"/>
      <c r="F613" s="31"/>
    </row>
    <row r="614" spans="4:6">
      <c r="D614" s="8"/>
      <c r="E614" s="8"/>
      <c r="F614" s="31"/>
    </row>
    <row r="615" spans="4:6">
      <c r="D615" s="8"/>
      <c r="E615" s="8"/>
      <c r="F615" s="31"/>
    </row>
    <row r="616" spans="4:6">
      <c r="D616" s="8"/>
      <c r="E616" s="8"/>
      <c r="F616" s="31"/>
    </row>
    <row r="617" spans="4:6">
      <c r="D617" s="8"/>
      <c r="E617" s="8"/>
      <c r="F617" s="31"/>
    </row>
    <row r="618" spans="4:6">
      <c r="D618" s="8"/>
      <c r="E618" s="8"/>
      <c r="F618" s="31"/>
    </row>
    <row r="619" spans="4:6">
      <c r="D619" s="8"/>
      <c r="E619" s="8"/>
      <c r="F619" s="31"/>
    </row>
    <row r="620" spans="4:6">
      <c r="D620" s="8"/>
      <c r="E620" s="8"/>
      <c r="F620" s="31"/>
    </row>
    <row r="621" spans="4:6">
      <c r="D621" s="8"/>
      <c r="E621" s="8"/>
      <c r="F621" s="31"/>
    </row>
    <row r="622" spans="4:6">
      <c r="D622" s="8"/>
      <c r="E622" s="8"/>
      <c r="F622" s="31"/>
    </row>
    <row r="623" spans="4:6">
      <c r="D623" s="8"/>
      <c r="E623" s="8"/>
      <c r="F623" s="31"/>
    </row>
    <row r="624" spans="4:6">
      <c r="D624" s="8"/>
      <c r="E624" s="8"/>
      <c r="F624" s="31"/>
    </row>
    <row r="625" spans="4:6">
      <c r="D625" s="8"/>
      <c r="E625" s="8"/>
      <c r="F625" s="31"/>
    </row>
    <row r="626" spans="4:6">
      <c r="D626" s="8"/>
      <c r="E626" s="8"/>
      <c r="F626" s="31"/>
    </row>
    <row r="627" spans="4:6">
      <c r="D627" s="8"/>
      <c r="E627" s="8"/>
      <c r="F627" s="31"/>
    </row>
    <row r="628" spans="4:6">
      <c r="D628" s="8"/>
      <c r="E628" s="8"/>
      <c r="F628" s="31"/>
    </row>
    <row r="629" spans="4:6">
      <c r="D629" s="8"/>
      <c r="E629" s="8"/>
      <c r="F629" s="31"/>
    </row>
    <row r="630" spans="4:6">
      <c r="D630" s="8"/>
      <c r="E630" s="8"/>
      <c r="F630" s="31"/>
    </row>
    <row r="631" spans="4:6">
      <c r="D631" s="8"/>
      <c r="E631" s="8"/>
      <c r="F631" s="31"/>
    </row>
    <row r="632" spans="4:6">
      <c r="D632" s="8"/>
      <c r="E632" s="8"/>
      <c r="F632" s="31"/>
    </row>
    <row r="633" spans="4:6">
      <c r="D633" s="8"/>
      <c r="E633" s="8"/>
      <c r="F633" s="31"/>
    </row>
    <row r="634" spans="4:6">
      <c r="D634" s="8"/>
      <c r="E634" s="8"/>
      <c r="F634" s="31"/>
    </row>
    <row r="635" spans="4:6">
      <c r="D635" s="8"/>
      <c r="E635" s="8"/>
      <c r="F635" s="31"/>
    </row>
    <row r="636" spans="4:6">
      <c r="D636" s="8"/>
      <c r="E636" s="8"/>
      <c r="F636" s="31"/>
    </row>
    <row r="637" spans="4:6">
      <c r="D637" s="8"/>
      <c r="E637" s="8"/>
      <c r="F637" s="31"/>
    </row>
    <row r="638" spans="4:6">
      <c r="D638" s="8"/>
      <c r="E638" s="8"/>
      <c r="F638" s="31"/>
    </row>
    <row r="639" spans="4:6">
      <c r="D639" s="8"/>
      <c r="E639" s="8"/>
      <c r="F639" s="31"/>
    </row>
    <row r="640" spans="4:6">
      <c r="D640" s="8"/>
      <c r="E640" s="8"/>
      <c r="F640" s="31"/>
    </row>
    <row r="641" spans="4:6">
      <c r="D641" s="8"/>
      <c r="E641" s="8"/>
      <c r="F641" s="31"/>
    </row>
    <row r="642" spans="4:6">
      <c r="D642" s="8"/>
      <c r="E642" s="8"/>
      <c r="F642" s="31"/>
    </row>
    <row r="643" spans="4:6">
      <c r="D643" s="8"/>
      <c r="E643" s="8"/>
      <c r="F643" s="31"/>
    </row>
    <row r="644" spans="4:6">
      <c r="D644" s="8"/>
      <c r="E644" s="8"/>
      <c r="F644" s="31"/>
    </row>
    <row r="645" spans="4:6">
      <c r="D645" s="8"/>
      <c r="E645" s="8"/>
      <c r="F645" s="31"/>
    </row>
    <row r="646" spans="4:6">
      <c r="D646" s="8"/>
      <c r="E646" s="8"/>
      <c r="F646" s="31"/>
    </row>
    <row r="647" spans="4:6">
      <c r="D647" s="8"/>
      <c r="E647" s="8"/>
      <c r="F647" s="31"/>
    </row>
    <row r="648" spans="4:6">
      <c r="D648" s="8"/>
      <c r="E648" s="8"/>
      <c r="F648" s="31"/>
    </row>
    <row r="649" spans="4:6">
      <c r="D649" s="8"/>
      <c r="E649" s="8"/>
      <c r="F649" s="31"/>
    </row>
    <row r="650" spans="4:6">
      <c r="D650" s="8"/>
      <c r="E650" s="8"/>
      <c r="F650" s="31"/>
    </row>
    <row r="651" spans="4:6">
      <c r="D651" s="8"/>
      <c r="E651" s="8"/>
      <c r="F651" s="31"/>
    </row>
    <row r="652" spans="4:6">
      <c r="D652" s="8"/>
      <c r="E652" s="8"/>
      <c r="F652" s="31"/>
    </row>
    <row r="653" spans="4:6">
      <c r="D653" s="8"/>
      <c r="E653" s="8"/>
      <c r="F653" s="31"/>
    </row>
    <row r="654" spans="4:6">
      <c r="D654" s="8"/>
      <c r="E654" s="8"/>
      <c r="F654" s="31"/>
    </row>
    <row r="655" spans="4:6">
      <c r="D655" s="8"/>
      <c r="E655" s="8"/>
      <c r="F655" s="31"/>
    </row>
    <row r="656" spans="4:6">
      <c r="D656" s="8"/>
      <c r="E656" s="8"/>
      <c r="F656" s="31"/>
    </row>
    <row r="657" spans="4:6">
      <c r="D657" s="8"/>
      <c r="E657" s="8"/>
      <c r="F657" s="31"/>
    </row>
    <row r="658" spans="4:6">
      <c r="D658" s="8"/>
      <c r="E658" s="8"/>
      <c r="F658" s="31"/>
    </row>
    <row r="659" spans="4:6">
      <c r="D659" s="8"/>
      <c r="E659" s="8"/>
      <c r="F659" s="31"/>
    </row>
    <row r="660" spans="4:6">
      <c r="D660" s="8"/>
      <c r="E660" s="8"/>
      <c r="F660" s="31"/>
    </row>
    <row r="661" spans="4:6">
      <c r="D661" s="8"/>
      <c r="E661" s="8"/>
      <c r="F661" s="31"/>
    </row>
    <row r="662" spans="4:6">
      <c r="D662" s="8"/>
      <c r="E662" s="8"/>
      <c r="F662" s="31"/>
    </row>
    <row r="663" spans="4:6">
      <c r="D663" s="8"/>
      <c r="E663" s="8"/>
      <c r="F663" s="31"/>
    </row>
    <row r="664" spans="4:6">
      <c r="D664" s="8"/>
      <c r="E664" s="8"/>
      <c r="F664" s="31"/>
    </row>
    <row r="665" spans="4:6">
      <c r="D665" s="8"/>
      <c r="E665" s="8"/>
      <c r="F665" s="31"/>
    </row>
    <row r="666" spans="4:6">
      <c r="D666" s="8"/>
      <c r="E666" s="8"/>
      <c r="F666" s="31"/>
    </row>
    <row r="667" spans="4:6">
      <c r="D667" s="8"/>
      <c r="E667" s="8"/>
      <c r="F667" s="31"/>
    </row>
    <row r="668" spans="4:6">
      <c r="D668" s="8"/>
      <c r="E668" s="8"/>
      <c r="F668" s="31"/>
    </row>
    <row r="669" spans="4:6">
      <c r="D669" s="8"/>
      <c r="E669" s="8"/>
      <c r="F669" s="31"/>
    </row>
    <row r="670" spans="4:6">
      <c r="D670" s="8"/>
      <c r="E670" s="8"/>
      <c r="F670" s="31"/>
    </row>
    <row r="671" spans="4:6">
      <c r="D671" s="8"/>
      <c r="E671" s="8"/>
      <c r="F671" s="31"/>
    </row>
    <row r="672" spans="4:6">
      <c r="D672" s="8"/>
      <c r="E672" s="8"/>
      <c r="F672" s="31"/>
    </row>
    <row r="673" spans="4:6">
      <c r="D673" s="8"/>
      <c r="E673" s="8"/>
      <c r="F673" s="31"/>
    </row>
    <row r="674" spans="4:6">
      <c r="D674" s="8"/>
      <c r="E674" s="8"/>
      <c r="F674" s="31"/>
    </row>
    <row r="675" spans="4:6">
      <c r="D675" s="8"/>
      <c r="E675" s="8"/>
      <c r="F675" s="31"/>
    </row>
    <row r="676" spans="4:6">
      <c r="D676" s="8"/>
      <c r="E676" s="8"/>
      <c r="F676" s="31"/>
    </row>
    <row r="677" spans="4:6">
      <c r="D677" s="8"/>
      <c r="E677" s="8"/>
      <c r="F677" s="31"/>
    </row>
    <row r="678" spans="4:6">
      <c r="D678" s="8"/>
      <c r="E678" s="8"/>
      <c r="F678" s="31"/>
    </row>
    <row r="679" spans="4:6">
      <c r="D679" s="8"/>
      <c r="E679" s="8"/>
      <c r="F679" s="31"/>
    </row>
    <row r="680" spans="4:6">
      <c r="D680" s="8"/>
      <c r="E680" s="8"/>
      <c r="F680" s="31"/>
    </row>
    <row r="681" spans="4:6">
      <c r="D681" s="8"/>
      <c r="E681" s="8"/>
      <c r="F681" s="31"/>
    </row>
    <row r="682" spans="4:6">
      <c r="D682" s="8"/>
      <c r="E682" s="8"/>
      <c r="F682" s="31"/>
    </row>
    <row r="683" spans="4:6">
      <c r="D683" s="8"/>
      <c r="E683" s="8"/>
      <c r="F683" s="31"/>
    </row>
    <row r="684" spans="4:6">
      <c r="D684" s="8"/>
      <c r="E684" s="8"/>
      <c r="F684" s="31"/>
    </row>
    <row r="685" spans="4:6">
      <c r="D685" s="8"/>
      <c r="E685" s="8"/>
      <c r="F685" s="31"/>
    </row>
    <row r="686" spans="4:6">
      <c r="D686" s="8"/>
      <c r="E686" s="8"/>
      <c r="F686" s="31"/>
    </row>
    <row r="687" spans="4:6">
      <c r="D687" s="8"/>
      <c r="E687" s="8"/>
      <c r="F687" s="31"/>
    </row>
    <row r="688" spans="4:6">
      <c r="D688" s="8"/>
      <c r="E688" s="8"/>
      <c r="F688" s="31"/>
    </row>
    <row r="689" spans="4:6">
      <c r="D689" s="8"/>
      <c r="E689" s="8"/>
      <c r="F689" s="31"/>
    </row>
    <row r="690" spans="4:6">
      <c r="D690" s="8"/>
      <c r="E690" s="8"/>
      <c r="F690" s="31"/>
    </row>
    <row r="691" spans="4:6">
      <c r="D691" s="8"/>
      <c r="E691" s="8"/>
      <c r="F691" s="31"/>
    </row>
    <row r="692" spans="4:6">
      <c r="D692" s="8"/>
      <c r="E692" s="8"/>
      <c r="F692" s="31"/>
    </row>
    <row r="693" spans="4:6">
      <c r="D693" s="8"/>
      <c r="E693" s="8"/>
      <c r="F693" s="31"/>
    </row>
    <row r="694" spans="4:6">
      <c r="D694" s="8"/>
      <c r="E694" s="8"/>
      <c r="F694" s="31"/>
    </row>
    <row r="695" spans="4:6">
      <c r="D695" s="8"/>
      <c r="E695" s="8"/>
      <c r="F695" s="31"/>
    </row>
    <row r="696" spans="4:6">
      <c r="D696" s="8"/>
      <c r="E696" s="8"/>
      <c r="F696" s="31"/>
    </row>
    <row r="697" spans="4:6">
      <c r="D697" s="8"/>
      <c r="E697" s="8"/>
      <c r="F697" s="31"/>
    </row>
    <row r="698" spans="4:6">
      <c r="D698" s="8"/>
      <c r="E698" s="8"/>
      <c r="F698" s="31"/>
    </row>
    <row r="699" spans="4:6">
      <c r="D699" s="8"/>
      <c r="E699" s="8"/>
      <c r="F699" s="31"/>
    </row>
    <row r="700" spans="4:6">
      <c r="D700" s="8"/>
      <c r="E700" s="8"/>
      <c r="F700" s="31"/>
    </row>
    <row r="701" spans="4:6">
      <c r="D701" s="8"/>
      <c r="E701" s="8"/>
      <c r="F701" s="31"/>
    </row>
    <row r="702" spans="4:6">
      <c r="D702" s="8"/>
      <c r="E702" s="8"/>
      <c r="F702" s="31"/>
    </row>
    <row r="703" spans="4:6">
      <c r="D703" s="8"/>
      <c r="E703" s="8"/>
      <c r="F703" s="31"/>
    </row>
    <row r="704" spans="4:6">
      <c r="D704" s="8"/>
      <c r="E704" s="8"/>
      <c r="F704" s="31"/>
    </row>
    <row r="705" spans="4:6">
      <c r="D705" s="8"/>
      <c r="E705" s="8"/>
      <c r="F705" s="31"/>
    </row>
    <row r="706" spans="4:6">
      <c r="D706" s="8"/>
      <c r="E706" s="8"/>
      <c r="F706" s="31"/>
    </row>
    <row r="707" spans="4:6">
      <c r="D707" s="8"/>
      <c r="E707" s="8"/>
      <c r="F707" s="31"/>
    </row>
    <row r="708" spans="4:6">
      <c r="D708" s="8"/>
      <c r="E708" s="8"/>
      <c r="F708" s="31"/>
    </row>
    <row r="709" spans="4:6">
      <c r="D709" s="8"/>
      <c r="E709" s="8"/>
      <c r="F709" s="31"/>
    </row>
    <row r="710" spans="4:6">
      <c r="D710" s="8"/>
      <c r="E710" s="8"/>
      <c r="F710" s="31"/>
    </row>
    <row r="711" spans="4:6">
      <c r="D711" s="8"/>
      <c r="E711" s="8"/>
      <c r="F711" s="31"/>
    </row>
    <row r="712" spans="4:6">
      <c r="D712" s="8"/>
      <c r="E712" s="8"/>
      <c r="F712" s="31"/>
    </row>
    <row r="713" spans="4:6">
      <c r="D713" s="8"/>
      <c r="E713" s="8"/>
      <c r="F713" s="31"/>
    </row>
    <row r="714" spans="4:6">
      <c r="D714" s="8"/>
      <c r="E714" s="8"/>
      <c r="F714" s="31"/>
    </row>
    <row r="715" spans="4:6">
      <c r="D715" s="8"/>
      <c r="E715" s="8"/>
      <c r="F715" s="31"/>
    </row>
    <row r="716" spans="4:6">
      <c r="D716" s="8"/>
      <c r="E716" s="8"/>
      <c r="F716" s="31"/>
    </row>
    <row r="717" spans="4:6">
      <c r="D717" s="8"/>
      <c r="E717" s="8"/>
      <c r="F717" s="31"/>
    </row>
    <row r="718" spans="4:6">
      <c r="D718" s="8"/>
      <c r="E718" s="8"/>
      <c r="F718" s="31"/>
    </row>
    <row r="719" spans="4:6">
      <c r="D719" s="8"/>
      <c r="E719" s="8"/>
      <c r="F719" s="31"/>
    </row>
    <row r="720" spans="4:6">
      <c r="D720" s="8"/>
      <c r="E720" s="8"/>
      <c r="F720" s="31"/>
    </row>
    <row r="721" spans="4:6">
      <c r="D721" s="8"/>
      <c r="E721" s="8"/>
      <c r="F721" s="31"/>
    </row>
    <row r="722" spans="4:6">
      <c r="D722" s="8"/>
      <c r="E722" s="8"/>
      <c r="F722" s="31"/>
    </row>
    <row r="723" spans="4:6">
      <c r="D723" s="8"/>
      <c r="E723" s="8"/>
      <c r="F723" s="31"/>
    </row>
    <row r="724" spans="4:6">
      <c r="D724" s="8"/>
      <c r="E724" s="8"/>
      <c r="F724" s="31"/>
    </row>
    <row r="725" spans="4:6">
      <c r="D725" s="8"/>
      <c r="E725" s="8"/>
      <c r="F725" s="31"/>
    </row>
    <row r="726" spans="4:6">
      <c r="D726" s="8"/>
      <c r="E726" s="8"/>
      <c r="F726" s="31"/>
    </row>
    <row r="727" spans="4:6">
      <c r="D727" s="8"/>
      <c r="E727" s="8"/>
      <c r="F727" s="31"/>
    </row>
    <row r="728" spans="4:6">
      <c r="D728" s="8"/>
      <c r="E728" s="8"/>
      <c r="F728" s="31"/>
    </row>
    <row r="729" spans="4:6">
      <c r="D729" s="8"/>
      <c r="E729" s="8"/>
      <c r="F729" s="31"/>
    </row>
    <row r="730" spans="4:6">
      <c r="D730" s="8"/>
      <c r="E730" s="8"/>
      <c r="F730" s="31"/>
    </row>
    <row r="731" spans="4:6">
      <c r="D731" s="8"/>
      <c r="E731" s="8"/>
      <c r="F731" s="31"/>
    </row>
    <row r="732" spans="4:6">
      <c r="D732" s="8"/>
      <c r="E732" s="8"/>
      <c r="F732" s="31"/>
    </row>
    <row r="733" spans="4:6">
      <c r="D733" s="8"/>
      <c r="E733" s="8"/>
      <c r="F733" s="31"/>
    </row>
    <row r="734" spans="4:6">
      <c r="D734" s="8"/>
      <c r="E734" s="8"/>
      <c r="F734" s="31"/>
    </row>
    <row r="735" spans="4:6">
      <c r="D735" s="8"/>
      <c r="E735" s="8"/>
      <c r="F735" s="31"/>
    </row>
    <row r="736" spans="4:6">
      <c r="D736" s="8"/>
      <c r="E736" s="8"/>
      <c r="F736" s="31"/>
    </row>
    <row r="737" spans="4:6">
      <c r="D737" s="8"/>
      <c r="E737" s="8"/>
      <c r="F737" s="31"/>
    </row>
    <row r="738" spans="4:6">
      <c r="D738" s="8"/>
      <c r="E738" s="8"/>
      <c r="F738" s="31"/>
    </row>
    <row r="739" spans="4:6">
      <c r="D739" s="8"/>
      <c r="E739" s="8"/>
      <c r="F739" s="31"/>
    </row>
    <row r="740" spans="4:6">
      <c r="D740" s="8"/>
      <c r="E740" s="8"/>
      <c r="F740" s="31"/>
    </row>
    <row r="741" spans="4:6">
      <c r="D741" s="8"/>
      <c r="E741" s="8"/>
      <c r="F741" s="31"/>
    </row>
    <row r="742" spans="4:6">
      <c r="D742" s="8"/>
      <c r="E742" s="8"/>
      <c r="F742" s="31"/>
    </row>
    <row r="743" spans="4:6">
      <c r="D743" s="8"/>
      <c r="E743" s="8"/>
      <c r="F743" s="31"/>
    </row>
    <row r="744" spans="4:6">
      <c r="D744" s="8"/>
      <c r="E744" s="8"/>
      <c r="F744" s="31"/>
    </row>
    <row r="745" spans="4:6">
      <c r="D745" s="8"/>
      <c r="E745" s="8"/>
      <c r="F745" s="31"/>
    </row>
    <row r="746" spans="4:6">
      <c r="D746" s="8"/>
      <c r="E746" s="8"/>
      <c r="F746" s="31"/>
    </row>
    <row r="747" spans="4:6">
      <c r="D747" s="8"/>
      <c r="E747" s="8"/>
      <c r="F747" s="31"/>
    </row>
    <row r="748" spans="4:6">
      <c r="D748" s="8"/>
      <c r="E748" s="8"/>
      <c r="F748" s="31"/>
    </row>
    <row r="749" spans="4:6">
      <c r="D749" s="8"/>
      <c r="E749" s="8"/>
      <c r="F749" s="31"/>
    </row>
    <row r="750" spans="4:6">
      <c r="D750" s="8"/>
      <c r="E750" s="8"/>
      <c r="F750" s="31"/>
    </row>
    <row r="751" spans="4:6">
      <c r="D751" s="8"/>
      <c r="E751" s="8"/>
      <c r="F751" s="31"/>
    </row>
    <row r="752" spans="4:6">
      <c r="D752" s="8"/>
      <c r="E752" s="8"/>
      <c r="F752" s="31"/>
    </row>
    <row r="753" spans="4:6">
      <c r="D753" s="8"/>
      <c r="E753" s="8"/>
      <c r="F753" s="31"/>
    </row>
    <row r="754" spans="4:6">
      <c r="D754" s="8"/>
      <c r="E754" s="8"/>
      <c r="F754" s="31"/>
    </row>
    <row r="755" spans="4:6">
      <c r="D755" s="8"/>
      <c r="E755" s="8"/>
      <c r="F755" s="31"/>
    </row>
    <row r="756" spans="4:6">
      <c r="D756" s="8"/>
      <c r="E756" s="8"/>
      <c r="F756" s="31"/>
    </row>
    <row r="757" spans="4:6">
      <c r="D757" s="8"/>
      <c r="E757" s="8"/>
      <c r="F757" s="31"/>
    </row>
    <row r="758" spans="4:6">
      <c r="D758" s="8"/>
      <c r="E758" s="8"/>
      <c r="F758" s="31"/>
    </row>
    <row r="759" spans="4:6">
      <c r="D759" s="8"/>
      <c r="E759" s="8"/>
      <c r="F759" s="31"/>
    </row>
    <row r="760" spans="4:6">
      <c r="D760" s="8"/>
      <c r="E760" s="8"/>
      <c r="F760" s="31"/>
    </row>
    <row r="761" spans="4:6">
      <c r="D761" s="8"/>
      <c r="E761" s="8"/>
      <c r="F761" s="31"/>
    </row>
    <row r="762" spans="4:6">
      <c r="D762" s="8"/>
      <c r="E762" s="8"/>
      <c r="F762" s="31"/>
    </row>
    <row r="763" spans="4:6">
      <c r="D763" s="8"/>
      <c r="E763" s="8"/>
      <c r="F763" s="31"/>
    </row>
    <row r="764" spans="4:6">
      <c r="D764" s="8"/>
      <c r="E764" s="8"/>
      <c r="F764" s="31"/>
    </row>
    <row r="765" spans="4:6">
      <c r="D765" s="8"/>
      <c r="E765" s="8"/>
      <c r="F765" s="31"/>
    </row>
    <row r="766" spans="4:6">
      <c r="D766" s="8"/>
      <c r="E766" s="8"/>
      <c r="F766" s="31"/>
    </row>
    <row r="767" spans="4:6">
      <c r="D767" s="8"/>
      <c r="E767" s="8"/>
      <c r="F767" s="31"/>
    </row>
    <row r="768" spans="4:6">
      <c r="D768" s="8"/>
      <c r="E768" s="8"/>
      <c r="F768" s="31"/>
    </row>
    <row r="769" spans="4:6">
      <c r="D769" s="8"/>
      <c r="E769" s="8"/>
      <c r="F769" s="31"/>
    </row>
    <row r="770" spans="4:6">
      <c r="D770" s="8"/>
      <c r="E770" s="8"/>
      <c r="F770" s="31"/>
    </row>
    <row r="771" spans="4:6">
      <c r="D771" s="8"/>
      <c r="E771" s="8"/>
      <c r="F771" s="31"/>
    </row>
    <row r="772" spans="4:6">
      <c r="D772" s="8"/>
      <c r="E772" s="8"/>
      <c r="F772" s="31"/>
    </row>
    <row r="773" spans="4:6">
      <c r="D773" s="8"/>
      <c r="E773" s="8"/>
      <c r="F773" s="31"/>
    </row>
    <row r="774" spans="4:6">
      <c r="D774" s="8"/>
      <c r="E774" s="8"/>
      <c r="F774" s="31"/>
    </row>
    <row r="775" spans="4:6">
      <c r="D775" s="8"/>
      <c r="E775" s="8"/>
      <c r="F775" s="31"/>
    </row>
    <row r="776" spans="4:6">
      <c r="D776" s="8"/>
      <c r="E776" s="8"/>
      <c r="F776" s="31"/>
    </row>
    <row r="777" spans="4:6">
      <c r="D777" s="8"/>
      <c r="E777" s="8"/>
      <c r="F777" s="31"/>
    </row>
    <row r="778" spans="4:6">
      <c r="D778" s="8"/>
      <c r="E778" s="8"/>
      <c r="F778" s="31"/>
    </row>
    <row r="779" spans="4:6">
      <c r="D779" s="8"/>
      <c r="E779" s="8"/>
      <c r="F779" s="31"/>
    </row>
    <row r="780" spans="4:6">
      <c r="D780" s="8"/>
      <c r="E780" s="8"/>
      <c r="F780" s="31"/>
    </row>
    <row r="781" spans="4:6">
      <c r="D781" s="8"/>
      <c r="E781" s="8"/>
      <c r="F781" s="31"/>
    </row>
    <row r="782" spans="4:6">
      <c r="D782" s="8"/>
      <c r="E782" s="8"/>
      <c r="F782" s="31"/>
    </row>
    <row r="783" spans="4:6">
      <c r="D783" s="8"/>
      <c r="E783" s="8"/>
      <c r="F783" s="31"/>
    </row>
    <row r="784" spans="4:6">
      <c r="D784" s="8"/>
      <c r="E784" s="8"/>
      <c r="F784" s="31"/>
    </row>
    <row r="785" spans="4:6">
      <c r="D785" s="8"/>
      <c r="E785" s="8"/>
      <c r="F785" s="31"/>
    </row>
    <row r="786" spans="4:6">
      <c r="D786" s="8"/>
      <c r="E786" s="8"/>
      <c r="F786" s="31"/>
    </row>
    <row r="787" spans="4:6">
      <c r="D787" s="8"/>
      <c r="E787" s="8"/>
      <c r="F787" s="31"/>
    </row>
    <row r="788" spans="4:6">
      <c r="D788" s="8"/>
      <c r="E788" s="8"/>
      <c r="F788" s="31"/>
    </row>
    <row r="789" spans="4:6">
      <c r="D789" s="8"/>
      <c r="E789" s="8"/>
      <c r="F789" s="31"/>
    </row>
    <row r="790" spans="4:6">
      <c r="D790" s="8"/>
      <c r="E790" s="8"/>
      <c r="F790" s="31"/>
    </row>
    <row r="791" spans="4:6">
      <c r="D791" s="8"/>
      <c r="E791" s="8"/>
      <c r="F791" s="31"/>
    </row>
    <row r="792" spans="4:6">
      <c r="D792" s="8"/>
      <c r="E792" s="8"/>
      <c r="F792" s="31"/>
    </row>
    <row r="793" spans="4:6">
      <c r="D793" s="8"/>
      <c r="E793" s="8"/>
      <c r="F793" s="31"/>
    </row>
    <row r="794" spans="4:6">
      <c r="D794" s="8"/>
      <c r="E794" s="8"/>
      <c r="F794" s="31"/>
    </row>
    <row r="795" spans="4:6">
      <c r="D795" s="8"/>
      <c r="E795" s="8"/>
      <c r="F795" s="31"/>
    </row>
    <row r="796" spans="4:6">
      <c r="D796" s="8"/>
      <c r="E796" s="8"/>
      <c r="F796" s="31"/>
    </row>
    <row r="797" spans="4:6">
      <c r="D797" s="8"/>
      <c r="E797" s="8"/>
      <c r="F797" s="31"/>
    </row>
    <row r="798" spans="4:6">
      <c r="D798" s="8"/>
      <c r="E798" s="8"/>
      <c r="F798" s="31"/>
    </row>
    <row r="799" spans="4:6">
      <c r="D799" s="8"/>
      <c r="E799" s="8"/>
      <c r="F799" s="31"/>
    </row>
    <row r="800" spans="4:6">
      <c r="D800" s="8"/>
      <c r="E800" s="8"/>
      <c r="F800" s="31"/>
    </row>
    <row r="801" spans="4:6">
      <c r="D801" s="8"/>
      <c r="E801" s="8"/>
      <c r="F801" s="31"/>
    </row>
    <row r="802" spans="4:6">
      <c r="D802" s="8"/>
      <c r="E802" s="8"/>
      <c r="F802" s="31"/>
    </row>
    <row r="803" spans="4:6">
      <c r="D803" s="8"/>
      <c r="E803" s="8"/>
      <c r="F803" s="31"/>
    </row>
    <row r="804" spans="4:6">
      <c r="D804" s="8"/>
      <c r="E804" s="8"/>
      <c r="F804" s="31"/>
    </row>
    <row r="805" spans="4:6">
      <c r="D805" s="8"/>
      <c r="E805" s="8"/>
      <c r="F805" s="31"/>
    </row>
    <row r="806" spans="4:6">
      <c r="D806" s="8"/>
      <c r="E806" s="8"/>
      <c r="F806" s="31"/>
    </row>
    <row r="807" spans="4:6">
      <c r="D807" s="8"/>
      <c r="E807" s="8"/>
      <c r="F807" s="31"/>
    </row>
    <row r="808" spans="4:6">
      <c r="D808" s="8"/>
      <c r="E808" s="8"/>
      <c r="F808" s="31"/>
    </row>
    <row r="809" spans="4:6">
      <c r="D809" s="8"/>
      <c r="E809" s="8"/>
      <c r="F809" s="31"/>
    </row>
    <row r="810" spans="4:6">
      <c r="D810" s="8"/>
      <c r="E810" s="8"/>
      <c r="F810" s="31"/>
    </row>
    <row r="811" spans="4:6">
      <c r="D811" s="8"/>
      <c r="E811" s="8"/>
      <c r="F811" s="31"/>
    </row>
    <row r="812" spans="4:6">
      <c r="D812" s="8"/>
      <c r="E812" s="8"/>
      <c r="F812" s="31"/>
    </row>
    <row r="813" spans="4:6">
      <c r="D813" s="8"/>
      <c r="E813" s="8"/>
      <c r="F813" s="31"/>
    </row>
    <row r="814" spans="4:6">
      <c r="D814" s="8"/>
      <c r="E814" s="8"/>
      <c r="F814" s="31"/>
    </row>
    <row r="815" spans="4:6">
      <c r="D815" s="8"/>
      <c r="E815" s="8"/>
      <c r="F815" s="31"/>
    </row>
    <row r="816" spans="4:6">
      <c r="D816" s="8"/>
      <c r="E816" s="8"/>
      <c r="F816" s="31"/>
    </row>
    <row r="817" spans="4:6">
      <c r="D817" s="8"/>
      <c r="E817" s="8"/>
      <c r="F817" s="31"/>
    </row>
    <row r="818" spans="4:6">
      <c r="D818" s="8"/>
      <c r="E818" s="8"/>
      <c r="F818" s="31"/>
    </row>
    <row r="819" spans="4:6">
      <c r="D819" s="8"/>
      <c r="E819" s="8"/>
      <c r="F819" s="31"/>
    </row>
    <row r="820" spans="4:6">
      <c r="D820" s="8"/>
      <c r="E820" s="8"/>
      <c r="F820" s="31"/>
    </row>
    <row r="821" spans="4:6">
      <c r="D821" s="8"/>
      <c r="E821" s="8"/>
      <c r="F821" s="31"/>
    </row>
    <row r="822" spans="4:6">
      <c r="D822" s="8"/>
      <c r="E822" s="8"/>
      <c r="F822" s="31"/>
    </row>
    <row r="823" spans="4:6">
      <c r="D823" s="8"/>
      <c r="E823" s="8"/>
      <c r="F823" s="31"/>
    </row>
    <row r="824" spans="4:6">
      <c r="D824" s="8"/>
      <c r="E824" s="8"/>
      <c r="F824" s="31"/>
    </row>
    <row r="825" spans="4:6">
      <c r="D825" s="8"/>
      <c r="E825" s="8"/>
      <c r="F825" s="31"/>
    </row>
    <row r="826" spans="4:6">
      <c r="D826" s="8"/>
      <c r="E826" s="8"/>
      <c r="F826" s="31"/>
    </row>
    <row r="827" spans="4:6">
      <c r="D827" s="8"/>
      <c r="E827" s="8"/>
      <c r="F827" s="31"/>
    </row>
    <row r="828" spans="4:6">
      <c r="D828" s="8"/>
      <c r="E828" s="8"/>
      <c r="F828" s="31"/>
    </row>
    <row r="829" spans="4:6">
      <c r="D829" s="8"/>
      <c r="E829" s="8"/>
      <c r="F829" s="31"/>
    </row>
    <row r="830" spans="4:6">
      <c r="D830" s="8"/>
      <c r="E830" s="8"/>
      <c r="F830" s="31"/>
    </row>
    <row r="831" spans="4:6">
      <c r="D831" s="8"/>
      <c r="E831" s="8"/>
      <c r="F831" s="31"/>
    </row>
    <row r="832" spans="4:6">
      <c r="D832" s="8"/>
      <c r="E832" s="8"/>
      <c r="F832" s="31"/>
    </row>
    <row r="833" spans="4:6">
      <c r="D833" s="8"/>
      <c r="E833" s="8"/>
      <c r="F833" s="31"/>
    </row>
    <row r="834" spans="4:6">
      <c r="D834" s="8"/>
      <c r="E834" s="8"/>
      <c r="F834" s="31"/>
    </row>
    <row r="835" spans="4:6">
      <c r="D835" s="8"/>
      <c r="E835" s="8"/>
      <c r="F835" s="31"/>
    </row>
    <row r="836" spans="4:6">
      <c r="D836" s="8"/>
      <c r="E836" s="8"/>
      <c r="F836" s="31"/>
    </row>
    <row r="837" spans="4:6">
      <c r="D837" s="8"/>
      <c r="E837" s="8"/>
      <c r="F837" s="31"/>
    </row>
    <row r="838" spans="4:6">
      <c r="D838" s="8"/>
      <c r="E838" s="8"/>
      <c r="F838" s="31"/>
    </row>
    <row r="839" spans="4:6">
      <c r="D839" s="8"/>
      <c r="E839" s="8"/>
      <c r="F839" s="31"/>
    </row>
    <row r="840" spans="4:6">
      <c r="D840" s="8"/>
      <c r="E840" s="8"/>
      <c r="F840" s="31"/>
    </row>
    <row r="841" spans="4:6">
      <c r="D841" s="8"/>
      <c r="E841" s="8"/>
      <c r="F841" s="31"/>
    </row>
    <row r="842" spans="4:6">
      <c r="D842" s="8"/>
      <c r="E842" s="8"/>
      <c r="F842" s="31"/>
    </row>
    <row r="843" spans="4:6">
      <c r="D843" s="8"/>
      <c r="E843" s="8"/>
      <c r="F843" s="31"/>
    </row>
    <row r="844" spans="4:6">
      <c r="D844" s="8"/>
      <c r="E844" s="8"/>
      <c r="F844" s="31"/>
    </row>
    <row r="845" spans="4:6">
      <c r="D845" s="8"/>
      <c r="E845" s="8"/>
      <c r="F845" s="31"/>
    </row>
    <row r="846" spans="4:6">
      <c r="D846" s="8"/>
      <c r="E846" s="8"/>
      <c r="F846" s="31"/>
    </row>
    <row r="847" spans="4:6">
      <c r="D847" s="8"/>
      <c r="E847" s="8"/>
      <c r="F847" s="31"/>
    </row>
    <row r="848" spans="4:6">
      <c r="D848" s="8"/>
      <c r="E848" s="8"/>
      <c r="F848" s="31"/>
    </row>
    <row r="849" spans="4:6">
      <c r="D849" s="8"/>
      <c r="E849" s="8"/>
      <c r="F849" s="31"/>
    </row>
    <row r="850" spans="4:6">
      <c r="D850" s="8"/>
      <c r="E850" s="8"/>
      <c r="F850" s="31"/>
    </row>
    <row r="851" spans="4:6">
      <c r="D851" s="8"/>
      <c r="E851" s="8"/>
      <c r="F851" s="31"/>
    </row>
    <row r="852" spans="4:6">
      <c r="D852" s="8"/>
      <c r="E852" s="8"/>
      <c r="F852" s="31"/>
    </row>
    <row r="853" spans="4:6">
      <c r="D853" s="8"/>
      <c r="E853" s="8"/>
      <c r="F853" s="31"/>
    </row>
    <row r="854" spans="4:6">
      <c r="D854" s="8"/>
      <c r="E854" s="8"/>
      <c r="F854" s="31"/>
    </row>
    <row r="855" spans="4:6">
      <c r="D855" s="8"/>
      <c r="E855" s="8"/>
      <c r="F855" s="31"/>
    </row>
    <row r="856" spans="4:6">
      <c r="D856" s="8"/>
      <c r="E856" s="8"/>
      <c r="F856" s="31"/>
    </row>
    <row r="857" spans="4:6">
      <c r="D857" s="8"/>
      <c r="E857" s="8"/>
      <c r="F857" s="31"/>
    </row>
    <row r="858" spans="4:6">
      <c r="D858" s="8"/>
      <c r="E858" s="8"/>
      <c r="F858" s="31"/>
    </row>
    <row r="859" spans="4:6">
      <c r="D859" s="8"/>
      <c r="E859" s="8"/>
      <c r="F859" s="31"/>
    </row>
    <row r="860" spans="4:6">
      <c r="D860" s="8"/>
      <c r="E860" s="8"/>
      <c r="F860" s="31"/>
    </row>
    <row r="861" spans="4:6">
      <c r="D861" s="8"/>
      <c r="E861" s="8"/>
      <c r="F861" s="31"/>
    </row>
    <row r="862" spans="4:6">
      <c r="D862" s="8"/>
      <c r="E862" s="8"/>
      <c r="F862" s="31"/>
    </row>
    <row r="863" spans="4:6">
      <c r="D863" s="8"/>
      <c r="E863" s="8"/>
      <c r="F863" s="31"/>
    </row>
    <row r="864" spans="4:6">
      <c r="D864" s="8"/>
      <c r="E864" s="8"/>
      <c r="F864" s="31"/>
    </row>
    <row r="865" spans="4:6">
      <c r="D865" s="8"/>
      <c r="E865" s="8"/>
      <c r="F865" s="31"/>
    </row>
    <row r="866" spans="4:6">
      <c r="D866" s="8"/>
      <c r="E866" s="8"/>
      <c r="F866" s="31"/>
    </row>
    <row r="867" spans="4:6">
      <c r="D867" s="8"/>
      <c r="E867" s="8"/>
      <c r="F867" s="31"/>
    </row>
    <row r="868" spans="4:6">
      <c r="D868" s="8"/>
      <c r="E868" s="8"/>
      <c r="F868" s="31"/>
    </row>
    <row r="869" spans="4:6">
      <c r="D869" s="8"/>
      <c r="E869" s="8"/>
      <c r="F869" s="31"/>
    </row>
    <row r="870" spans="4:6">
      <c r="D870" s="8"/>
      <c r="E870" s="8"/>
      <c r="F870" s="31"/>
    </row>
    <row r="871" spans="4:6">
      <c r="D871" s="8"/>
      <c r="E871" s="8"/>
      <c r="F871" s="31"/>
    </row>
    <row r="872" spans="4:6">
      <c r="D872" s="8"/>
      <c r="E872" s="8"/>
      <c r="F872" s="31"/>
    </row>
    <row r="873" spans="4:6">
      <c r="D873" s="8"/>
      <c r="E873" s="8"/>
      <c r="F873" s="31"/>
    </row>
    <row r="874" spans="4:6">
      <c r="D874" s="8"/>
      <c r="E874" s="8"/>
      <c r="F874" s="31"/>
    </row>
    <row r="875" spans="4:6">
      <c r="D875" s="8"/>
      <c r="E875" s="8"/>
      <c r="F875" s="31"/>
    </row>
    <row r="876" spans="4:6">
      <c r="D876" s="8"/>
      <c r="E876" s="8"/>
      <c r="F876" s="31"/>
    </row>
    <row r="877" spans="4:6">
      <c r="D877" s="8"/>
      <c r="E877" s="8"/>
      <c r="F877" s="31"/>
    </row>
    <row r="878" spans="4:6">
      <c r="D878" s="8"/>
      <c r="E878" s="8"/>
      <c r="F878" s="31"/>
    </row>
    <row r="879" spans="4:6">
      <c r="D879" s="8"/>
      <c r="E879" s="8"/>
      <c r="F879" s="31"/>
    </row>
    <row r="880" spans="4:6">
      <c r="D880" s="8"/>
      <c r="E880" s="8"/>
      <c r="F880" s="31"/>
    </row>
    <row r="881" spans="4:6">
      <c r="D881" s="8"/>
      <c r="E881" s="8"/>
      <c r="F881" s="31"/>
    </row>
    <row r="882" spans="4:6">
      <c r="D882" s="8"/>
      <c r="E882" s="8"/>
      <c r="F882" s="31"/>
    </row>
    <row r="883" spans="4:6">
      <c r="D883" s="8"/>
      <c r="E883" s="8"/>
      <c r="F883" s="31"/>
    </row>
    <row r="884" spans="4:6">
      <c r="D884" s="8"/>
      <c r="E884" s="8"/>
      <c r="F884" s="31"/>
    </row>
    <row r="885" spans="4:6">
      <c r="D885" s="8"/>
      <c r="E885" s="8"/>
      <c r="F885" s="31"/>
    </row>
    <row r="886" spans="4:6">
      <c r="D886" s="8"/>
      <c r="E886" s="8"/>
      <c r="F886" s="31"/>
    </row>
    <row r="887" spans="4:6">
      <c r="D887" s="8"/>
      <c r="E887" s="8"/>
      <c r="F887" s="31"/>
    </row>
    <row r="888" spans="4:6">
      <c r="D888" s="8"/>
      <c r="E888" s="8"/>
      <c r="F888" s="31"/>
    </row>
    <row r="889" spans="4:6">
      <c r="D889" s="8"/>
      <c r="E889" s="8"/>
      <c r="F889" s="31"/>
    </row>
    <row r="890" spans="4:6">
      <c r="D890" s="8"/>
      <c r="E890" s="8"/>
      <c r="F890" s="31"/>
    </row>
    <row r="891" spans="4:6">
      <c r="D891" s="8"/>
      <c r="E891" s="8"/>
      <c r="F891" s="31"/>
    </row>
    <row r="892" spans="4:6">
      <c r="D892" s="8"/>
      <c r="E892" s="8"/>
      <c r="F892" s="31"/>
    </row>
    <row r="893" spans="4:6">
      <c r="D893" s="8"/>
      <c r="E893" s="8"/>
      <c r="F893" s="31"/>
    </row>
    <row r="894" spans="4:6">
      <c r="D894" s="8"/>
      <c r="E894" s="8"/>
      <c r="F894" s="31"/>
    </row>
    <row r="895" spans="4:6">
      <c r="D895" s="8"/>
      <c r="E895" s="8"/>
      <c r="F895" s="31"/>
    </row>
    <row r="896" spans="4:6">
      <c r="D896" s="8"/>
      <c r="E896" s="8"/>
      <c r="F896" s="31"/>
    </row>
    <row r="897" spans="4:6">
      <c r="D897" s="8"/>
      <c r="E897" s="8"/>
      <c r="F897" s="31"/>
    </row>
    <row r="898" spans="4:6">
      <c r="D898" s="8"/>
      <c r="E898" s="8"/>
      <c r="F898" s="31"/>
    </row>
    <row r="899" spans="4:6">
      <c r="D899" s="8"/>
      <c r="E899" s="8"/>
      <c r="F899" s="31"/>
    </row>
    <row r="900" spans="4:6">
      <c r="D900" s="8"/>
      <c r="E900" s="8"/>
      <c r="F900" s="31"/>
    </row>
    <row r="901" spans="4:6">
      <c r="D901" s="8"/>
      <c r="E901" s="8"/>
      <c r="F901" s="31"/>
    </row>
    <row r="902" spans="4:6">
      <c r="D902" s="8"/>
      <c r="E902" s="8"/>
      <c r="F902" s="31"/>
    </row>
    <row r="903" spans="4:6">
      <c r="D903" s="8"/>
      <c r="E903" s="8"/>
      <c r="F903" s="31"/>
    </row>
    <row r="904" spans="4:6">
      <c r="D904" s="8"/>
      <c r="E904" s="8"/>
      <c r="F904" s="31"/>
    </row>
    <row r="905" spans="4:6">
      <c r="D905" s="8"/>
      <c r="E905" s="8"/>
      <c r="F905" s="31"/>
    </row>
    <row r="906" spans="4:6">
      <c r="D906" s="8"/>
      <c r="E906" s="8"/>
      <c r="F906" s="31"/>
    </row>
    <row r="907" spans="4:6">
      <c r="D907" s="8"/>
      <c r="E907" s="8"/>
      <c r="F907" s="31"/>
    </row>
    <row r="908" spans="4:6">
      <c r="D908" s="8"/>
      <c r="E908" s="8"/>
      <c r="F908" s="31"/>
    </row>
    <row r="909" spans="4:6">
      <c r="D909" s="8"/>
      <c r="E909" s="8"/>
      <c r="F909" s="31"/>
    </row>
    <row r="910" spans="4:6">
      <c r="D910" s="8"/>
      <c r="E910" s="8"/>
      <c r="F910" s="31"/>
    </row>
    <row r="911" spans="4:6">
      <c r="D911" s="8"/>
      <c r="E911" s="8"/>
      <c r="F911" s="31"/>
    </row>
    <row r="912" spans="4:6">
      <c r="D912" s="8"/>
      <c r="E912" s="8"/>
      <c r="F912" s="31"/>
    </row>
    <row r="913" spans="4:6">
      <c r="D913" s="8"/>
      <c r="E913" s="8"/>
      <c r="F913" s="31"/>
    </row>
    <row r="914" spans="4:6">
      <c r="D914" s="8"/>
      <c r="E914" s="8"/>
      <c r="F914" s="31"/>
    </row>
    <row r="915" spans="4:6">
      <c r="D915" s="8"/>
      <c r="E915" s="8"/>
      <c r="F915" s="31"/>
    </row>
    <row r="916" spans="4:6">
      <c r="D916" s="8"/>
      <c r="E916" s="8"/>
      <c r="F916" s="31"/>
    </row>
    <row r="917" spans="4:6">
      <c r="D917" s="8"/>
      <c r="E917" s="8"/>
      <c r="F917" s="31"/>
    </row>
    <row r="918" spans="4:6">
      <c r="D918" s="8"/>
      <c r="E918" s="8"/>
      <c r="F918" s="31"/>
    </row>
    <row r="919" spans="4:6">
      <c r="D919" s="8"/>
      <c r="E919" s="8"/>
      <c r="F919" s="31"/>
    </row>
    <row r="920" spans="4:6">
      <c r="D920" s="8"/>
      <c r="E920" s="8"/>
      <c r="F920" s="31"/>
    </row>
    <row r="921" spans="4:6">
      <c r="D921" s="8"/>
      <c r="E921" s="8"/>
      <c r="F921" s="31"/>
    </row>
    <row r="922" spans="4:6">
      <c r="D922" s="8"/>
      <c r="E922" s="8"/>
      <c r="F922" s="31"/>
    </row>
    <row r="923" spans="4:6">
      <c r="D923" s="8"/>
      <c r="E923" s="8"/>
      <c r="F923" s="31"/>
    </row>
    <row r="924" spans="4:6">
      <c r="D924" s="8"/>
      <c r="E924" s="8"/>
      <c r="F924" s="31"/>
    </row>
    <row r="925" spans="4:6">
      <c r="D925" s="8"/>
      <c r="E925" s="8"/>
      <c r="F925" s="31"/>
    </row>
    <row r="926" spans="4:6">
      <c r="D926" s="8"/>
      <c r="E926" s="8"/>
      <c r="F926" s="31"/>
    </row>
    <row r="927" spans="4:6">
      <c r="D927" s="8"/>
      <c r="E927" s="8"/>
      <c r="F927" s="31"/>
    </row>
    <row r="928" spans="4:6">
      <c r="D928" s="8"/>
      <c r="E928" s="8"/>
      <c r="F928" s="31"/>
    </row>
    <row r="929" spans="4:6">
      <c r="D929" s="8"/>
      <c r="E929" s="8"/>
      <c r="F929" s="31"/>
    </row>
    <row r="930" spans="4:6">
      <c r="D930" s="8"/>
      <c r="E930" s="8"/>
      <c r="F930" s="31"/>
    </row>
    <row r="931" spans="4:6">
      <c r="D931" s="8"/>
      <c r="E931" s="8"/>
      <c r="F931" s="31"/>
    </row>
    <row r="932" spans="4:6">
      <c r="D932" s="8"/>
      <c r="E932" s="8"/>
      <c r="F932" s="31"/>
    </row>
    <row r="933" spans="4:6">
      <c r="D933" s="8"/>
      <c r="E933" s="8"/>
      <c r="F933" s="31"/>
    </row>
    <row r="934" spans="4:6">
      <c r="D934" s="8"/>
      <c r="E934" s="8"/>
      <c r="F934" s="31"/>
    </row>
    <row r="935" spans="4:6">
      <c r="D935" s="8"/>
      <c r="E935" s="8"/>
      <c r="F935" s="31"/>
    </row>
    <row r="936" spans="4:6">
      <c r="D936" s="8"/>
      <c r="E936" s="8"/>
      <c r="F936" s="31"/>
    </row>
    <row r="937" spans="4:6">
      <c r="D937" s="8"/>
      <c r="E937" s="8"/>
      <c r="F937" s="31"/>
    </row>
    <row r="938" spans="4:6">
      <c r="D938" s="8"/>
      <c r="E938" s="8"/>
      <c r="F938" s="31"/>
    </row>
    <row r="939" spans="4:6">
      <c r="D939" s="8"/>
      <c r="E939" s="8"/>
      <c r="F939" s="31"/>
    </row>
    <row r="940" spans="4:6">
      <c r="D940" s="8"/>
      <c r="E940" s="8"/>
      <c r="F940" s="31"/>
    </row>
    <row r="941" spans="4:6">
      <c r="D941" s="8"/>
      <c r="E941" s="8"/>
      <c r="F941" s="31"/>
    </row>
    <row r="942" spans="4:6">
      <c r="D942" s="8"/>
      <c r="E942" s="8"/>
      <c r="F942" s="31"/>
    </row>
    <row r="943" spans="4:6">
      <c r="D943" s="8"/>
      <c r="E943" s="8"/>
      <c r="F943" s="31"/>
    </row>
    <row r="944" spans="4:6">
      <c r="D944" s="8"/>
      <c r="E944" s="8"/>
      <c r="F944" s="31"/>
    </row>
    <row r="945" spans="4:6">
      <c r="D945" s="8"/>
      <c r="E945" s="8"/>
      <c r="F945" s="31"/>
    </row>
    <row r="946" spans="4:6">
      <c r="D946" s="8"/>
      <c r="E946" s="8"/>
      <c r="F946" s="31"/>
    </row>
    <row r="947" spans="4:6">
      <c r="D947" s="8"/>
      <c r="E947" s="8"/>
      <c r="F947" s="31"/>
    </row>
    <row r="948" spans="4:6">
      <c r="D948" s="8"/>
      <c r="E948" s="8"/>
      <c r="F948" s="31"/>
    </row>
    <row r="949" spans="4:6">
      <c r="D949" s="8"/>
      <c r="E949" s="8"/>
      <c r="F949" s="31"/>
    </row>
    <row r="950" spans="4:6">
      <c r="D950" s="8"/>
      <c r="E950" s="8"/>
      <c r="F950" s="31"/>
    </row>
    <row r="951" spans="4:6">
      <c r="D951" s="8"/>
      <c r="E951" s="8"/>
      <c r="F951" s="31"/>
    </row>
    <row r="952" spans="4:6">
      <c r="D952" s="8"/>
      <c r="E952" s="8"/>
      <c r="F952" s="31"/>
    </row>
    <row r="953" spans="4:6">
      <c r="D953" s="8"/>
      <c r="E953" s="8"/>
      <c r="F953" s="31"/>
    </row>
    <row r="954" spans="4:6">
      <c r="D954" s="8"/>
      <c r="E954" s="8"/>
      <c r="F954" s="31"/>
    </row>
    <row r="955" spans="4:6">
      <c r="D955" s="8"/>
      <c r="E955" s="8"/>
      <c r="F955" s="31"/>
    </row>
    <row r="956" spans="4:6">
      <c r="D956" s="8"/>
      <c r="E956" s="8"/>
      <c r="F956" s="31"/>
    </row>
    <row r="957" spans="4:6">
      <c r="D957" s="8"/>
      <c r="E957" s="8"/>
      <c r="F957" s="31"/>
    </row>
    <row r="958" spans="4:6">
      <c r="D958" s="8"/>
      <c r="E958" s="8"/>
      <c r="F958" s="31"/>
    </row>
    <row r="959" spans="4:6">
      <c r="D959" s="8"/>
      <c r="E959" s="8"/>
      <c r="F959" s="31"/>
    </row>
    <row r="960" spans="4:6">
      <c r="D960" s="8"/>
      <c r="E960" s="8"/>
      <c r="F960" s="31"/>
    </row>
    <row r="961" spans="4:6">
      <c r="D961" s="8"/>
      <c r="E961" s="8"/>
      <c r="F961" s="31"/>
    </row>
    <row r="962" spans="4:6">
      <c r="D962" s="8"/>
      <c r="E962" s="8"/>
      <c r="F962" s="31"/>
    </row>
    <row r="963" spans="4:6">
      <c r="D963" s="8"/>
      <c r="E963" s="8"/>
      <c r="F963" s="31"/>
    </row>
    <row r="964" spans="4:6">
      <c r="D964" s="8"/>
      <c r="E964" s="8"/>
      <c r="F964" s="31"/>
    </row>
    <row r="965" spans="4:6">
      <c r="D965" s="8"/>
      <c r="E965" s="8"/>
      <c r="F965" s="31"/>
    </row>
    <row r="966" spans="4:6">
      <c r="D966" s="8"/>
      <c r="E966" s="8"/>
      <c r="F966" s="31"/>
    </row>
    <row r="967" spans="4:6">
      <c r="D967" s="8"/>
      <c r="E967" s="8"/>
      <c r="F967" s="31"/>
    </row>
    <row r="968" spans="4:6">
      <c r="D968" s="8"/>
      <c r="E968" s="8"/>
      <c r="F968" s="31"/>
    </row>
    <row r="969" spans="4:6">
      <c r="D969" s="8"/>
      <c r="E969" s="8"/>
      <c r="F969" s="31"/>
    </row>
    <row r="970" spans="4:6">
      <c r="D970" s="8"/>
      <c r="E970" s="8"/>
      <c r="F970" s="31"/>
    </row>
    <row r="971" spans="4:6">
      <c r="D971" s="8"/>
      <c r="E971" s="8"/>
      <c r="F971" s="31"/>
    </row>
    <row r="972" spans="4:6">
      <c r="D972" s="8"/>
      <c r="E972" s="8"/>
      <c r="F972" s="31"/>
    </row>
    <row r="973" spans="4:6">
      <c r="D973" s="8"/>
      <c r="E973" s="8"/>
      <c r="F973" s="31"/>
    </row>
    <row r="974" spans="4:6">
      <c r="D974" s="8"/>
      <c r="E974" s="8"/>
      <c r="F974" s="31"/>
    </row>
    <row r="975" spans="4:6">
      <c r="D975" s="8"/>
      <c r="E975" s="8"/>
      <c r="F975" s="31"/>
    </row>
    <row r="976" spans="4:6">
      <c r="D976" s="8"/>
      <c r="E976" s="8"/>
      <c r="F976" s="31"/>
    </row>
    <row r="977" spans="4:6">
      <c r="D977" s="8"/>
      <c r="E977" s="8"/>
      <c r="F977" s="31"/>
    </row>
    <row r="978" spans="4:6">
      <c r="D978" s="8"/>
      <c r="E978" s="8"/>
      <c r="F978" s="31"/>
    </row>
    <row r="979" spans="4:6">
      <c r="D979" s="8"/>
      <c r="E979" s="8"/>
      <c r="F979" s="31"/>
    </row>
    <row r="980" spans="4:6">
      <c r="D980" s="8"/>
      <c r="E980" s="8"/>
      <c r="F980" s="31"/>
    </row>
    <row r="981" spans="4:6">
      <c r="D981" s="8"/>
      <c r="E981" s="8"/>
      <c r="F981" s="31"/>
    </row>
    <row r="982" spans="4:6">
      <c r="D982" s="8"/>
      <c r="E982" s="8"/>
      <c r="F982" s="31"/>
    </row>
    <row r="983" spans="4:6">
      <c r="D983" s="8"/>
      <c r="E983" s="8"/>
      <c r="F983" s="31"/>
    </row>
    <row r="984" spans="4:6">
      <c r="D984" s="8"/>
      <c r="E984" s="8"/>
      <c r="F984" s="31"/>
    </row>
    <row r="985" spans="4:6">
      <c r="D985" s="8"/>
      <c r="E985" s="8"/>
      <c r="F985" s="31"/>
    </row>
    <row r="986" spans="4:6">
      <c r="D986" s="8"/>
      <c r="E986" s="8"/>
      <c r="F986" s="31"/>
    </row>
    <row r="987" spans="4:6">
      <c r="D987" s="8"/>
      <c r="E987" s="8"/>
      <c r="F987" s="31"/>
    </row>
    <row r="988" spans="4:6">
      <c r="D988" s="8"/>
      <c r="E988" s="8"/>
      <c r="F988" s="31"/>
    </row>
    <row r="989" spans="4:6">
      <c r="D989" s="8"/>
      <c r="E989" s="8"/>
      <c r="F989" s="31"/>
    </row>
    <row r="990" spans="4:6">
      <c r="D990" s="8"/>
      <c r="E990" s="8"/>
      <c r="F990" s="31"/>
    </row>
    <row r="991" spans="4:6">
      <c r="D991" s="8"/>
      <c r="E991" s="8"/>
      <c r="F991" s="31"/>
    </row>
    <row r="992" spans="4:6">
      <c r="D992" s="8"/>
      <c r="E992" s="8"/>
      <c r="F992" s="31"/>
    </row>
    <row r="993" spans="4:6">
      <c r="D993" s="8"/>
      <c r="E993" s="8"/>
      <c r="F993" s="31"/>
    </row>
    <row r="994" spans="4:6">
      <c r="D994" s="8"/>
      <c r="E994" s="8"/>
      <c r="F994" s="31"/>
    </row>
    <row r="995" spans="4:6">
      <c r="D995" s="8"/>
      <c r="E995" s="8"/>
      <c r="F995" s="31"/>
    </row>
    <row r="996" spans="4:6">
      <c r="D996" s="8"/>
      <c r="E996" s="8"/>
      <c r="F996" s="31"/>
    </row>
    <row r="997" spans="4:6">
      <c r="D997" s="8"/>
      <c r="E997" s="8"/>
      <c r="F997" s="31"/>
    </row>
    <row r="998" spans="4:6">
      <c r="D998" s="8"/>
      <c r="E998" s="8"/>
      <c r="F998" s="31"/>
    </row>
    <row r="999" spans="4:6">
      <c r="D999" s="8"/>
      <c r="E999" s="8"/>
      <c r="F999" s="31"/>
    </row>
    <row r="1000" spans="4:6">
      <c r="D1000" s="8"/>
      <c r="E1000" s="8"/>
      <c r="F1000" s="31"/>
    </row>
    <row r="1001" spans="4:6">
      <c r="D1001" s="8"/>
      <c r="E1001" s="8"/>
      <c r="F1001" s="31"/>
    </row>
    <row r="1002" spans="4:6">
      <c r="D1002" s="8"/>
      <c r="E1002" s="8"/>
      <c r="F1002" s="31"/>
    </row>
    <row r="1003" spans="4:6">
      <c r="D1003" s="8"/>
      <c r="E1003" s="8"/>
      <c r="F1003" s="31"/>
    </row>
    <row r="1004" spans="4:6">
      <c r="D1004" s="8"/>
      <c r="E1004" s="8"/>
      <c r="F1004" s="31"/>
    </row>
    <row r="1005" spans="4:6">
      <c r="D1005" s="8"/>
      <c r="E1005" s="8"/>
      <c r="F1005" s="31"/>
    </row>
    <row r="1006" spans="4:6">
      <c r="D1006" s="8"/>
      <c r="E1006" s="8"/>
      <c r="F1006" s="31"/>
    </row>
    <row r="1007" spans="4:6">
      <c r="D1007" s="8"/>
      <c r="E1007" s="8"/>
      <c r="F1007" s="31"/>
    </row>
    <row r="1008" spans="4:6">
      <c r="D1008" s="8"/>
      <c r="E1008" s="8"/>
      <c r="F1008" s="31"/>
    </row>
    <row r="1009" spans="4:6">
      <c r="D1009" s="8"/>
      <c r="E1009" s="8"/>
      <c r="F1009" s="31"/>
    </row>
    <row r="1010" spans="4:6">
      <c r="D1010" s="8"/>
      <c r="E1010" s="8"/>
      <c r="F1010" s="31"/>
    </row>
    <row r="1011" spans="4:6">
      <c r="D1011" s="8"/>
      <c r="E1011" s="8"/>
      <c r="F1011" s="31"/>
    </row>
    <row r="1012" spans="4:6">
      <c r="D1012" s="8"/>
      <c r="E1012" s="8"/>
      <c r="F1012" s="31"/>
    </row>
    <row r="1013" spans="4:6">
      <c r="D1013" s="8"/>
      <c r="E1013" s="8"/>
      <c r="F1013" s="31"/>
    </row>
    <row r="1014" spans="4:6">
      <c r="D1014" s="8"/>
      <c r="E1014" s="8"/>
      <c r="F1014" s="31"/>
    </row>
    <row r="1015" spans="4:6">
      <c r="D1015" s="8"/>
      <c r="E1015" s="8"/>
      <c r="F1015" s="31"/>
    </row>
    <row r="1016" spans="4:6">
      <c r="D1016" s="8"/>
      <c r="E1016" s="8"/>
      <c r="F1016" s="31"/>
    </row>
    <row r="1017" spans="4:6">
      <c r="D1017" s="8"/>
      <c r="E1017" s="8"/>
      <c r="F1017" s="31"/>
    </row>
    <row r="1018" spans="4:6">
      <c r="D1018" s="8"/>
      <c r="E1018" s="8"/>
      <c r="F1018" s="31"/>
    </row>
    <row r="1019" spans="4:6">
      <c r="D1019" s="8"/>
      <c r="E1019" s="8"/>
      <c r="F1019" s="31"/>
    </row>
    <row r="1020" spans="4:6">
      <c r="D1020" s="8"/>
      <c r="E1020" s="8"/>
      <c r="F1020" s="31"/>
    </row>
    <row r="1021" spans="4:6">
      <c r="D1021" s="8"/>
      <c r="E1021" s="8"/>
      <c r="F1021" s="31"/>
    </row>
    <row r="1022" spans="4:6">
      <c r="D1022" s="8"/>
      <c r="E1022" s="8"/>
      <c r="F1022" s="31"/>
    </row>
    <row r="1023" spans="4:6">
      <c r="D1023" s="8"/>
      <c r="E1023" s="8"/>
      <c r="F1023" s="31"/>
    </row>
    <row r="1024" spans="4:6">
      <c r="D1024" s="8"/>
      <c r="E1024" s="8"/>
      <c r="F1024" s="31"/>
    </row>
    <row r="1025" spans="4:6">
      <c r="D1025" s="8"/>
      <c r="E1025" s="8"/>
      <c r="F1025" s="31"/>
    </row>
    <row r="1026" spans="4:6">
      <c r="D1026" s="8"/>
      <c r="E1026" s="8"/>
      <c r="F1026" s="31"/>
    </row>
    <row r="1027" spans="4:6">
      <c r="D1027" s="8"/>
      <c r="E1027" s="8"/>
      <c r="F1027" s="31"/>
    </row>
    <row r="1028" spans="4:6">
      <c r="D1028" s="8"/>
      <c r="E1028" s="8"/>
      <c r="F1028" s="31"/>
    </row>
    <row r="1029" spans="4:6">
      <c r="D1029" s="8"/>
      <c r="E1029" s="8"/>
      <c r="F1029" s="31"/>
    </row>
    <row r="1030" spans="4:6">
      <c r="D1030" s="8"/>
      <c r="E1030" s="8"/>
      <c r="F1030" s="31"/>
    </row>
    <row r="1031" spans="4:6">
      <c r="D1031" s="8"/>
      <c r="E1031" s="8"/>
      <c r="F1031" s="31"/>
    </row>
    <row r="1032" spans="4:6">
      <c r="D1032" s="8"/>
      <c r="E1032" s="8"/>
      <c r="F1032" s="31"/>
    </row>
    <row r="1033" spans="4:6">
      <c r="D1033" s="8"/>
      <c r="E1033" s="8"/>
      <c r="F1033" s="31"/>
    </row>
    <row r="1034" spans="4:6">
      <c r="D1034" s="8"/>
      <c r="E1034" s="8"/>
      <c r="F1034" s="31"/>
    </row>
    <row r="1035" spans="4:6">
      <c r="D1035" s="8"/>
      <c r="E1035" s="8"/>
      <c r="F1035" s="31"/>
    </row>
    <row r="1036" spans="4:6">
      <c r="D1036" s="8"/>
      <c r="E1036" s="8"/>
      <c r="F1036" s="31"/>
    </row>
    <row r="1037" spans="4:6">
      <c r="D1037" s="8"/>
      <c r="E1037" s="8"/>
      <c r="F1037" s="31"/>
    </row>
    <row r="1038" spans="4:6">
      <c r="D1038" s="8"/>
      <c r="E1038" s="8"/>
      <c r="F1038" s="31"/>
    </row>
    <row r="1039" spans="4:6">
      <c r="D1039" s="8"/>
      <c r="E1039" s="8"/>
      <c r="F1039" s="31"/>
    </row>
    <row r="1040" spans="4:6">
      <c r="D1040" s="8"/>
      <c r="E1040" s="8"/>
      <c r="F1040" s="31"/>
    </row>
    <row r="1041" spans="4:6">
      <c r="D1041" s="8"/>
      <c r="E1041" s="8"/>
      <c r="F1041" s="31"/>
    </row>
    <row r="1042" spans="4:6">
      <c r="D1042" s="8"/>
      <c r="E1042" s="8"/>
      <c r="F1042" s="31"/>
    </row>
    <row r="1043" spans="4:6">
      <c r="D1043" s="8"/>
      <c r="E1043" s="8"/>
      <c r="F1043" s="31"/>
    </row>
    <row r="1044" spans="4:6">
      <c r="D1044" s="8"/>
      <c r="E1044" s="8"/>
      <c r="F1044" s="31"/>
    </row>
    <row r="1045" spans="4:6">
      <c r="D1045" s="8"/>
      <c r="E1045" s="8"/>
      <c r="F1045" s="31"/>
    </row>
    <row r="1046" spans="4:6">
      <c r="D1046" s="8"/>
      <c r="E1046" s="8"/>
      <c r="F1046" s="31"/>
    </row>
    <row r="1047" spans="4:6">
      <c r="D1047" s="8"/>
      <c r="E1047" s="8"/>
      <c r="F1047" s="31"/>
    </row>
    <row r="1048" spans="4:6">
      <c r="D1048" s="8"/>
      <c r="E1048" s="8"/>
      <c r="F1048" s="31"/>
    </row>
    <row r="1049" spans="4:6">
      <c r="D1049" s="8"/>
      <c r="E1049" s="8"/>
      <c r="F1049" s="31"/>
    </row>
    <row r="1050" spans="4:6">
      <c r="D1050" s="8"/>
      <c r="E1050" s="8"/>
      <c r="F1050" s="31"/>
    </row>
    <row r="1051" spans="4:6">
      <c r="D1051" s="8"/>
      <c r="E1051" s="8"/>
      <c r="F1051" s="31"/>
    </row>
    <row r="1052" spans="4:6">
      <c r="D1052" s="8"/>
      <c r="E1052" s="8"/>
      <c r="F1052" s="31"/>
    </row>
    <row r="1053" spans="4:6">
      <c r="D1053" s="8"/>
      <c r="E1053" s="8"/>
      <c r="F1053" s="31"/>
    </row>
    <row r="1054" spans="4:6">
      <c r="D1054" s="8"/>
      <c r="E1054" s="8"/>
      <c r="F1054" s="31"/>
    </row>
    <row r="1055" spans="4:6">
      <c r="D1055" s="8"/>
      <c r="E1055" s="8"/>
      <c r="F1055" s="31"/>
    </row>
    <row r="1056" spans="4:6">
      <c r="D1056" s="8"/>
      <c r="E1056" s="8"/>
      <c r="F1056" s="31"/>
    </row>
    <row r="1057" spans="4:6">
      <c r="D1057" s="8"/>
      <c r="E1057" s="8"/>
      <c r="F1057" s="31"/>
    </row>
    <row r="1058" spans="4:6">
      <c r="D1058" s="8"/>
      <c r="E1058" s="8"/>
      <c r="F1058" s="31"/>
    </row>
    <row r="1059" spans="4:6">
      <c r="D1059" s="8"/>
      <c r="E1059" s="8"/>
      <c r="F1059" s="31"/>
    </row>
    <row r="1060" spans="4:6">
      <c r="D1060" s="8"/>
      <c r="E1060" s="8"/>
      <c r="F1060" s="31"/>
    </row>
    <row r="1061" spans="4:6">
      <c r="D1061" s="8"/>
      <c r="E1061" s="8"/>
      <c r="F1061" s="31"/>
    </row>
    <row r="1062" spans="4:6">
      <c r="D1062" s="8"/>
      <c r="E1062" s="8"/>
      <c r="F1062" s="31"/>
    </row>
    <row r="1063" spans="4:6">
      <c r="D1063" s="8"/>
      <c r="E1063" s="8"/>
      <c r="F1063" s="31"/>
    </row>
    <row r="1064" spans="4:6">
      <c r="D1064" s="8"/>
      <c r="E1064" s="8"/>
      <c r="F1064" s="31"/>
    </row>
    <row r="1065" spans="4:6">
      <c r="D1065" s="8"/>
      <c r="E1065" s="8"/>
      <c r="F1065" s="31"/>
    </row>
    <row r="1066" spans="4:6">
      <c r="D1066" s="8"/>
      <c r="E1066" s="8"/>
      <c r="F1066" s="31"/>
    </row>
    <row r="1067" spans="4:6">
      <c r="D1067" s="8"/>
      <c r="E1067" s="8"/>
      <c r="F1067" s="31"/>
    </row>
    <row r="1068" spans="4:6">
      <c r="D1068" s="8"/>
      <c r="E1068" s="8"/>
      <c r="F1068" s="31"/>
    </row>
    <row r="1069" spans="4:6">
      <c r="D1069" s="8"/>
      <c r="E1069" s="8"/>
      <c r="F1069" s="31"/>
    </row>
    <row r="1070" spans="4:6">
      <c r="D1070" s="8"/>
      <c r="E1070" s="8"/>
      <c r="F1070" s="31"/>
    </row>
    <row r="1071" spans="4:6">
      <c r="D1071" s="8"/>
      <c r="E1071" s="8"/>
      <c r="F1071" s="31"/>
    </row>
    <row r="1072" spans="4:6">
      <c r="D1072" s="8"/>
      <c r="E1072" s="8"/>
      <c r="F1072" s="31"/>
    </row>
    <row r="1073" spans="4:6">
      <c r="D1073" s="8"/>
      <c r="E1073" s="8"/>
      <c r="F1073" s="31"/>
    </row>
    <row r="1074" spans="4:6">
      <c r="D1074" s="8"/>
      <c r="E1074" s="8"/>
      <c r="F1074" s="31"/>
    </row>
    <row r="1075" spans="4:6">
      <c r="D1075" s="8"/>
      <c r="E1075" s="8"/>
      <c r="F1075" s="31"/>
    </row>
    <row r="1076" spans="4:6">
      <c r="D1076" s="8"/>
      <c r="E1076" s="8"/>
      <c r="F1076" s="31"/>
    </row>
    <row r="1077" spans="4:6">
      <c r="D1077" s="8"/>
      <c r="E1077" s="8"/>
      <c r="F1077" s="31"/>
    </row>
    <row r="1078" spans="4:6">
      <c r="D1078" s="8"/>
      <c r="E1078" s="8"/>
      <c r="F1078" s="31"/>
    </row>
    <row r="1079" spans="4:6">
      <c r="D1079" s="8"/>
      <c r="E1079" s="8"/>
      <c r="F1079" s="31"/>
    </row>
    <row r="1080" spans="4:6">
      <c r="D1080" s="8"/>
      <c r="E1080" s="8"/>
      <c r="F1080" s="31"/>
    </row>
    <row r="1081" spans="4:6">
      <c r="D1081" s="8"/>
      <c r="E1081" s="8"/>
      <c r="F1081" s="31"/>
    </row>
    <row r="1082" spans="4:6">
      <c r="D1082" s="8"/>
      <c r="E1082" s="8"/>
      <c r="F1082" s="31"/>
    </row>
    <row r="1083" spans="4:6">
      <c r="D1083" s="8"/>
      <c r="E1083" s="8"/>
      <c r="F1083" s="31"/>
    </row>
    <row r="1084" spans="4:6">
      <c r="D1084" s="8"/>
      <c r="E1084" s="8"/>
      <c r="F1084" s="31"/>
    </row>
    <row r="1085" spans="4:6">
      <c r="D1085" s="8"/>
      <c r="E1085" s="8"/>
      <c r="F1085" s="31"/>
    </row>
    <row r="1086" spans="4:6">
      <c r="D1086" s="8"/>
      <c r="E1086" s="8"/>
      <c r="F1086" s="31"/>
    </row>
    <row r="1087" spans="4:6">
      <c r="D1087" s="8"/>
      <c r="E1087" s="8"/>
      <c r="F1087" s="31"/>
    </row>
    <row r="1088" spans="4:6">
      <c r="D1088" s="8"/>
      <c r="E1088" s="8"/>
      <c r="F1088" s="31"/>
    </row>
    <row r="1089" spans="4:6">
      <c r="D1089" s="8"/>
      <c r="E1089" s="8"/>
      <c r="F1089" s="31"/>
    </row>
    <row r="1090" spans="4:6">
      <c r="D1090" s="8"/>
      <c r="E1090" s="8"/>
      <c r="F1090" s="31"/>
    </row>
    <row r="1091" spans="4:6">
      <c r="D1091" s="8"/>
      <c r="E1091" s="8"/>
      <c r="F1091" s="31"/>
    </row>
    <row r="1092" spans="4:6">
      <c r="D1092" s="8"/>
      <c r="E1092" s="8"/>
      <c r="F1092" s="31"/>
    </row>
    <row r="1093" spans="4:6">
      <c r="D1093" s="8"/>
      <c r="E1093" s="8"/>
      <c r="F1093" s="31"/>
    </row>
    <row r="1094" spans="4:6">
      <c r="D1094" s="8"/>
      <c r="E1094" s="8"/>
      <c r="F1094" s="31"/>
    </row>
    <row r="1095" spans="4:6">
      <c r="D1095" s="8"/>
      <c r="E1095" s="8"/>
      <c r="F1095" s="31"/>
    </row>
    <row r="1096" spans="4:6">
      <c r="D1096" s="8"/>
      <c r="E1096" s="8"/>
      <c r="F1096" s="31"/>
    </row>
    <row r="1097" spans="4:6">
      <c r="D1097" s="8"/>
      <c r="E1097" s="8"/>
      <c r="F1097" s="31"/>
    </row>
    <row r="1098" spans="4:6">
      <c r="D1098" s="8"/>
      <c r="E1098" s="8"/>
      <c r="F1098" s="31"/>
    </row>
    <row r="1099" spans="4:6">
      <c r="D1099" s="8"/>
      <c r="E1099" s="8"/>
      <c r="F1099" s="31"/>
    </row>
    <row r="1100" spans="4:6">
      <c r="D1100" s="8"/>
      <c r="E1100" s="8"/>
      <c r="F1100" s="31"/>
    </row>
    <row r="1101" spans="4:6">
      <c r="D1101" s="8"/>
      <c r="E1101" s="8"/>
      <c r="F1101" s="31"/>
    </row>
    <row r="1102" spans="4:6">
      <c r="D1102" s="8"/>
      <c r="E1102" s="8"/>
      <c r="F1102" s="31"/>
    </row>
    <row r="1103" spans="4:6">
      <c r="D1103" s="8"/>
      <c r="E1103" s="8"/>
      <c r="F1103" s="31"/>
    </row>
    <row r="1104" spans="4:6">
      <c r="D1104" s="8"/>
      <c r="E1104" s="8"/>
      <c r="F1104" s="31"/>
    </row>
    <row r="1105" spans="4:6">
      <c r="D1105" s="8"/>
      <c r="E1105" s="8"/>
      <c r="F1105" s="31"/>
    </row>
    <row r="1106" spans="4:6">
      <c r="D1106" s="8"/>
      <c r="E1106" s="8"/>
      <c r="F1106" s="31"/>
    </row>
    <row r="1107" spans="4:6">
      <c r="D1107" s="8"/>
      <c r="E1107" s="8"/>
      <c r="F1107" s="31"/>
    </row>
    <row r="1108" spans="4:6">
      <c r="D1108" s="8"/>
      <c r="E1108" s="8"/>
      <c r="F1108" s="31"/>
    </row>
    <row r="1109" spans="4:6">
      <c r="D1109" s="8"/>
      <c r="E1109" s="8"/>
      <c r="F1109" s="31"/>
    </row>
    <row r="1110" spans="4:6">
      <c r="D1110" s="8"/>
      <c r="E1110" s="8"/>
      <c r="F1110" s="31"/>
    </row>
    <row r="1111" spans="4:6">
      <c r="D1111" s="8"/>
      <c r="E1111" s="8"/>
      <c r="F1111" s="31"/>
    </row>
    <row r="1112" spans="4:6">
      <c r="D1112" s="8"/>
      <c r="E1112" s="8"/>
      <c r="F1112" s="31"/>
    </row>
    <row r="1113" spans="4:6">
      <c r="D1113" s="8"/>
      <c r="E1113" s="8"/>
      <c r="F1113" s="31"/>
    </row>
    <row r="1114" spans="4:6">
      <c r="D1114" s="8"/>
      <c r="E1114" s="8"/>
      <c r="F1114" s="31"/>
    </row>
    <row r="1115" spans="4:6">
      <c r="D1115" s="8"/>
      <c r="E1115" s="8"/>
      <c r="F1115" s="31"/>
    </row>
    <row r="1116" spans="4:6">
      <c r="D1116" s="8"/>
      <c r="E1116" s="8"/>
      <c r="F1116" s="31"/>
    </row>
    <row r="1117" spans="4:6">
      <c r="D1117" s="8"/>
      <c r="E1117" s="8"/>
      <c r="F1117" s="31"/>
    </row>
    <row r="1118" spans="4:6">
      <c r="D1118" s="8"/>
      <c r="E1118" s="8"/>
      <c r="F1118" s="31"/>
    </row>
    <row r="1119" spans="4:6">
      <c r="D1119" s="8"/>
      <c r="E1119" s="8"/>
      <c r="F1119" s="31"/>
    </row>
    <row r="1120" spans="4:6">
      <c r="D1120" s="8"/>
      <c r="E1120" s="8"/>
      <c r="F1120" s="31"/>
    </row>
    <row r="1121" spans="4:6">
      <c r="D1121" s="8"/>
      <c r="E1121" s="8"/>
      <c r="F1121" s="31"/>
    </row>
    <row r="1122" spans="4:6">
      <c r="D1122" s="8"/>
      <c r="E1122" s="8"/>
      <c r="F1122" s="31"/>
    </row>
    <row r="1123" spans="4:6">
      <c r="D1123" s="8"/>
      <c r="E1123" s="8"/>
      <c r="F1123" s="31"/>
    </row>
    <row r="1124" spans="4:6">
      <c r="D1124" s="8"/>
      <c r="E1124" s="8"/>
      <c r="F1124" s="31"/>
    </row>
    <row r="1125" spans="4:6">
      <c r="D1125" s="8"/>
      <c r="E1125" s="8"/>
      <c r="F1125" s="31"/>
    </row>
    <row r="1126" spans="4:6">
      <c r="D1126" s="8"/>
      <c r="E1126" s="8"/>
      <c r="F1126" s="31"/>
    </row>
    <row r="1127" spans="4:6">
      <c r="D1127" s="8"/>
      <c r="E1127" s="8"/>
      <c r="F1127" s="31"/>
    </row>
    <row r="1128" spans="4:6">
      <c r="D1128" s="8"/>
      <c r="E1128" s="8"/>
      <c r="F1128" s="31"/>
    </row>
    <row r="1129" spans="4:6">
      <c r="D1129" s="8"/>
      <c r="E1129" s="8"/>
      <c r="F1129" s="31"/>
    </row>
    <row r="1130" spans="4:6">
      <c r="D1130" s="8"/>
      <c r="E1130" s="8"/>
      <c r="F1130" s="31"/>
    </row>
    <row r="1131" spans="4:6">
      <c r="D1131" s="8"/>
      <c r="E1131" s="8"/>
      <c r="F1131" s="31"/>
    </row>
    <row r="1132" spans="4:6">
      <c r="D1132" s="8"/>
      <c r="E1132" s="8"/>
      <c r="F1132" s="31"/>
    </row>
    <row r="1133" spans="4:6">
      <c r="D1133" s="8"/>
      <c r="E1133" s="8"/>
      <c r="F1133" s="31"/>
    </row>
    <row r="1134" spans="4:6">
      <c r="D1134" s="8"/>
      <c r="E1134" s="8"/>
      <c r="F1134" s="31"/>
    </row>
    <row r="1135" spans="4:6">
      <c r="D1135" s="8"/>
      <c r="E1135" s="8"/>
      <c r="F1135" s="31"/>
    </row>
    <row r="1136" spans="4:6">
      <c r="D1136" s="8"/>
      <c r="E1136" s="8"/>
      <c r="F1136" s="31"/>
    </row>
    <row r="1137" spans="4:6">
      <c r="D1137" s="8"/>
      <c r="E1137" s="8"/>
      <c r="F1137" s="31"/>
    </row>
    <row r="1138" spans="4:6">
      <c r="D1138" s="8"/>
      <c r="E1138" s="8"/>
      <c r="F1138" s="31"/>
    </row>
    <row r="1139" spans="4:6">
      <c r="D1139" s="8"/>
      <c r="E1139" s="8"/>
      <c r="F1139" s="31"/>
    </row>
    <row r="1140" spans="4:6">
      <c r="D1140" s="8"/>
      <c r="E1140" s="8"/>
      <c r="F1140" s="31"/>
    </row>
    <row r="1141" spans="4:6">
      <c r="D1141" s="8"/>
      <c r="E1141" s="8"/>
      <c r="F1141" s="31"/>
    </row>
    <row r="1142" spans="4:6">
      <c r="D1142" s="8"/>
      <c r="E1142" s="8"/>
      <c r="F1142" s="31"/>
    </row>
    <row r="1143" spans="4:6">
      <c r="D1143" s="8"/>
      <c r="E1143" s="8"/>
      <c r="F1143" s="31"/>
    </row>
    <row r="1144" spans="4:6">
      <c r="D1144" s="8"/>
      <c r="E1144" s="8"/>
      <c r="F1144" s="31"/>
    </row>
    <row r="1145" spans="4:6">
      <c r="D1145" s="8"/>
      <c r="E1145" s="8"/>
      <c r="F1145" s="31"/>
    </row>
    <row r="1146" spans="4:6">
      <c r="D1146" s="8"/>
      <c r="E1146" s="8"/>
      <c r="F1146" s="31"/>
    </row>
    <row r="1147" spans="4:6">
      <c r="D1147" s="8"/>
      <c r="E1147" s="8"/>
      <c r="F1147" s="31"/>
    </row>
    <row r="1148" spans="4:6">
      <c r="D1148" s="8"/>
      <c r="E1148" s="8"/>
      <c r="F1148" s="31"/>
    </row>
    <row r="1149" spans="4:6">
      <c r="D1149" s="8"/>
      <c r="E1149" s="8"/>
      <c r="F1149" s="31"/>
    </row>
    <row r="1150" spans="4:6">
      <c r="D1150" s="8"/>
      <c r="E1150" s="8"/>
      <c r="F1150" s="31"/>
    </row>
    <row r="1151" spans="4:6">
      <c r="D1151" s="8"/>
      <c r="E1151" s="8"/>
      <c r="F1151" s="31"/>
    </row>
    <row r="1152" spans="4:6">
      <c r="D1152" s="8"/>
      <c r="E1152" s="8"/>
      <c r="F1152" s="31"/>
    </row>
    <row r="1153" spans="4:6">
      <c r="D1153" s="8"/>
      <c r="E1153" s="8"/>
      <c r="F1153" s="31"/>
    </row>
    <row r="1154" spans="4:6">
      <c r="D1154" s="8"/>
      <c r="E1154" s="8"/>
      <c r="F1154" s="31"/>
    </row>
    <row r="1155" spans="4:6">
      <c r="D1155" s="8"/>
      <c r="E1155" s="8"/>
      <c r="F1155" s="31"/>
    </row>
    <row r="1156" spans="4:6">
      <c r="D1156" s="8"/>
      <c r="E1156" s="8"/>
      <c r="F1156" s="31"/>
    </row>
    <row r="1157" spans="4:6">
      <c r="D1157" s="8"/>
      <c r="E1157" s="8"/>
      <c r="F1157" s="31"/>
    </row>
    <row r="1158" spans="4:6">
      <c r="D1158" s="8"/>
      <c r="E1158" s="8"/>
      <c r="F1158" s="31"/>
    </row>
    <row r="1159" spans="4:6">
      <c r="D1159" s="8"/>
      <c r="E1159" s="8"/>
      <c r="F1159" s="31"/>
    </row>
    <row r="1160" spans="4:6">
      <c r="D1160" s="8"/>
      <c r="E1160" s="8"/>
      <c r="F1160" s="31"/>
    </row>
    <row r="1161" spans="4:6">
      <c r="D1161" s="8"/>
      <c r="E1161" s="8"/>
      <c r="F1161" s="31"/>
    </row>
    <row r="1162" spans="4:6">
      <c r="D1162" s="8"/>
      <c r="E1162" s="8"/>
      <c r="F1162" s="31"/>
    </row>
    <row r="1163" spans="4:6">
      <c r="D1163" s="8"/>
      <c r="E1163" s="8"/>
      <c r="F1163" s="31"/>
    </row>
    <row r="1164" spans="4:6">
      <c r="D1164" s="8"/>
      <c r="E1164" s="8"/>
      <c r="F1164" s="31"/>
    </row>
    <row r="1165" spans="4:6">
      <c r="D1165" s="8"/>
      <c r="E1165" s="8"/>
      <c r="F1165" s="31"/>
    </row>
    <row r="1166" spans="4:6">
      <c r="D1166" s="8"/>
      <c r="E1166" s="8"/>
      <c r="F1166" s="31"/>
    </row>
    <row r="1167" spans="4:6">
      <c r="D1167" s="8"/>
      <c r="E1167" s="8"/>
      <c r="F1167" s="31"/>
    </row>
    <row r="1168" spans="4:6">
      <c r="D1168" s="8"/>
      <c r="E1168" s="8"/>
      <c r="F1168" s="31"/>
    </row>
    <row r="1169" spans="4:6">
      <c r="D1169" s="8"/>
      <c r="E1169" s="8"/>
      <c r="F1169" s="31"/>
    </row>
    <row r="1170" spans="4:6">
      <c r="D1170" s="8"/>
      <c r="E1170" s="8"/>
      <c r="F1170" s="31"/>
    </row>
    <row r="1171" spans="4:6">
      <c r="D1171" s="8"/>
      <c r="E1171" s="8"/>
      <c r="F1171" s="31"/>
    </row>
    <row r="1172" spans="4:6">
      <c r="D1172" s="8"/>
      <c r="E1172" s="8"/>
      <c r="F1172" s="31"/>
    </row>
    <row r="1173" spans="4:6">
      <c r="D1173" s="8"/>
      <c r="E1173" s="8"/>
      <c r="F1173" s="31"/>
    </row>
    <row r="1174" spans="4:6">
      <c r="D1174" s="8"/>
      <c r="E1174" s="8"/>
      <c r="F1174" s="31"/>
    </row>
    <row r="1175" spans="4:6">
      <c r="D1175" s="8"/>
      <c r="E1175" s="8"/>
      <c r="F1175" s="31"/>
    </row>
    <row r="1176" spans="4:6">
      <c r="D1176" s="8"/>
      <c r="E1176" s="8"/>
      <c r="F1176" s="31"/>
    </row>
    <row r="1177" spans="4:6">
      <c r="D1177" s="8"/>
      <c r="E1177" s="8"/>
      <c r="F1177" s="31"/>
    </row>
    <row r="1178" spans="4:6">
      <c r="D1178" s="8"/>
      <c r="E1178" s="8"/>
      <c r="F1178" s="31"/>
    </row>
    <row r="1179" spans="4:6">
      <c r="D1179" s="8"/>
      <c r="E1179" s="8"/>
      <c r="F1179" s="31"/>
    </row>
    <row r="1180" spans="4:6">
      <c r="D1180" s="8"/>
      <c r="E1180" s="8"/>
      <c r="F1180" s="31"/>
    </row>
    <row r="1181" spans="4:6">
      <c r="D1181" s="8"/>
      <c r="E1181" s="8"/>
      <c r="F1181" s="31"/>
    </row>
    <row r="1182" spans="4:6">
      <c r="D1182" s="8"/>
      <c r="E1182" s="8"/>
      <c r="F1182" s="31"/>
    </row>
    <row r="1183" spans="4:6">
      <c r="D1183" s="8"/>
      <c r="E1183" s="8"/>
      <c r="F1183" s="31"/>
    </row>
    <row r="1184" spans="4:6">
      <c r="D1184" s="8"/>
      <c r="E1184" s="8"/>
      <c r="F1184" s="31"/>
    </row>
    <row r="1185" spans="4:6">
      <c r="D1185" s="8"/>
      <c r="E1185" s="8"/>
      <c r="F1185" s="31"/>
    </row>
    <row r="1186" spans="4:6">
      <c r="D1186" s="8"/>
      <c r="E1186" s="8"/>
      <c r="F1186" s="31"/>
    </row>
    <row r="1187" spans="4:6">
      <c r="D1187" s="8"/>
      <c r="E1187" s="8"/>
      <c r="F1187" s="31"/>
    </row>
    <row r="1188" spans="4:6">
      <c r="D1188" s="8"/>
      <c r="E1188" s="8"/>
      <c r="F1188" s="31"/>
    </row>
    <row r="1189" spans="4:6">
      <c r="D1189" s="8"/>
      <c r="E1189" s="8"/>
      <c r="F1189" s="31"/>
    </row>
    <row r="1190" spans="4:6">
      <c r="D1190" s="8"/>
      <c r="E1190" s="8"/>
      <c r="F1190" s="31"/>
    </row>
    <row r="1191" spans="4:6">
      <c r="D1191" s="8"/>
      <c r="E1191" s="8"/>
      <c r="F1191" s="31"/>
    </row>
    <row r="1192" spans="4:6">
      <c r="D1192" s="8"/>
      <c r="E1192" s="8"/>
      <c r="F1192" s="31"/>
    </row>
    <row r="1193" spans="4:6">
      <c r="D1193" s="8"/>
      <c r="E1193" s="8"/>
      <c r="F1193" s="31"/>
    </row>
    <row r="1194" spans="4:6">
      <c r="D1194" s="8"/>
      <c r="E1194" s="8"/>
      <c r="F1194" s="31"/>
    </row>
    <row r="1195" spans="4:6">
      <c r="D1195" s="8"/>
      <c r="E1195" s="8"/>
      <c r="F1195" s="31"/>
    </row>
    <row r="1196" spans="4:6">
      <c r="D1196" s="8"/>
      <c r="E1196" s="8"/>
      <c r="F1196" s="31"/>
    </row>
    <row r="1197" spans="4:6">
      <c r="D1197" s="8"/>
      <c r="E1197" s="8"/>
      <c r="F1197" s="31"/>
    </row>
    <row r="1198" spans="4:6">
      <c r="D1198" s="8"/>
      <c r="E1198" s="8"/>
      <c r="F1198" s="31"/>
    </row>
    <row r="1199" spans="4:6">
      <c r="D1199" s="8"/>
      <c r="E1199" s="8"/>
      <c r="F1199" s="31"/>
    </row>
    <row r="1200" spans="4:6">
      <c r="D1200" s="8"/>
      <c r="E1200" s="8"/>
      <c r="F1200" s="31"/>
    </row>
    <row r="1201" spans="4:6">
      <c r="D1201" s="8"/>
      <c r="E1201" s="8"/>
      <c r="F1201" s="31"/>
    </row>
    <row r="1202" spans="4:6">
      <c r="D1202" s="8"/>
      <c r="E1202" s="8"/>
      <c r="F1202" s="31"/>
    </row>
    <row r="1203" spans="4:6">
      <c r="D1203" s="8"/>
      <c r="E1203" s="8"/>
      <c r="F1203" s="31"/>
    </row>
    <row r="1204" spans="4:6">
      <c r="D1204" s="8"/>
      <c r="E1204" s="8"/>
      <c r="F1204" s="31"/>
    </row>
    <row r="1205" spans="4:6">
      <c r="D1205" s="8"/>
      <c r="E1205" s="8"/>
      <c r="F1205" s="31"/>
    </row>
    <row r="1206" spans="4:6">
      <c r="D1206" s="8"/>
      <c r="E1206" s="8"/>
      <c r="F1206" s="31"/>
    </row>
    <row r="1207" spans="4:6">
      <c r="D1207" s="8"/>
      <c r="E1207" s="8"/>
      <c r="F1207" s="31"/>
    </row>
    <row r="1208" spans="4:6">
      <c r="D1208" s="8"/>
      <c r="E1208" s="8"/>
      <c r="F1208" s="31"/>
    </row>
    <row r="1209" spans="4:6">
      <c r="D1209" s="8"/>
      <c r="E1209" s="8"/>
      <c r="F1209" s="31"/>
    </row>
    <row r="1210" spans="4:6">
      <c r="D1210" s="8"/>
      <c r="E1210" s="8"/>
      <c r="F1210" s="31"/>
    </row>
    <row r="1211" spans="4:6">
      <c r="D1211" s="8"/>
      <c r="E1211" s="8"/>
      <c r="F1211" s="31"/>
    </row>
    <row r="1212" spans="4:6">
      <c r="D1212" s="8"/>
      <c r="E1212" s="8"/>
      <c r="F1212" s="31"/>
    </row>
    <row r="1213" spans="4:6">
      <c r="D1213" s="8"/>
      <c r="E1213" s="8"/>
      <c r="F1213" s="31"/>
    </row>
    <row r="1214" spans="4:6">
      <c r="D1214" s="8"/>
      <c r="E1214" s="8"/>
      <c r="F1214" s="31"/>
    </row>
    <row r="1215" spans="4:6">
      <c r="D1215" s="8"/>
      <c r="E1215" s="8"/>
      <c r="F1215" s="31"/>
    </row>
    <row r="1216" spans="4:6">
      <c r="D1216" s="8"/>
      <c r="E1216" s="8"/>
      <c r="F1216" s="31"/>
    </row>
    <row r="1217" spans="4:6">
      <c r="D1217" s="8"/>
      <c r="E1217" s="8"/>
      <c r="F1217" s="31"/>
    </row>
    <row r="1218" spans="4:6">
      <c r="D1218" s="8"/>
      <c r="E1218" s="8"/>
      <c r="F1218" s="31"/>
    </row>
    <row r="1219" spans="4:6">
      <c r="D1219" s="8"/>
      <c r="E1219" s="8"/>
      <c r="F1219" s="31"/>
    </row>
    <row r="1220" spans="4:6">
      <c r="D1220" s="8"/>
      <c r="E1220" s="8"/>
      <c r="F1220" s="31"/>
    </row>
    <row r="1221" spans="4:6">
      <c r="D1221" s="8"/>
      <c r="E1221" s="8"/>
      <c r="F1221" s="31"/>
    </row>
    <row r="1222" spans="4:6">
      <c r="D1222" s="8"/>
      <c r="E1222" s="8"/>
      <c r="F1222" s="31"/>
    </row>
    <row r="1223" spans="4:6">
      <c r="D1223" s="8"/>
      <c r="E1223" s="8"/>
      <c r="F1223" s="31"/>
    </row>
    <row r="1224" spans="4:6">
      <c r="D1224" s="8"/>
      <c r="E1224" s="8"/>
      <c r="F1224" s="31"/>
    </row>
    <row r="1225" spans="4:6">
      <c r="D1225" s="8"/>
      <c r="E1225" s="8"/>
      <c r="F1225" s="31"/>
    </row>
    <row r="1226" spans="4:6">
      <c r="D1226" s="8"/>
      <c r="E1226" s="8"/>
      <c r="F1226" s="31"/>
    </row>
    <row r="1227" spans="4:6">
      <c r="D1227" s="8"/>
      <c r="E1227" s="8"/>
      <c r="F1227" s="31"/>
    </row>
    <row r="1228" spans="4:6">
      <c r="D1228" s="8"/>
      <c r="E1228" s="8"/>
      <c r="F1228" s="31"/>
    </row>
    <row r="1229" spans="4:6">
      <c r="D1229" s="8"/>
      <c r="E1229" s="8"/>
      <c r="F1229" s="31"/>
    </row>
    <row r="1230" spans="4:6">
      <c r="D1230" s="8"/>
      <c r="E1230" s="8"/>
      <c r="F1230" s="31"/>
    </row>
    <row r="1231" spans="4:6">
      <c r="D1231" s="8"/>
      <c r="E1231" s="8"/>
      <c r="F1231" s="31"/>
    </row>
    <row r="1232" spans="4:6">
      <c r="D1232" s="8"/>
      <c r="E1232" s="8"/>
      <c r="F1232" s="31"/>
    </row>
    <row r="1233" spans="4:6">
      <c r="D1233" s="8"/>
      <c r="E1233" s="8"/>
      <c r="F1233" s="31"/>
    </row>
    <row r="1234" spans="4:6">
      <c r="D1234" s="8"/>
      <c r="E1234" s="8"/>
      <c r="F1234" s="31"/>
    </row>
    <row r="1235" spans="4:6">
      <c r="D1235" s="8"/>
      <c r="E1235" s="8"/>
      <c r="F1235" s="31"/>
    </row>
    <row r="1236" spans="4:6">
      <c r="D1236" s="8"/>
      <c r="E1236" s="8"/>
      <c r="F1236" s="31"/>
    </row>
    <row r="1237" spans="4:6">
      <c r="D1237" s="8"/>
      <c r="E1237" s="8"/>
      <c r="F1237" s="31"/>
    </row>
    <row r="1238" spans="4:6">
      <c r="D1238" s="8"/>
      <c r="E1238" s="8"/>
      <c r="F1238" s="31"/>
    </row>
    <row r="1239" spans="4:6">
      <c r="D1239" s="8"/>
      <c r="E1239" s="8"/>
      <c r="F1239" s="31"/>
    </row>
    <row r="1240" spans="4:6">
      <c r="D1240" s="8"/>
      <c r="E1240" s="8"/>
      <c r="F1240" s="31"/>
    </row>
    <row r="1241" spans="4:6">
      <c r="D1241" s="8"/>
      <c r="E1241" s="8"/>
      <c r="F1241" s="31"/>
    </row>
    <row r="1242" spans="4:6">
      <c r="D1242" s="8"/>
      <c r="E1242" s="8"/>
      <c r="F1242" s="31"/>
    </row>
    <row r="1243" spans="4:6">
      <c r="D1243" s="8"/>
      <c r="E1243" s="8"/>
      <c r="F1243" s="31"/>
    </row>
    <row r="1244" spans="4:6">
      <c r="D1244" s="8"/>
      <c r="E1244" s="8"/>
      <c r="F1244" s="31"/>
    </row>
    <row r="1245" spans="4:6">
      <c r="D1245" s="8"/>
      <c r="E1245" s="8"/>
      <c r="F1245" s="31"/>
    </row>
    <row r="1246" spans="4:6">
      <c r="D1246" s="8"/>
      <c r="E1246" s="8"/>
      <c r="F1246" s="31"/>
    </row>
    <row r="1247" spans="4:6">
      <c r="D1247" s="8"/>
      <c r="E1247" s="8"/>
      <c r="F1247" s="31"/>
    </row>
    <row r="1248" spans="4:6">
      <c r="D1248" s="8"/>
      <c r="E1248" s="8"/>
      <c r="F1248" s="31"/>
    </row>
    <row r="1249" spans="4:6">
      <c r="D1249" s="8"/>
      <c r="E1249" s="8"/>
      <c r="F1249" s="31"/>
    </row>
    <row r="1250" spans="4:6">
      <c r="D1250" s="8"/>
      <c r="E1250" s="8"/>
      <c r="F1250" s="31"/>
    </row>
    <row r="1251" spans="4:6">
      <c r="D1251" s="8"/>
      <c r="E1251" s="8"/>
      <c r="F1251" s="31"/>
    </row>
    <row r="1252" spans="4:6">
      <c r="D1252" s="8"/>
      <c r="E1252" s="8"/>
      <c r="F1252" s="31"/>
    </row>
    <row r="1253" spans="4:6">
      <c r="D1253" s="8"/>
      <c r="E1253" s="8"/>
      <c r="F1253" s="31"/>
    </row>
    <row r="1254" spans="4:6">
      <c r="D1254" s="8"/>
      <c r="E1254" s="8"/>
      <c r="F1254" s="31"/>
    </row>
    <row r="1255" spans="4:6">
      <c r="D1255" s="8"/>
      <c r="E1255" s="8"/>
      <c r="F1255" s="31"/>
    </row>
    <row r="1256" spans="4:6">
      <c r="D1256" s="8"/>
      <c r="E1256" s="8"/>
      <c r="F1256" s="31"/>
    </row>
    <row r="1257" spans="4:6">
      <c r="D1257" s="8"/>
      <c r="E1257" s="8"/>
      <c r="F1257" s="31"/>
    </row>
    <row r="1258" spans="4:6">
      <c r="D1258" s="8"/>
      <c r="E1258" s="8"/>
      <c r="F1258" s="31"/>
    </row>
    <row r="1259" spans="4:6">
      <c r="D1259" s="8"/>
      <c r="E1259" s="8"/>
      <c r="F1259" s="31"/>
    </row>
    <row r="1260" spans="4:6">
      <c r="D1260" s="8"/>
      <c r="E1260" s="8"/>
      <c r="F1260" s="31"/>
    </row>
    <row r="1261" spans="4:6">
      <c r="D1261" s="8"/>
      <c r="E1261" s="8"/>
      <c r="F1261" s="31"/>
    </row>
    <row r="1262" spans="4:6">
      <c r="D1262" s="8"/>
      <c r="E1262" s="8"/>
      <c r="F1262" s="31"/>
    </row>
    <row r="1263" spans="4:6">
      <c r="D1263" s="8"/>
      <c r="E1263" s="8"/>
      <c r="F1263" s="31"/>
    </row>
    <row r="1264" spans="4:6">
      <c r="D1264" s="8"/>
      <c r="E1264" s="8"/>
      <c r="F1264" s="31"/>
    </row>
    <row r="1265" spans="4:6">
      <c r="D1265" s="8"/>
      <c r="E1265" s="8"/>
      <c r="F1265" s="31"/>
    </row>
    <row r="1266" spans="4:6">
      <c r="D1266" s="8"/>
      <c r="E1266" s="8"/>
      <c r="F1266" s="31"/>
    </row>
    <row r="1267" spans="4:6">
      <c r="D1267" s="8"/>
      <c r="E1267" s="8"/>
      <c r="F1267" s="31"/>
    </row>
    <row r="1268" spans="4:6">
      <c r="D1268" s="8"/>
      <c r="E1268" s="8"/>
      <c r="F1268" s="31"/>
    </row>
    <row r="1269" spans="4:6">
      <c r="D1269" s="8"/>
      <c r="E1269" s="8"/>
      <c r="F1269" s="31"/>
    </row>
    <row r="1270" spans="4:6">
      <c r="D1270" s="8"/>
      <c r="E1270" s="8"/>
      <c r="F1270" s="31"/>
    </row>
    <row r="1271" spans="4:6">
      <c r="D1271" s="8"/>
      <c r="E1271" s="8"/>
      <c r="F1271" s="31"/>
    </row>
    <row r="1272" spans="4:6">
      <c r="D1272" s="8"/>
      <c r="E1272" s="8"/>
      <c r="F1272" s="31"/>
    </row>
    <row r="1273" spans="4:6">
      <c r="D1273" s="8"/>
      <c r="E1273" s="8"/>
      <c r="F1273" s="31"/>
    </row>
    <row r="1274" spans="4:6">
      <c r="D1274" s="8"/>
      <c r="E1274" s="8"/>
      <c r="F1274" s="31"/>
    </row>
    <row r="1275" spans="4:6">
      <c r="D1275" s="8"/>
      <c r="E1275" s="8"/>
      <c r="F1275" s="31"/>
    </row>
    <row r="1276" spans="4:6">
      <c r="D1276" s="8"/>
      <c r="E1276" s="8"/>
      <c r="F1276" s="31"/>
    </row>
    <row r="1277" spans="4:6">
      <c r="D1277" s="8"/>
      <c r="E1277" s="8"/>
      <c r="F1277" s="31"/>
    </row>
    <row r="1278" spans="4:6">
      <c r="D1278" s="8"/>
      <c r="E1278" s="8"/>
      <c r="F1278" s="31"/>
    </row>
    <row r="1279" spans="4:6">
      <c r="D1279" s="8"/>
      <c r="E1279" s="8"/>
      <c r="F1279" s="31"/>
    </row>
    <row r="1280" spans="4:6">
      <c r="D1280" s="8"/>
      <c r="E1280" s="8"/>
      <c r="F1280" s="31"/>
    </row>
    <row r="1281" spans="4:6">
      <c r="D1281" s="8"/>
      <c r="E1281" s="8"/>
      <c r="F1281" s="31"/>
    </row>
    <row r="1282" spans="4:6">
      <c r="D1282" s="8"/>
      <c r="E1282" s="8"/>
      <c r="F1282" s="31"/>
    </row>
    <row r="1283" spans="4:6">
      <c r="D1283" s="8"/>
      <c r="E1283" s="8"/>
      <c r="F1283" s="31"/>
    </row>
    <row r="1284" spans="4:6">
      <c r="D1284" s="8"/>
      <c r="E1284" s="8"/>
      <c r="F1284" s="31"/>
    </row>
    <row r="1285" spans="4:6">
      <c r="D1285" s="8"/>
      <c r="E1285" s="8"/>
      <c r="F1285" s="31"/>
    </row>
    <row r="1286" spans="4:6">
      <c r="D1286" s="8"/>
      <c r="E1286" s="8"/>
      <c r="F1286" s="31"/>
    </row>
    <row r="1287" spans="4:6">
      <c r="D1287" s="8"/>
      <c r="E1287" s="8"/>
      <c r="F1287" s="31"/>
    </row>
    <row r="1288" spans="4:6">
      <c r="D1288" s="8"/>
      <c r="E1288" s="8"/>
      <c r="F1288" s="31"/>
    </row>
    <row r="1289" spans="4:6">
      <c r="D1289" s="8"/>
      <c r="E1289" s="8"/>
      <c r="F1289" s="31"/>
    </row>
    <row r="1290" spans="4:6">
      <c r="D1290" s="8"/>
      <c r="E1290" s="8"/>
      <c r="F1290" s="31"/>
    </row>
    <row r="1291" spans="4:6">
      <c r="D1291" s="8"/>
      <c r="E1291" s="8"/>
      <c r="F1291" s="31"/>
    </row>
    <row r="1292" spans="4:6">
      <c r="D1292" s="8"/>
      <c r="E1292" s="8"/>
      <c r="F1292" s="31"/>
    </row>
    <row r="1293" spans="4:6">
      <c r="D1293" s="8"/>
      <c r="E1293" s="8"/>
      <c r="F1293" s="31"/>
    </row>
    <row r="1294" spans="4:6">
      <c r="D1294" s="8"/>
      <c r="E1294" s="8"/>
      <c r="F1294" s="31"/>
    </row>
    <row r="1295" spans="4:6">
      <c r="D1295" s="8"/>
      <c r="E1295" s="8"/>
      <c r="F1295" s="31"/>
    </row>
    <row r="1296" spans="4:6">
      <c r="D1296" s="8"/>
      <c r="E1296" s="8"/>
      <c r="F1296" s="31"/>
    </row>
    <row r="1297" spans="4:6">
      <c r="D1297" s="8"/>
      <c r="E1297" s="8"/>
      <c r="F1297" s="31"/>
    </row>
    <row r="1298" spans="4:6">
      <c r="D1298" s="8"/>
      <c r="E1298" s="8"/>
      <c r="F1298" s="31"/>
    </row>
    <row r="1299" spans="4:6">
      <c r="D1299" s="8"/>
      <c r="E1299" s="8"/>
      <c r="F1299" s="31"/>
    </row>
    <row r="1300" spans="4:6">
      <c r="D1300" s="8"/>
      <c r="E1300" s="8"/>
      <c r="F1300" s="31"/>
    </row>
    <row r="1301" spans="4:6">
      <c r="D1301" s="8"/>
      <c r="E1301" s="8"/>
      <c r="F1301" s="31"/>
    </row>
    <row r="1302" spans="4:6">
      <c r="D1302" s="8"/>
      <c r="E1302" s="8"/>
      <c r="F1302" s="31"/>
    </row>
    <row r="1303" spans="4:6">
      <c r="D1303" s="8"/>
      <c r="E1303" s="8"/>
      <c r="F1303" s="31"/>
    </row>
    <row r="1304" spans="4:6">
      <c r="D1304" s="8"/>
      <c r="E1304" s="8"/>
      <c r="F1304" s="31"/>
    </row>
    <row r="1305" spans="4:6">
      <c r="D1305" s="8"/>
      <c r="E1305" s="8"/>
      <c r="F1305" s="31"/>
    </row>
    <row r="1306" spans="4:6">
      <c r="D1306" s="8"/>
      <c r="E1306" s="8"/>
      <c r="F1306" s="31"/>
    </row>
    <row r="1307" spans="4:6">
      <c r="D1307" s="8"/>
      <c r="E1307" s="8"/>
      <c r="F1307" s="31"/>
    </row>
    <row r="1308" spans="4:6">
      <c r="D1308" s="8"/>
      <c r="E1308" s="8"/>
      <c r="F1308" s="31"/>
    </row>
    <row r="1309" spans="4:6">
      <c r="D1309" s="8"/>
      <c r="E1309" s="8"/>
      <c r="F1309" s="31"/>
    </row>
    <row r="1310" spans="4:6">
      <c r="D1310" s="8"/>
      <c r="E1310" s="8"/>
      <c r="F1310" s="31"/>
    </row>
    <row r="1311" spans="4:6">
      <c r="D1311" s="8"/>
      <c r="E1311" s="8"/>
      <c r="F1311" s="31"/>
    </row>
    <row r="1312" spans="4:6">
      <c r="D1312" s="8"/>
      <c r="E1312" s="8"/>
      <c r="F1312" s="31"/>
    </row>
    <row r="1313" spans="4:6">
      <c r="D1313" s="8"/>
      <c r="E1313" s="8"/>
      <c r="F1313" s="31"/>
    </row>
    <row r="1314" spans="4:6">
      <c r="D1314" s="8"/>
      <c r="E1314" s="8"/>
      <c r="F1314" s="31"/>
    </row>
    <row r="1315" spans="4:6">
      <c r="D1315" s="8"/>
      <c r="E1315" s="8"/>
      <c r="F1315" s="31"/>
    </row>
    <row r="1316" spans="4:6">
      <c r="D1316" s="8"/>
      <c r="E1316" s="8"/>
      <c r="F1316" s="31"/>
    </row>
    <row r="1317" spans="4:6">
      <c r="D1317" s="8"/>
      <c r="E1317" s="8"/>
      <c r="F1317" s="31"/>
    </row>
    <row r="1318" spans="4:6">
      <c r="D1318" s="8"/>
      <c r="E1318" s="8"/>
      <c r="F1318" s="31"/>
    </row>
    <row r="1319" spans="4:6">
      <c r="D1319" s="8"/>
      <c r="E1319" s="8"/>
      <c r="F1319" s="31"/>
    </row>
    <row r="1320" spans="4:6">
      <c r="D1320" s="8"/>
      <c r="E1320" s="8"/>
      <c r="F1320" s="31"/>
    </row>
    <row r="1321" spans="4:6">
      <c r="D1321" s="8"/>
      <c r="E1321" s="8"/>
      <c r="F1321" s="31"/>
    </row>
    <row r="1322" spans="4:6">
      <c r="D1322" s="8"/>
      <c r="E1322" s="8"/>
      <c r="F1322" s="31"/>
    </row>
    <row r="1323" spans="4:6">
      <c r="D1323" s="8"/>
      <c r="E1323" s="8"/>
      <c r="F1323" s="31"/>
    </row>
    <row r="1324" spans="4:6">
      <c r="D1324" s="8"/>
      <c r="E1324" s="8"/>
      <c r="F1324" s="31"/>
    </row>
    <row r="1325" spans="4:6">
      <c r="D1325" s="8"/>
      <c r="E1325" s="8"/>
      <c r="F1325" s="31"/>
    </row>
    <row r="1326" spans="4:6">
      <c r="D1326" s="8"/>
      <c r="E1326" s="8"/>
      <c r="F1326" s="31"/>
    </row>
    <row r="1327" spans="4:6">
      <c r="D1327" s="8"/>
      <c r="E1327" s="8"/>
      <c r="F1327" s="31"/>
    </row>
    <row r="1328" spans="4:6">
      <c r="D1328" s="8"/>
      <c r="E1328" s="8"/>
      <c r="F1328" s="31"/>
    </row>
    <row r="1329" spans="4:6">
      <c r="D1329" s="8"/>
      <c r="E1329" s="8"/>
      <c r="F1329" s="31"/>
    </row>
    <row r="1330" spans="4:6">
      <c r="D1330" s="8"/>
      <c r="E1330" s="8"/>
      <c r="F1330" s="31"/>
    </row>
    <row r="1331" spans="4:6">
      <c r="D1331" s="8"/>
      <c r="E1331" s="8"/>
      <c r="F1331" s="31"/>
    </row>
    <row r="1332" spans="4:6">
      <c r="D1332" s="8"/>
      <c r="E1332" s="8"/>
      <c r="F1332" s="31"/>
    </row>
    <row r="1333" spans="4:6">
      <c r="D1333" s="8"/>
      <c r="E1333" s="8"/>
      <c r="F1333" s="31"/>
    </row>
    <row r="1334" spans="4:6">
      <c r="D1334" s="8"/>
      <c r="E1334" s="8"/>
      <c r="F1334" s="31"/>
    </row>
    <row r="1335" spans="4:6">
      <c r="D1335" s="8"/>
      <c r="E1335" s="8"/>
      <c r="F1335" s="31"/>
    </row>
    <row r="1336" spans="4:6">
      <c r="D1336" s="8"/>
      <c r="E1336" s="8"/>
      <c r="F1336" s="31"/>
    </row>
    <row r="1337" spans="4:6">
      <c r="D1337" s="8"/>
      <c r="E1337" s="8"/>
      <c r="F1337" s="31"/>
    </row>
    <row r="1338" spans="4:6">
      <c r="D1338" s="8"/>
      <c r="E1338" s="8"/>
      <c r="F1338" s="31"/>
    </row>
    <row r="1339" spans="4:6">
      <c r="D1339" s="8"/>
      <c r="E1339" s="8"/>
      <c r="F1339" s="31"/>
    </row>
    <row r="1340" spans="4:6">
      <c r="D1340" s="8"/>
      <c r="E1340" s="8"/>
      <c r="F1340" s="31"/>
    </row>
    <row r="1341" spans="4:6">
      <c r="D1341" s="8"/>
      <c r="E1341" s="8"/>
      <c r="F1341" s="31"/>
    </row>
    <row r="1342" spans="4:6">
      <c r="D1342" s="8"/>
      <c r="E1342" s="8"/>
      <c r="F1342" s="31"/>
    </row>
    <row r="1343" spans="4:6">
      <c r="D1343" s="8"/>
      <c r="E1343" s="8"/>
      <c r="F1343" s="31"/>
    </row>
    <row r="1344" spans="4:6">
      <c r="D1344" s="8"/>
      <c r="E1344" s="8"/>
      <c r="F1344" s="31"/>
    </row>
    <row r="1345" spans="4:6">
      <c r="D1345" s="8"/>
      <c r="E1345" s="8"/>
      <c r="F1345" s="31"/>
    </row>
    <row r="1346" spans="4:6">
      <c r="D1346" s="8"/>
      <c r="E1346" s="8"/>
      <c r="F1346" s="31"/>
    </row>
    <row r="1347" spans="4:6">
      <c r="D1347" s="8"/>
      <c r="E1347" s="8"/>
      <c r="F1347" s="31"/>
    </row>
    <row r="1348" spans="4:6">
      <c r="D1348" s="8"/>
      <c r="E1348" s="8"/>
      <c r="F1348" s="31"/>
    </row>
    <row r="1349" spans="4:6">
      <c r="D1349" s="8"/>
      <c r="E1349" s="8"/>
      <c r="F1349" s="31"/>
    </row>
    <row r="1350" spans="4:6">
      <c r="D1350" s="8"/>
      <c r="E1350" s="8"/>
      <c r="F1350" s="31"/>
    </row>
    <row r="1351" spans="4:6">
      <c r="D1351" s="8"/>
      <c r="E1351" s="8"/>
      <c r="F1351" s="31"/>
    </row>
    <row r="1352" spans="4:6">
      <c r="D1352" s="8"/>
      <c r="E1352" s="8"/>
      <c r="F1352" s="31"/>
    </row>
    <row r="1353" spans="4:6">
      <c r="D1353" s="8"/>
      <c r="E1353" s="8"/>
      <c r="F1353" s="31"/>
    </row>
    <row r="1354" spans="4:6">
      <c r="D1354" s="8"/>
      <c r="E1354" s="8"/>
      <c r="F1354" s="31"/>
    </row>
    <row r="1355" spans="4:6">
      <c r="D1355" s="8"/>
      <c r="E1355" s="8"/>
      <c r="F1355" s="31"/>
    </row>
    <row r="1356" spans="4:6">
      <c r="D1356" s="8"/>
      <c r="E1356" s="8"/>
      <c r="F1356" s="31"/>
    </row>
    <row r="1357" spans="4:6">
      <c r="D1357" s="8"/>
      <c r="E1357" s="8"/>
      <c r="F1357" s="31"/>
    </row>
    <row r="1358" spans="4:6">
      <c r="D1358" s="8"/>
      <c r="E1358" s="8"/>
      <c r="F1358" s="31"/>
    </row>
    <row r="1359" spans="4:6">
      <c r="D1359" s="8"/>
      <c r="E1359" s="8"/>
      <c r="F1359" s="31"/>
    </row>
    <row r="1360" spans="4:6">
      <c r="D1360" s="8"/>
      <c r="E1360" s="8"/>
      <c r="F1360" s="31"/>
    </row>
    <row r="1361" spans="4:6">
      <c r="D1361" s="8"/>
      <c r="E1361" s="8"/>
      <c r="F1361" s="31"/>
    </row>
    <row r="1362" spans="4:6">
      <c r="D1362" s="8"/>
      <c r="E1362" s="8"/>
      <c r="F1362" s="31"/>
    </row>
    <row r="1363" spans="4:6">
      <c r="D1363" s="8"/>
      <c r="E1363" s="8"/>
      <c r="F1363" s="31"/>
    </row>
    <row r="1364" spans="4:6">
      <c r="D1364" s="8"/>
      <c r="E1364" s="8"/>
      <c r="F1364" s="31"/>
    </row>
    <row r="1365" spans="4:6">
      <c r="D1365" s="8"/>
      <c r="E1365" s="8"/>
      <c r="F1365" s="31"/>
    </row>
    <row r="1366" spans="4:6">
      <c r="D1366" s="8"/>
      <c r="E1366" s="8"/>
      <c r="F1366" s="31"/>
    </row>
    <row r="1367" spans="4:6">
      <c r="D1367" s="8"/>
      <c r="E1367" s="8"/>
      <c r="F1367" s="31"/>
    </row>
    <row r="1368" spans="4:6">
      <c r="D1368" s="8"/>
      <c r="E1368" s="8"/>
      <c r="F1368" s="31"/>
    </row>
    <row r="1369" spans="4:6">
      <c r="D1369" s="8"/>
      <c r="E1369" s="8"/>
      <c r="F1369" s="31"/>
    </row>
    <row r="1370" spans="4:6">
      <c r="D1370" s="8"/>
      <c r="E1370" s="8"/>
      <c r="F1370" s="31"/>
    </row>
    <row r="1371" spans="4:6">
      <c r="D1371" s="8"/>
      <c r="E1371" s="8"/>
      <c r="F1371" s="31"/>
    </row>
    <row r="1372" spans="4:6">
      <c r="D1372" s="8"/>
      <c r="E1372" s="8"/>
      <c r="F1372" s="31"/>
    </row>
    <row r="1373" spans="4:6">
      <c r="D1373" s="8"/>
      <c r="E1373" s="8"/>
      <c r="F1373" s="31"/>
    </row>
    <row r="1374" spans="4:6">
      <c r="D1374" s="8"/>
      <c r="E1374" s="8"/>
      <c r="F1374" s="31"/>
    </row>
    <row r="1375" spans="4:6">
      <c r="D1375" s="8"/>
      <c r="E1375" s="8"/>
      <c r="F1375" s="31"/>
    </row>
    <row r="1376" spans="4:6">
      <c r="D1376" s="8"/>
      <c r="E1376" s="8"/>
      <c r="F1376" s="31"/>
    </row>
    <row r="1377" spans="4:6">
      <c r="D1377" s="8"/>
      <c r="E1377" s="8"/>
      <c r="F1377" s="31"/>
    </row>
    <row r="1378" spans="4:6">
      <c r="D1378" s="8"/>
      <c r="E1378" s="8"/>
      <c r="F1378" s="31"/>
    </row>
    <row r="1379" spans="4:6">
      <c r="D1379" s="8"/>
      <c r="E1379" s="8"/>
      <c r="F1379" s="31"/>
    </row>
    <row r="1380" spans="4:6">
      <c r="D1380" s="8"/>
      <c r="E1380" s="8"/>
      <c r="F1380" s="31"/>
    </row>
    <row r="1381" spans="4:6">
      <c r="D1381" s="8"/>
      <c r="E1381" s="8"/>
      <c r="F1381" s="31"/>
    </row>
    <row r="1382" spans="4:6">
      <c r="D1382" s="8"/>
      <c r="E1382" s="8"/>
      <c r="F1382" s="31"/>
    </row>
    <row r="1383" spans="4:6">
      <c r="D1383" s="8"/>
      <c r="E1383" s="8"/>
      <c r="F1383" s="31"/>
    </row>
    <row r="1384" spans="4:6">
      <c r="D1384" s="8"/>
      <c r="E1384" s="8"/>
      <c r="F1384" s="31"/>
    </row>
    <row r="1385" spans="4:6">
      <c r="D1385" s="8"/>
      <c r="E1385" s="8"/>
      <c r="F1385" s="31"/>
    </row>
    <row r="1386" spans="4:6">
      <c r="D1386" s="8"/>
      <c r="E1386" s="8"/>
      <c r="F1386" s="31"/>
    </row>
    <row r="1387" spans="4:6">
      <c r="D1387" s="8"/>
      <c r="E1387" s="8"/>
      <c r="F1387" s="31"/>
    </row>
    <row r="1388" spans="4:6">
      <c r="D1388" s="8"/>
      <c r="E1388" s="8"/>
      <c r="F1388" s="31"/>
    </row>
    <row r="1389" spans="4:6">
      <c r="D1389" s="8"/>
      <c r="E1389" s="8"/>
      <c r="F1389" s="31"/>
    </row>
    <row r="1390" spans="4:6">
      <c r="D1390" s="8"/>
      <c r="E1390" s="8"/>
      <c r="F1390" s="31"/>
    </row>
    <row r="1391" spans="4:6">
      <c r="D1391" s="8"/>
      <c r="E1391" s="8"/>
      <c r="F1391" s="31"/>
    </row>
    <row r="1392" spans="4:6">
      <c r="D1392" s="8"/>
      <c r="E1392" s="8"/>
      <c r="F1392" s="31"/>
    </row>
    <row r="1393" spans="4:6">
      <c r="D1393" s="8"/>
      <c r="E1393" s="8"/>
      <c r="F1393" s="31"/>
    </row>
    <row r="1394" spans="4:6">
      <c r="D1394" s="8"/>
      <c r="E1394" s="8"/>
      <c r="F1394" s="31"/>
    </row>
    <row r="1395" spans="4:6">
      <c r="D1395" s="8"/>
      <c r="E1395" s="8"/>
      <c r="F1395" s="31"/>
    </row>
    <row r="1396" spans="4:6">
      <c r="D1396" s="8"/>
      <c r="E1396" s="8"/>
      <c r="F1396" s="31"/>
    </row>
    <row r="1397" spans="4:6">
      <c r="D1397" s="8"/>
      <c r="E1397" s="8"/>
      <c r="F1397" s="31"/>
    </row>
    <row r="1398" spans="4:6">
      <c r="D1398" s="8"/>
      <c r="E1398" s="8"/>
      <c r="F1398" s="31"/>
    </row>
    <row r="1399" spans="4:6">
      <c r="D1399" s="8"/>
      <c r="E1399" s="8"/>
      <c r="F1399" s="31"/>
    </row>
    <row r="1400" spans="4:6">
      <c r="D1400" s="8"/>
      <c r="E1400" s="8"/>
      <c r="F1400" s="31"/>
    </row>
    <row r="1401" spans="4:6">
      <c r="D1401" s="8"/>
      <c r="E1401" s="8"/>
      <c r="F1401" s="31"/>
    </row>
    <row r="1402" spans="4:6">
      <c r="D1402" s="8"/>
      <c r="E1402" s="8"/>
      <c r="F1402" s="31"/>
    </row>
    <row r="1403" spans="4:6">
      <c r="D1403" s="8"/>
      <c r="E1403" s="8"/>
      <c r="F1403" s="31"/>
    </row>
    <row r="1404" spans="4:6">
      <c r="D1404" s="8"/>
      <c r="E1404" s="8"/>
      <c r="F1404" s="31"/>
    </row>
    <row r="1405" spans="4:6">
      <c r="D1405" s="8"/>
      <c r="E1405" s="8"/>
      <c r="F1405" s="31"/>
    </row>
    <row r="1406" spans="4:6">
      <c r="D1406" s="8"/>
      <c r="E1406" s="8"/>
      <c r="F1406" s="31"/>
    </row>
    <row r="1407" spans="4:6">
      <c r="D1407" s="8"/>
      <c r="E1407" s="8"/>
      <c r="F1407" s="31"/>
    </row>
    <row r="1408" spans="4:6">
      <c r="D1408" s="8"/>
      <c r="E1408" s="8"/>
      <c r="F1408" s="31"/>
    </row>
    <row r="1409" spans="4:6">
      <c r="D1409" s="8"/>
      <c r="E1409" s="8"/>
      <c r="F1409" s="31"/>
    </row>
    <row r="1410" spans="4:6">
      <c r="D1410" s="8"/>
      <c r="E1410" s="8"/>
      <c r="F1410" s="31"/>
    </row>
    <row r="1411" spans="4:6">
      <c r="D1411" s="8"/>
      <c r="E1411" s="8"/>
      <c r="F1411" s="31"/>
    </row>
    <row r="1412" spans="4:6">
      <c r="D1412" s="8"/>
      <c r="E1412" s="8"/>
      <c r="F1412" s="31"/>
    </row>
    <row r="1413" spans="4:6">
      <c r="D1413" s="8"/>
      <c r="E1413" s="8"/>
      <c r="F1413" s="31"/>
    </row>
    <row r="1414" spans="4:6">
      <c r="D1414" s="8"/>
      <c r="E1414" s="8"/>
      <c r="F1414" s="31"/>
    </row>
    <row r="1415" spans="4:6">
      <c r="D1415" s="8"/>
      <c r="E1415" s="8"/>
      <c r="F1415" s="31"/>
    </row>
    <row r="1416" spans="4:6">
      <c r="D1416" s="8"/>
      <c r="E1416" s="8"/>
      <c r="F1416" s="31"/>
    </row>
    <row r="1417" spans="4:6">
      <c r="D1417" s="8"/>
      <c r="E1417" s="8"/>
      <c r="F1417" s="31"/>
    </row>
    <row r="1418" spans="4:6">
      <c r="D1418" s="8"/>
      <c r="E1418" s="8"/>
      <c r="F1418" s="31"/>
    </row>
    <row r="1419" spans="4:6">
      <c r="D1419" s="8"/>
      <c r="E1419" s="8"/>
      <c r="F1419" s="31"/>
    </row>
    <row r="1420" spans="4:6">
      <c r="D1420" s="8"/>
      <c r="E1420" s="8"/>
      <c r="F1420" s="31"/>
    </row>
    <row r="1421" spans="4:6">
      <c r="D1421" s="8"/>
      <c r="E1421" s="8"/>
      <c r="F1421" s="31"/>
    </row>
    <row r="1422" spans="4:6">
      <c r="D1422" s="8"/>
      <c r="E1422" s="8"/>
      <c r="F1422" s="31"/>
    </row>
    <row r="1423" spans="4:6">
      <c r="D1423" s="8"/>
      <c r="E1423" s="8"/>
      <c r="F1423" s="31"/>
    </row>
    <row r="1424" spans="4:6">
      <c r="D1424" s="8"/>
      <c r="E1424" s="8"/>
      <c r="F1424" s="31"/>
    </row>
    <row r="1425" spans="4:6">
      <c r="D1425" s="8"/>
      <c r="E1425" s="8"/>
      <c r="F1425" s="31"/>
    </row>
    <row r="1426" spans="4:6">
      <c r="D1426" s="8"/>
      <c r="E1426" s="8"/>
      <c r="F1426" s="31"/>
    </row>
    <row r="1427" spans="4:6">
      <c r="D1427" s="8"/>
      <c r="E1427" s="8"/>
      <c r="F1427" s="31"/>
    </row>
    <row r="1428" spans="4:6">
      <c r="D1428" s="8"/>
      <c r="E1428" s="8"/>
      <c r="F1428" s="31"/>
    </row>
    <row r="1429" spans="4:6">
      <c r="D1429" s="8"/>
      <c r="E1429" s="8"/>
      <c r="F1429" s="31"/>
    </row>
    <row r="1430" spans="4:6">
      <c r="D1430" s="8"/>
      <c r="E1430" s="8"/>
      <c r="F1430" s="31"/>
    </row>
    <row r="1431" spans="4:6">
      <c r="D1431" s="8"/>
      <c r="E1431" s="8"/>
      <c r="F1431" s="31"/>
    </row>
    <row r="1432" spans="4:6">
      <c r="D1432" s="8"/>
      <c r="E1432" s="8"/>
      <c r="F1432" s="31"/>
    </row>
    <row r="1433" spans="4:6">
      <c r="D1433" s="8"/>
      <c r="E1433" s="8"/>
      <c r="F1433" s="31"/>
    </row>
    <row r="1434" spans="4:6">
      <c r="D1434" s="8"/>
      <c r="E1434" s="8"/>
      <c r="F1434" s="31"/>
    </row>
    <row r="1435" spans="4:6">
      <c r="D1435" s="8"/>
      <c r="E1435" s="8"/>
      <c r="F1435" s="31"/>
    </row>
    <row r="1436" spans="4:6">
      <c r="D1436" s="8"/>
      <c r="E1436" s="8"/>
      <c r="F1436" s="31"/>
    </row>
    <row r="1437" spans="4:6">
      <c r="D1437" s="8"/>
      <c r="E1437" s="8"/>
      <c r="F1437" s="31"/>
    </row>
    <row r="1438" spans="4:6">
      <c r="D1438" s="8"/>
      <c r="E1438" s="8"/>
      <c r="F1438" s="31"/>
    </row>
    <row r="1439" spans="4:6">
      <c r="D1439" s="8"/>
      <c r="E1439" s="8"/>
      <c r="F1439" s="31"/>
    </row>
    <row r="1440" spans="4:6">
      <c r="D1440" s="8"/>
      <c r="E1440" s="8"/>
      <c r="F1440" s="31"/>
    </row>
    <row r="1441" spans="4:6">
      <c r="D1441" s="8"/>
      <c r="E1441" s="8"/>
      <c r="F1441" s="31"/>
    </row>
    <row r="1442" spans="4:6">
      <c r="D1442" s="8"/>
      <c r="E1442" s="8"/>
      <c r="F1442" s="31"/>
    </row>
    <row r="1443" spans="4:6">
      <c r="D1443" s="8"/>
      <c r="E1443" s="8"/>
      <c r="F1443" s="31"/>
    </row>
    <row r="1444" spans="4:6">
      <c r="D1444" s="8"/>
      <c r="E1444" s="8"/>
      <c r="F1444" s="31"/>
    </row>
    <row r="1445" spans="4:6">
      <c r="D1445" s="8"/>
      <c r="E1445" s="8"/>
      <c r="F1445" s="31"/>
    </row>
    <row r="1446" spans="4:6">
      <c r="D1446" s="8"/>
      <c r="E1446" s="8"/>
      <c r="F1446" s="31"/>
    </row>
    <row r="1447" spans="4:6">
      <c r="D1447" s="8"/>
      <c r="E1447" s="8"/>
      <c r="F1447" s="31"/>
    </row>
    <row r="1448" spans="4:6">
      <c r="D1448" s="8"/>
      <c r="E1448" s="8"/>
      <c r="F1448" s="31"/>
    </row>
    <row r="1449" spans="4:6">
      <c r="D1449" s="8"/>
      <c r="E1449" s="8"/>
      <c r="F1449" s="31"/>
    </row>
    <row r="1450" spans="4:6">
      <c r="D1450" s="8"/>
      <c r="E1450" s="8"/>
      <c r="F1450" s="31"/>
    </row>
    <row r="1451" spans="4:6">
      <c r="D1451" s="8"/>
      <c r="E1451" s="8"/>
      <c r="F1451" s="31"/>
    </row>
    <row r="1452" spans="4:6">
      <c r="D1452" s="8"/>
      <c r="E1452" s="8"/>
      <c r="F1452" s="31"/>
    </row>
    <row r="1453" spans="4:6">
      <c r="D1453" s="8"/>
      <c r="E1453" s="8"/>
      <c r="F1453" s="31"/>
    </row>
    <row r="1454" spans="4:6">
      <c r="D1454" s="8"/>
      <c r="E1454" s="8"/>
      <c r="F1454" s="31"/>
    </row>
    <row r="1455" spans="4:6">
      <c r="D1455" s="8"/>
      <c r="E1455" s="8"/>
      <c r="F1455" s="31"/>
    </row>
    <row r="1456" spans="4:6">
      <c r="D1456" s="8"/>
      <c r="E1456" s="8"/>
      <c r="F1456" s="31"/>
    </row>
    <row r="1457" spans="4:6">
      <c r="D1457" s="8"/>
      <c r="E1457" s="8"/>
      <c r="F1457" s="31"/>
    </row>
    <row r="1458" spans="4:6">
      <c r="D1458" s="8"/>
      <c r="E1458" s="8"/>
      <c r="F1458" s="31"/>
    </row>
    <row r="1459" spans="4:6">
      <c r="D1459" s="8"/>
      <c r="E1459" s="8"/>
      <c r="F1459" s="31"/>
    </row>
    <row r="1460" spans="4:6">
      <c r="D1460" s="8"/>
      <c r="E1460" s="8"/>
      <c r="F1460" s="31"/>
    </row>
    <row r="1461" spans="4:6">
      <c r="D1461" s="8"/>
      <c r="E1461" s="8"/>
      <c r="F1461" s="31"/>
    </row>
    <row r="1462" spans="4:6">
      <c r="D1462" s="8"/>
      <c r="E1462" s="8"/>
      <c r="F1462" s="31"/>
    </row>
    <row r="1463" spans="4:6">
      <c r="D1463" s="8"/>
      <c r="E1463" s="8"/>
      <c r="F1463" s="31"/>
    </row>
    <row r="1464" spans="4:6">
      <c r="D1464" s="8"/>
      <c r="E1464" s="8"/>
      <c r="F1464" s="31"/>
    </row>
    <row r="1465" spans="4:6">
      <c r="D1465" s="8"/>
      <c r="E1465" s="8"/>
      <c r="F1465" s="31"/>
    </row>
    <row r="1466" spans="4:6">
      <c r="D1466" s="8"/>
      <c r="E1466" s="8"/>
      <c r="F1466" s="31"/>
    </row>
    <row r="1467" spans="4:6">
      <c r="D1467" s="8"/>
      <c r="E1467" s="8"/>
      <c r="F1467" s="31"/>
    </row>
    <row r="1468" spans="4:6">
      <c r="D1468" s="8"/>
      <c r="E1468" s="8"/>
      <c r="F1468" s="31"/>
    </row>
    <row r="1469" spans="4:6">
      <c r="D1469" s="8"/>
      <c r="E1469" s="8"/>
      <c r="F1469" s="31"/>
    </row>
    <row r="1470" spans="4:6">
      <c r="D1470" s="8"/>
      <c r="E1470" s="8"/>
      <c r="F1470" s="31"/>
    </row>
    <row r="1471" spans="4:6">
      <c r="D1471" s="8"/>
      <c r="E1471" s="8"/>
      <c r="F1471" s="31"/>
    </row>
    <row r="1472" spans="4:6">
      <c r="D1472" s="8"/>
      <c r="E1472" s="8"/>
      <c r="F1472" s="31"/>
    </row>
    <row r="1473" spans="4:6">
      <c r="D1473" s="8"/>
      <c r="E1473" s="8"/>
      <c r="F1473" s="31"/>
    </row>
    <row r="1474" spans="4:6">
      <c r="D1474" s="8"/>
      <c r="E1474" s="8"/>
      <c r="F1474" s="31"/>
    </row>
    <row r="1475" spans="4:6">
      <c r="D1475" s="8"/>
      <c r="E1475" s="8"/>
      <c r="F1475" s="31"/>
    </row>
    <row r="1476" spans="4:6">
      <c r="D1476" s="8"/>
      <c r="E1476" s="8"/>
      <c r="F1476" s="31"/>
    </row>
    <row r="1477" spans="4:6">
      <c r="D1477" s="8"/>
      <c r="E1477" s="8"/>
      <c r="F1477" s="31"/>
    </row>
    <row r="1478" spans="4:6">
      <c r="D1478" s="8"/>
      <c r="E1478" s="8"/>
      <c r="F1478" s="31"/>
    </row>
    <row r="1479" spans="4:6">
      <c r="D1479" s="8"/>
      <c r="E1479" s="8"/>
      <c r="F1479" s="31"/>
    </row>
    <row r="1480" spans="4:6">
      <c r="D1480" s="8"/>
      <c r="E1480" s="8"/>
      <c r="F1480" s="31"/>
    </row>
    <row r="1481" spans="4:6">
      <c r="D1481" s="8"/>
      <c r="E1481" s="8"/>
      <c r="F1481" s="31"/>
    </row>
    <row r="1482" spans="4:6">
      <c r="D1482" s="8"/>
      <c r="E1482" s="8"/>
      <c r="F1482" s="31"/>
    </row>
    <row r="1483" spans="4:6">
      <c r="D1483" s="8"/>
      <c r="E1483" s="8"/>
      <c r="F1483" s="31"/>
    </row>
    <row r="1484" spans="4:6">
      <c r="D1484" s="8"/>
      <c r="E1484" s="8"/>
      <c r="F1484" s="31"/>
    </row>
    <row r="1485" spans="4:6">
      <c r="D1485" s="8"/>
      <c r="E1485" s="8"/>
      <c r="F1485" s="31"/>
    </row>
    <row r="1486" spans="4:6">
      <c r="D1486" s="8"/>
      <c r="E1486" s="8"/>
      <c r="F1486" s="31"/>
    </row>
    <row r="1487" spans="4:6">
      <c r="D1487" s="8"/>
      <c r="E1487" s="8"/>
      <c r="F1487" s="31"/>
    </row>
    <row r="1488" spans="4:6">
      <c r="D1488" s="8"/>
      <c r="E1488" s="8"/>
      <c r="F1488" s="31"/>
    </row>
    <row r="1489" spans="4:6">
      <c r="D1489" s="8"/>
      <c r="E1489" s="8"/>
      <c r="F1489" s="31"/>
    </row>
    <row r="1490" spans="4:6">
      <c r="D1490" s="8"/>
      <c r="E1490" s="8"/>
      <c r="F1490" s="31"/>
    </row>
    <row r="1491" spans="4:6">
      <c r="D1491" s="8"/>
      <c r="E1491" s="8"/>
      <c r="F1491" s="31"/>
    </row>
    <row r="1492" spans="4:6">
      <c r="D1492" s="8"/>
      <c r="E1492" s="8"/>
      <c r="F1492" s="31"/>
    </row>
    <row r="1493" spans="4:6">
      <c r="D1493" s="8"/>
      <c r="E1493" s="8"/>
      <c r="F1493" s="31"/>
    </row>
    <row r="1494" spans="4:6">
      <c r="D1494" s="8"/>
      <c r="E1494" s="8"/>
      <c r="F1494" s="31"/>
    </row>
    <row r="1495" spans="4:6">
      <c r="D1495" s="8"/>
      <c r="E1495" s="8"/>
      <c r="F1495" s="31"/>
    </row>
    <row r="1496" spans="4:6">
      <c r="D1496" s="8"/>
      <c r="E1496" s="8"/>
      <c r="F1496" s="31"/>
    </row>
    <row r="1497" spans="4:6">
      <c r="D1497" s="8"/>
      <c r="E1497" s="8"/>
      <c r="F1497" s="31"/>
    </row>
    <row r="1498" spans="4:6">
      <c r="D1498" s="8"/>
      <c r="E1498" s="8"/>
      <c r="F1498" s="31"/>
    </row>
    <row r="1499" spans="4:6">
      <c r="D1499" s="8"/>
      <c r="E1499" s="8"/>
      <c r="F1499" s="31"/>
    </row>
    <row r="1500" spans="4:6">
      <c r="D1500" s="8"/>
      <c r="E1500" s="8"/>
      <c r="F1500" s="31"/>
    </row>
    <row r="1501" spans="4:6">
      <c r="D1501" s="8"/>
      <c r="E1501" s="8"/>
      <c r="F1501" s="31"/>
    </row>
    <row r="1502" spans="4:6">
      <c r="D1502" s="8"/>
      <c r="E1502" s="8"/>
      <c r="F1502" s="31"/>
    </row>
    <row r="1503" spans="4:6">
      <c r="D1503" s="8"/>
      <c r="E1503" s="8"/>
      <c r="F1503" s="31"/>
    </row>
    <row r="1504" spans="4:6">
      <c r="D1504" s="8"/>
      <c r="E1504" s="8"/>
      <c r="F1504" s="31"/>
    </row>
    <row r="1505" spans="4:6">
      <c r="D1505" s="8"/>
      <c r="E1505" s="8"/>
      <c r="F1505" s="31"/>
    </row>
    <row r="1506" spans="4:6">
      <c r="D1506" s="8"/>
      <c r="E1506" s="8"/>
      <c r="F1506" s="31"/>
    </row>
    <row r="1507" spans="4:6">
      <c r="D1507" s="8"/>
      <c r="E1507" s="8"/>
      <c r="F1507" s="31"/>
    </row>
    <row r="1508" spans="4:6">
      <c r="D1508" s="8"/>
      <c r="E1508" s="8"/>
      <c r="F1508" s="31"/>
    </row>
    <row r="1509" spans="4:6">
      <c r="D1509" s="8"/>
      <c r="E1509" s="8"/>
      <c r="F1509" s="31"/>
    </row>
    <row r="1510" spans="4:6">
      <c r="D1510" s="8"/>
      <c r="E1510" s="8"/>
      <c r="F1510" s="31"/>
    </row>
    <row r="1511" spans="4:6">
      <c r="D1511" s="8"/>
      <c r="E1511" s="8"/>
      <c r="F1511" s="31"/>
    </row>
    <row r="1512" spans="4:6">
      <c r="D1512" s="8"/>
      <c r="E1512" s="8"/>
      <c r="F1512" s="31"/>
    </row>
    <row r="1513" spans="4:6">
      <c r="D1513" s="8"/>
      <c r="E1513" s="8"/>
      <c r="F1513" s="31"/>
    </row>
    <row r="1514" spans="4:6">
      <c r="D1514" s="8"/>
      <c r="E1514" s="8"/>
      <c r="F1514" s="31"/>
    </row>
    <row r="1515" spans="4:6">
      <c r="D1515" s="8"/>
      <c r="E1515" s="8"/>
      <c r="F1515" s="31"/>
    </row>
    <row r="1516" spans="4:6">
      <c r="D1516" s="8"/>
      <c r="E1516" s="8"/>
      <c r="F1516" s="31"/>
    </row>
    <row r="1517" spans="4:6">
      <c r="D1517" s="8"/>
      <c r="E1517" s="8"/>
      <c r="F1517" s="31"/>
    </row>
    <row r="1518" spans="4:6">
      <c r="D1518" s="8"/>
      <c r="E1518" s="8"/>
      <c r="F1518" s="31"/>
    </row>
    <row r="1519" spans="4:6">
      <c r="D1519" s="8"/>
      <c r="E1519" s="8"/>
      <c r="F1519" s="31"/>
    </row>
    <row r="1520" spans="4:6">
      <c r="D1520" s="8"/>
      <c r="E1520" s="8"/>
      <c r="F1520" s="31"/>
    </row>
    <row r="1521" spans="4:6">
      <c r="D1521" s="8"/>
      <c r="E1521" s="8"/>
      <c r="F1521" s="31"/>
    </row>
    <row r="1522" spans="4:6">
      <c r="D1522" s="8"/>
      <c r="E1522" s="8"/>
      <c r="F1522" s="31"/>
    </row>
    <row r="1523" spans="4:6">
      <c r="D1523" s="8"/>
      <c r="E1523" s="8"/>
      <c r="F1523" s="31"/>
    </row>
    <row r="1524" spans="4:6">
      <c r="D1524" s="8"/>
      <c r="E1524" s="8"/>
      <c r="F1524" s="31"/>
    </row>
    <row r="1525" spans="4:6">
      <c r="D1525" s="8"/>
      <c r="E1525" s="8"/>
      <c r="F1525" s="31"/>
    </row>
    <row r="1526" spans="4:6">
      <c r="D1526" s="8"/>
      <c r="E1526" s="8"/>
      <c r="F1526" s="31"/>
    </row>
    <row r="1527" spans="4:6">
      <c r="D1527" s="8"/>
      <c r="E1527" s="8"/>
      <c r="F1527" s="31"/>
    </row>
    <row r="1528" spans="4:6">
      <c r="D1528" s="8"/>
      <c r="E1528" s="8"/>
      <c r="F1528" s="31"/>
    </row>
    <row r="1529" spans="4:6">
      <c r="D1529" s="8"/>
      <c r="E1529" s="8"/>
      <c r="F1529" s="31"/>
    </row>
    <row r="1530" spans="4:6">
      <c r="D1530" s="8"/>
      <c r="E1530" s="8"/>
      <c r="F1530" s="31"/>
    </row>
    <row r="1531" spans="4:6">
      <c r="D1531" s="8"/>
      <c r="E1531" s="8"/>
      <c r="F1531" s="31"/>
    </row>
    <row r="1532" spans="4:6">
      <c r="D1532" s="8"/>
      <c r="E1532" s="8"/>
      <c r="F1532" s="31"/>
    </row>
    <row r="1533" spans="4:6">
      <c r="D1533" s="8"/>
      <c r="E1533" s="8"/>
      <c r="F1533" s="31"/>
    </row>
    <row r="1534" spans="4:6">
      <c r="D1534" s="8"/>
      <c r="E1534" s="8"/>
      <c r="F1534" s="31"/>
    </row>
    <row r="1535" spans="4:6">
      <c r="D1535" s="8"/>
      <c r="E1535" s="8"/>
      <c r="F1535" s="31"/>
    </row>
    <row r="1536" spans="4:6">
      <c r="D1536" s="8"/>
      <c r="E1536" s="8"/>
      <c r="F1536" s="31"/>
    </row>
    <row r="1537" spans="4:6">
      <c r="D1537" s="8"/>
      <c r="E1537" s="8"/>
      <c r="F1537" s="31"/>
    </row>
    <row r="1538" spans="4:6">
      <c r="D1538" s="8"/>
      <c r="E1538" s="8"/>
      <c r="F1538" s="31"/>
    </row>
    <row r="1539" spans="4:6">
      <c r="D1539" s="8"/>
      <c r="E1539" s="8"/>
      <c r="F1539" s="31"/>
    </row>
    <row r="1540" spans="4:6">
      <c r="D1540" s="8"/>
      <c r="E1540" s="8"/>
      <c r="F1540" s="31"/>
    </row>
    <row r="1541" spans="4:6">
      <c r="D1541" s="8"/>
      <c r="E1541" s="8"/>
      <c r="F1541" s="31"/>
    </row>
    <row r="1542" spans="4:6">
      <c r="D1542" s="8"/>
      <c r="E1542" s="8"/>
      <c r="F1542" s="31"/>
    </row>
    <row r="1543" spans="4:6">
      <c r="D1543" s="8"/>
      <c r="E1543" s="8"/>
      <c r="F1543" s="31"/>
    </row>
    <row r="1544" spans="4:6">
      <c r="D1544" s="8"/>
      <c r="E1544" s="8"/>
      <c r="F1544" s="31"/>
    </row>
    <row r="1545" spans="4:6">
      <c r="D1545" s="8"/>
      <c r="E1545" s="8"/>
      <c r="F1545" s="31"/>
    </row>
    <row r="1546" spans="4:6">
      <c r="D1546" s="8"/>
      <c r="E1546" s="8"/>
      <c r="F1546" s="31"/>
    </row>
    <row r="1547" spans="4:6">
      <c r="D1547" s="8"/>
      <c r="E1547" s="8"/>
      <c r="F1547" s="31"/>
    </row>
    <row r="1548" spans="4:6">
      <c r="D1548" s="8"/>
      <c r="E1548" s="8"/>
      <c r="F1548" s="31"/>
    </row>
    <row r="1549" spans="4:6">
      <c r="D1549" s="8"/>
      <c r="E1549" s="8"/>
      <c r="F1549" s="31"/>
    </row>
    <row r="1550" spans="4:6">
      <c r="D1550" s="8"/>
      <c r="E1550" s="8"/>
      <c r="F1550" s="31"/>
    </row>
    <row r="1551" spans="4:6">
      <c r="D1551" s="8"/>
      <c r="E1551" s="8"/>
      <c r="F1551" s="31"/>
    </row>
    <row r="1552" spans="4:6">
      <c r="D1552" s="8"/>
      <c r="E1552" s="8"/>
      <c r="F1552" s="31"/>
    </row>
    <row r="1553" spans="4:6">
      <c r="D1553" s="8"/>
      <c r="E1553" s="8"/>
      <c r="F1553" s="31"/>
    </row>
    <row r="1554" spans="4:6">
      <c r="D1554" s="8"/>
      <c r="E1554" s="8"/>
      <c r="F1554" s="31"/>
    </row>
    <row r="1555" spans="4:6">
      <c r="D1555" s="8"/>
      <c r="E1555" s="8"/>
      <c r="F1555" s="31"/>
    </row>
    <row r="1556" spans="4:6">
      <c r="D1556" s="8"/>
      <c r="E1556" s="8"/>
      <c r="F1556" s="31"/>
    </row>
    <row r="1557" spans="4:6">
      <c r="D1557" s="8"/>
      <c r="E1557" s="8"/>
      <c r="F1557" s="31"/>
    </row>
    <row r="1558" spans="4:6">
      <c r="D1558" s="8"/>
      <c r="E1558" s="8"/>
      <c r="F1558" s="31"/>
    </row>
    <row r="1559" spans="4:6">
      <c r="D1559" s="8"/>
      <c r="E1559" s="8"/>
      <c r="F1559" s="31"/>
    </row>
    <row r="1560" spans="4:6">
      <c r="D1560" s="8"/>
      <c r="E1560" s="8"/>
      <c r="F1560" s="31"/>
    </row>
    <row r="1561" spans="4:6">
      <c r="D1561" s="8"/>
      <c r="E1561" s="8"/>
      <c r="F1561" s="31"/>
    </row>
    <row r="1562" spans="4:6">
      <c r="D1562" s="8"/>
      <c r="E1562" s="8"/>
      <c r="F1562" s="31"/>
    </row>
    <row r="1563" spans="4:6">
      <c r="D1563" s="8"/>
      <c r="E1563" s="8"/>
      <c r="F1563" s="31"/>
    </row>
    <row r="1564" spans="4:6">
      <c r="D1564" s="8"/>
      <c r="E1564" s="8"/>
      <c r="F1564" s="31"/>
    </row>
    <row r="1565" spans="4:6">
      <c r="D1565" s="8"/>
      <c r="E1565" s="8"/>
      <c r="F1565" s="31"/>
    </row>
    <row r="1566" spans="4:6">
      <c r="D1566" s="8"/>
      <c r="E1566" s="8"/>
      <c r="F1566" s="31"/>
    </row>
    <row r="1567" spans="4:6">
      <c r="D1567" s="8"/>
      <c r="E1567" s="8"/>
      <c r="F1567" s="31"/>
    </row>
    <row r="1568" spans="4:6">
      <c r="D1568" s="8"/>
      <c r="E1568" s="8"/>
      <c r="F1568" s="31"/>
    </row>
    <row r="1569" spans="4:6">
      <c r="D1569" s="8"/>
      <c r="E1569" s="8"/>
      <c r="F1569" s="31"/>
    </row>
    <row r="1570" spans="4:6">
      <c r="D1570" s="8"/>
      <c r="E1570" s="8"/>
      <c r="F1570" s="31"/>
    </row>
    <row r="1571" spans="4:6">
      <c r="D1571" s="8"/>
      <c r="E1571" s="8"/>
      <c r="F1571" s="31"/>
    </row>
    <row r="1572" spans="4:6">
      <c r="D1572" s="8"/>
      <c r="E1572" s="8"/>
      <c r="F1572" s="31"/>
    </row>
    <row r="1573" spans="4:6">
      <c r="D1573" s="8"/>
      <c r="E1573" s="8"/>
      <c r="F1573" s="31"/>
    </row>
    <row r="1574" spans="4:6">
      <c r="D1574" s="8"/>
      <c r="E1574" s="8"/>
      <c r="F1574" s="31"/>
    </row>
    <row r="1575" spans="4:6">
      <c r="D1575" s="8"/>
      <c r="E1575" s="8"/>
      <c r="F1575" s="31"/>
    </row>
    <row r="1576" spans="4:6">
      <c r="D1576" s="8"/>
      <c r="E1576" s="8"/>
      <c r="F1576" s="31"/>
    </row>
    <row r="1577" spans="4:6">
      <c r="D1577" s="8"/>
      <c r="E1577" s="8"/>
      <c r="F1577" s="31"/>
    </row>
    <row r="1578" spans="4:6">
      <c r="D1578" s="8"/>
      <c r="E1578" s="8"/>
      <c r="F1578" s="31"/>
    </row>
    <row r="1579" spans="4:6">
      <c r="D1579" s="8"/>
      <c r="E1579" s="8"/>
      <c r="F1579" s="31"/>
    </row>
    <row r="1580" spans="4:6">
      <c r="D1580" s="8"/>
      <c r="E1580" s="8"/>
      <c r="F1580" s="31"/>
    </row>
    <row r="1581" spans="4:6">
      <c r="D1581" s="8"/>
      <c r="E1581" s="8"/>
      <c r="F1581" s="31"/>
    </row>
    <row r="1582" spans="4:6">
      <c r="D1582" s="8"/>
      <c r="E1582" s="8"/>
      <c r="F1582" s="31"/>
    </row>
    <row r="1583" spans="4:6">
      <c r="D1583" s="8"/>
      <c r="E1583" s="8"/>
      <c r="F1583" s="31"/>
    </row>
    <row r="1584" spans="4:6">
      <c r="D1584" s="8"/>
      <c r="E1584" s="8"/>
      <c r="F1584" s="31"/>
    </row>
    <row r="1585" spans="4:6">
      <c r="D1585" s="8"/>
      <c r="E1585" s="8"/>
      <c r="F1585" s="31"/>
    </row>
    <row r="1586" spans="4:6">
      <c r="D1586" s="8"/>
      <c r="E1586" s="8"/>
      <c r="F1586" s="31"/>
    </row>
    <row r="1587" spans="4:6">
      <c r="D1587" s="8"/>
      <c r="E1587" s="8"/>
      <c r="F1587" s="31"/>
    </row>
    <row r="1588" spans="4:6">
      <c r="D1588" s="8"/>
      <c r="E1588" s="8"/>
      <c r="F1588" s="31"/>
    </row>
    <row r="1589" spans="4:6">
      <c r="D1589" s="8"/>
      <c r="E1589" s="8"/>
      <c r="F1589" s="31"/>
    </row>
    <row r="1590" spans="4:6">
      <c r="D1590" s="8"/>
      <c r="E1590" s="8"/>
      <c r="F1590" s="31"/>
    </row>
    <row r="1591" spans="4:6">
      <c r="D1591" s="8"/>
      <c r="E1591" s="8"/>
      <c r="F1591" s="31"/>
    </row>
    <row r="1592" spans="4:6">
      <c r="D1592" s="8"/>
      <c r="E1592" s="8"/>
      <c r="F1592" s="31"/>
    </row>
    <row r="1593" spans="4:6">
      <c r="D1593" s="8"/>
      <c r="E1593" s="8"/>
      <c r="F1593" s="31"/>
    </row>
    <row r="1594" spans="4:6">
      <c r="D1594" s="8"/>
      <c r="E1594" s="8"/>
      <c r="F1594" s="31"/>
    </row>
    <row r="1595" spans="4:6">
      <c r="D1595" s="8"/>
      <c r="E1595" s="8"/>
      <c r="F1595" s="31"/>
    </row>
    <row r="1596" spans="4:6">
      <c r="D1596" s="8"/>
      <c r="E1596" s="8"/>
      <c r="F1596" s="31"/>
    </row>
    <row r="1597" spans="4:6">
      <c r="D1597" s="8"/>
      <c r="E1597" s="8"/>
      <c r="F1597" s="31"/>
    </row>
    <row r="1598" spans="4:6">
      <c r="D1598" s="8"/>
      <c r="E1598" s="8"/>
      <c r="F1598" s="31"/>
    </row>
    <row r="1599" spans="4:6">
      <c r="D1599" s="8"/>
      <c r="E1599" s="8"/>
      <c r="F1599" s="31"/>
    </row>
    <row r="1600" spans="4:6">
      <c r="D1600" s="8"/>
      <c r="E1600" s="8"/>
      <c r="F1600" s="31"/>
    </row>
    <row r="1601" spans="4:6">
      <c r="D1601" s="8"/>
      <c r="E1601" s="8"/>
      <c r="F1601" s="31"/>
    </row>
    <row r="1602" spans="4:6">
      <c r="D1602" s="8"/>
      <c r="E1602" s="8"/>
      <c r="F1602" s="31"/>
    </row>
    <row r="1603" spans="4:6">
      <c r="D1603" s="8"/>
      <c r="E1603" s="8"/>
      <c r="F1603" s="31"/>
    </row>
    <row r="1604" spans="4:6">
      <c r="D1604" s="8"/>
      <c r="E1604" s="8"/>
      <c r="F1604" s="31"/>
    </row>
    <row r="1605" spans="4:6">
      <c r="D1605" s="8"/>
      <c r="E1605" s="8"/>
      <c r="F1605" s="31"/>
    </row>
    <row r="1606" spans="4:6">
      <c r="D1606" s="8"/>
      <c r="E1606" s="8"/>
      <c r="F1606" s="31"/>
    </row>
    <row r="1607" spans="4:6">
      <c r="D1607" s="8"/>
      <c r="E1607" s="8"/>
      <c r="F1607" s="31"/>
    </row>
    <row r="1608" spans="4:6">
      <c r="D1608" s="8"/>
      <c r="E1608" s="8"/>
      <c r="F1608" s="31"/>
    </row>
    <row r="1609" spans="4:6">
      <c r="D1609" s="8"/>
      <c r="E1609" s="8"/>
      <c r="F1609" s="31"/>
    </row>
    <row r="1610" spans="4:6">
      <c r="D1610" s="8"/>
      <c r="E1610" s="8"/>
      <c r="F1610" s="31"/>
    </row>
    <row r="1611" spans="4:6">
      <c r="D1611" s="8"/>
      <c r="E1611" s="8"/>
      <c r="F1611" s="31"/>
    </row>
    <row r="1612" spans="4:6">
      <c r="D1612" s="8"/>
      <c r="E1612" s="8"/>
      <c r="F1612" s="31"/>
    </row>
    <row r="1613" spans="4:6">
      <c r="D1613" s="8"/>
      <c r="E1613" s="8"/>
      <c r="F1613" s="31"/>
    </row>
    <row r="1614" spans="4:6">
      <c r="D1614" s="8"/>
      <c r="E1614" s="8"/>
      <c r="F1614" s="31"/>
    </row>
    <row r="1615" spans="4:6">
      <c r="D1615" s="8"/>
      <c r="E1615" s="8"/>
      <c r="F1615" s="31"/>
    </row>
    <row r="1616" spans="4:6">
      <c r="D1616" s="8"/>
      <c r="E1616" s="8"/>
      <c r="F1616" s="31"/>
    </row>
    <row r="1617" spans="4:6">
      <c r="D1617" s="8"/>
      <c r="E1617" s="8"/>
      <c r="F1617" s="31"/>
    </row>
    <row r="1618" spans="4:6">
      <c r="D1618" s="8"/>
      <c r="E1618" s="8"/>
      <c r="F1618" s="31"/>
    </row>
    <row r="1619" spans="4:6">
      <c r="D1619" s="8"/>
      <c r="E1619" s="8"/>
      <c r="F1619" s="31"/>
    </row>
    <row r="1620" spans="4:6">
      <c r="D1620" s="8"/>
      <c r="E1620" s="8"/>
      <c r="F1620" s="31"/>
    </row>
    <row r="1621" spans="4:6">
      <c r="D1621" s="8"/>
      <c r="E1621" s="8"/>
      <c r="F1621" s="31"/>
    </row>
    <row r="1622" spans="4:6">
      <c r="D1622" s="8"/>
      <c r="E1622" s="8"/>
      <c r="F1622" s="31"/>
    </row>
    <row r="1623" spans="4:6">
      <c r="D1623" s="8"/>
      <c r="E1623" s="8"/>
      <c r="F1623" s="31"/>
    </row>
    <row r="1624" spans="4:6">
      <c r="D1624" s="8"/>
      <c r="E1624" s="8"/>
      <c r="F1624" s="31"/>
    </row>
    <row r="1625" spans="4:6">
      <c r="D1625" s="8"/>
      <c r="E1625" s="8"/>
      <c r="F1625" s="31"/>
    </row>
    <row r="1626" spans="4:6">
      <c r="D1626" s="8"/>
      <c r="E1626" s="8"/>
      <c r="F1626" s="31"/>
    </row>
    <row r="1627" spans="4:6">
      <c r="D1627" s="8"/>
      <c r="E1627" s="8"/>
      <c r="F1627" s="31"/>
    </row>
    <row r="1628" spans="4:6">
      <c r="D1628" s="8"/>
      <c r="E1628" s="8"/>
      <c r="F1628" s="31"/>
    </row>
    <row r="1629" spans="4:6">
      <c r="D1629" s="8"/>
      <c r="E1629" s="8"/>
      <c r="F1629" s="31"/>
    </row>
    <row r="1630" spans="4:6">
      <c r="D1630" s="8"/>
      <c r="E1630" s="8"/>
      <c r="F1630" s="31"/>
    </row>
    <row r="1631" spans="4:6">
      <c r="D1631" s="8"/>
      <c r="E1631" s="8"/>
      <c r="F1631" s="31"/>
    </row>
    <row r="1632" spans="4:6">
      <c r="D1632" s="8"/>
      <c r="E1632" s="8"/>
      <c r="F1632" s="31"/>
    </row>
    <row r="1633" spans="4:6">
      <c r="D1633" s="8"/>
      <c r="E1633" s="8"/>
      <c r="F1633" s="31"/>
    </row>
    <row r="1634" spans="4:6">
      <c r="D1634" s="8"/>
      <c r="E1634" s="8"/>
      <c r="F1634" s="31"/>
    </row>
    <row r="1635" spans="4:6">
      <c r="D1635" s="8"/>
      <c r="E1635" s="8"/>
      <c r="F1635" s="31"/>
    </row>
    <row r="1636" spans="4:6">
      <c r="D1636" s="8"/>
      <c r="E1636" s="8"/>
      <c r="F1636" s="31"/>
    </row>
    <row r="1637" spans="4:6">
      <c r="D1637" s="8"/>
      <c r="E1637" s="8"/>
      <c r="F1637" s="31"/>
    </row>
    <row r="1638" spans="4:6">
      <c r="D1638" s="8"/>
      <c r="E1638" s="8"/>
      <c r="F1638" s="31"/>
    </row>
    <row r="1639" spans="4:6">
      <c r="D1639" s="8"/>
      <c r="E1639" s="8"/>
      <c r="F1639" s="31"/>
    </row>
    <row r="1640" spans="4:6">
      <c r="D1640" s="8"/>
      <c r="E1640" s="8"/>
      <c r="F1640" s="31"/>
    </row>
    <row r="1641" spans="4:6">
      <c r="D1641" s="8"/>
      <c r="E1641" s="8"/>
      <c r="F1641" s="31"/>
    </row>
    <row r="1642" spans="4:6">
      <c r="D1642" s="8"/>
      <c r="E1642" s="8"/>
      <c r="F1642" s="31"/>
    </row>
    <row r="1643" spans="4:6">
      <c r="D1643" s="8"/>
      <c r="E1643" s="8"/>
      <c r="F1643" s="31"/>
    </row>
    <row r="1644" spans="4:6">
      <c r="D1644" s="8"/>
      <c r="E1644" s="8"/>
      <c r="F1644" s="31"/>
    </row>
    <row r="1645" spans="4:6">
      <c r="D1645" s="8"/>
      <c r="E1645" s="8"/>
      <c r="F1645" s="31"/>
    </row>
    <row r="1646" spans="4:6">
      <c r="D1646" s="8"/>
      <c r="E1646" s="8"/>
      <c r="F1646" s="31"/>
    </row>
    <row r="1647" spans="4:6">
      <c r="D1647" s="8"/>
      <c r="E1647" s="8"/>
      <c r="F1647" s="31"/>
    </row>
    <row r="1648" spans="4:6">
      <c r="D1648" s="8"/>
      <c r="E1648" s="8"/>
      <c r="F1648" s="31"/>
    </row>
    <row r="1649" spans="4:6">
      <c r="D1649" s="8"/>
      <c r="E1649" s="8"/>
      <c r="F1649" s="31"/>
    </row>
    <row r="1650" spans="4:6">
      <c r="D1650" s="8"/>
      <c r="E1650" s="8"/>
      <c r="F1650" s="31"/>
    </row>
    <row r="1651" spans="4:6">
      <c r="D1651" s="8"/>
      <c r="E1651" s="8"/>
      <c r="F1651" s="31"/>
    </row>
    <row r="1652" spans="4:6">
      <c r="D1652" s="8"/>
      <c r="E1652" s="8"/>
      <c r="F1652" s="31"/>
    </row>
    <row r="1653" spans="4:6">
      <c r="D1653" s="8"/>
      <c r="E1653" s="8"/>
      <c r="F1653" s="31"/>
    </row>
    <row r="1654" spans="4:6">
      <c r="D1654" s="8"/>
      <c r="E1654" s="8"/>
      <c r="F1654" s="31"/>
    </row>
    <row r="1655" spans="4:6">
      <c r="D1655" s="8"/>
      <c r="E1655" s="8"/>
      <c r="F1655" s="31"/>
    </row>
    <row r="1656" spans="4:6">
      <c r="D1656" s="8"/>
      <c r="E1656" s="8"/>
      <c r="F1656" s="31"/>
    </row>
    <row r="1657" spans="4:6">
      <c r="D1657" s="8"/>
      <c r="E1657" s="8"/>
      <c r="F1657" s="31"/>
    </row>
    <row r="1658" spans="4:6">
      <c r="D1658" s="8"/>
      <c r="E1658" s="8"/>
      <c r="F1658" s="31"/>
    </row>
    <row r="1659" spans="4:6">
      <c r="D1659" s="8"/>
      <c r="E1659" s="8"/>
      <c r="F1659" s="31"/>
    </row>
    <row r="1660" spans="4:6">
      <c r="D1660" s="8"/>
      <c r="E1660" s="8"/>
      <c r="F1660" s="31"/>
    </row>
    <row r="1661" spans="4:6">
      <c r="D1661" s="8"/>
      <c r="E1661" s="8"/>
      <c r="F1661" s="31"/>
    </row>
    <row r="1662" spans="4:6">
      <c r="D1662" s="8"/>
      <c r="E1662" s="8"/>
      <c r="F1662" s="31"/>
    </row>
    <row r="1663" spans="4:6">
      <c r="D1663" s="8"/>
      <c r="E1663" s="8"/>
      <c r="F1663" s="31"/>
    </row>
    <row r="1664" spans="4:6">
      <c r="D1664" s="8"/>
      <c r="E1664" s="8"/>
      <c r="F1664" s="31"/>
    </row>
    <row r="1665" spans="4:6">
      <c r="D1665" s="8"/>
      <c r="E1665" s="8"/>
      <c r="F1665" s="31"/>
    </row>
    <row r="1666" spans="4:6">
      <c r="D1666" s="8"/>
      <c r="E1666" s="8"/>
      <c r="F1666" s="31"/>
    </row>
    <row r="1667" spans="4:6">
      <c r="D1667" s="8"/>
      <c r="E1667" s="8"/>
      <c r="F1667" s="31"/>
    </row>
    <row r="1668" spans="4:6">
      <c r="D1668" s="8"/>
      <c r="E1668" s="8"/>
      <c r="F1668" s="31"/>
    </row>
    <row r="1669" spans="4:6">
      <c r="D1669" s="8"/>
      <c r="E1669" s="8"/>
      <c r="F1669" s="31"/>
    </row>
    <row r="1670" spans="4:6">
      <c r="D1670" s="8"/>
      <c r="E1670" s="8"/>
      <c r="F1670" s="31"/>
    </row>
    <row r="1671" spans="4:6">
      <c r="D1671" s="8"/>
      <c r="E1671" s="8"/>
      <c r="F1671" s="31"/>
    </row>
    <row r="1672" spans="4:6">
      <c r="D1672" s="8"/>
      <c r="E1672" s="8"/>
      <c r="F1672" s="31"/>
    </row>
    <row r="1673" spans="4:6">
      <c r="D1673" s="8"/>
      <c r="E1673" s="8"/>
      <c r="F1673" s="31"/>
    </row>
    <row r="1674" spans="4:6">
      <c r="D1674" s="8"/>
      <c r="E1674" s="8"/>
      <c r="F1674" s="31"/>
    </row>
    <row r="1675" spans="4:6">
      <c r="D1675" s="8"/>
      <c r="E1675" s="8"/>
      <c r="F1675" s="31"/>
    </row>
    <row r="1676" spans="4:6">
      <c r="D1676" s="8"/>
      <c r="E1676" s="8"/>
      <c r="F1676" s="31"/>
    </row>
    <row r="1677" spans="4:6">
      <c r="D1677" s="8"/>
      <c r="E1677" s="8"/>
      <c r="F1677" s="31"/>
    </row>
    <row r="1678" spans="4:6">
      <c r="D1678" s="8"/>
      <c r="E1678" s="8"/>
      <c r="F1678" s="31"/>
    </row>
    <row r="1679" spans="4:6">
      <c r="D1679" s="8"/>
      <c r="E1679" s="8"/>
      <c r="F1679" s="31"/>
    </row>
    <row r="1680" spans="4:6">
      <c r="D1680" s="8"/>
      <c r="E1680" s="8"/>
      <c r="F1680" s="31"/>
    </row>
    <row r="1681" spans="4:6">
      <c r="D1681" s="8"/>
      <c r="E1681" s="8"/>
      <c r="F1681" s="31"/>
    </row>
    <row r="1682" spans="4:6">
      <c r="D1682" s="8"/>
      <c r="E1682" s="8"/>
      <c r="F1682" s="31"/>
    </row>
    <row r="1683" spans="4:6">
      <c r="D1683" s="8"/>
      <c r="E1683" s="8"/>
      <c r="F1683" s="31"/>
    </row>
    <row r="1684" spans="4:6">
      <c r="D1684" s="8"/>
      <c r="E1684" s="8"/>
      <c r="F1684" s="31"/>
    </row>
    <row r="1685" spans="4:6">
      <c r="D1685" s="8"/>
      <c r="E1685" s="8"/>
      <c r="F1685" s="31"/>
    </row>
    <row r="1686" spans="4:6">
      <c r="D1686" s="8"/>
      <c r="E1686" s="8"/>
      <c r="F1686" s="31"/>
    </row>
    <row r="1687" spans="4:6">
      <c r="D1687" s="8"/>
      <c r="E1687" s="8"/>
      <c r="F1687" s="31"/>
    </row>
    <row r="1688" spans="4:6">
      <c r="D1688" s="8"/>
      <c r="E1688" s="8"/>
      <c r="F1688" s="31"/>
    </row>
    <row r="1689" spans="4:6">
      <c r="D1689" s="8"/>
      <c r="E1689" s="8"/>
      <c r="F1689" s="31"/>
    </row>
    <row r="1690" spans="4:6">
      <c r="D1690" s="8"/>
      <c r="E1690" s="8"/>
      <c r="F1690" s="31"/>
    </row>
    <row r="1691" spans="4:6">
      <c r="D1691" s="8"/>
      <c r="E1691" s="8"/>
      <c r="F1691" s="31"/>
    </row>
    <row r="1692" spans="4:6">
      <c r="D1692" s="8"/>
      <c r="E1692" s="8"/>
      <c r="F1692" s="31"/>
    </row>
    <row r="1693" spans="4:6">
      <c r="D1693" s="8"/>
      <c r="E1693" s="8"/>
      <c r="F1693" s="31"/>
    </row>
    <row r="1694" spans="4:6">
      <c r="D1694" s="8"/>
      <c r="E1694" s="8"/>
      <c r="F1694" s="31"/>
    </row>
    <row r="1695" spans="4:6">
      <c r="D1695" s="8"/>
      <c r="E1695" s="8"/>
      <c r="F1695" s="31"/>
    </row>
    <row r="1696" spans="4:6">
      <c r="D1696" s="8"/>
      <c r="E1696" s="8"/>
      <c r="F1696" s="31"/>
    </row>
    <row r="1697" spans="4:6">
      <c r="D1697" s="8"/>
      <c r="E1697" s="8"/>
      <c r="F1697" s="31"/>
    </row>
    <row r="1698" spans="4:6">
      <c r="D1698" s="8"/>
      <c r="E1698" s="8"/>
      <c r="F1698" s="31"/>
    </row>
    <row r="1699" spans="4:6">
      <c r="D1699" s="8"/>
      <c r="E1699" s="8"/>
      <c r="F1699" s="31"/>
    </row>
    <row r="1700" spans="4:6">
      <c r="D1700" s="8"/>
      <c r="E1700" s="8"/>
      <c r="F1700" s="31"/>
    </row>
    <row r="1701" spans="4:6">
      <c r="D1701" s="8"/>
      <c r="E1701" s="8"/>
      <c r="F1701" s="31"/>
    </row>
    <row r="1702" spans="4:6">
      <c r="D1702" s="8"/>
      <c r="E1702" s="8"/>
      <c r="F1702" s="31"/>
    </row>
    <row r="1703" spans="4:6">
      <c r="D1703" s="8"/>
      <c r="E1703" s="8"/>
      <c r="F1703" s="31"/>
    </row>
    <row r="1704" spans="4:6">
      <c r="D1704" s="8"/>
      <c r="E1704" s="8"/>
      <c r="F1704" s="31"/>
    </row>
    <row r="1705" spans="4:6">
      <c r="D1705" s="8"/>
      <c r="E1705" s="8"/>
      <c r="F1705" s="31"/>
    </row>
    <row r="1706" spans="4:6">
      <c r="D1706" s="8"/>
      <c r="E1706" s="8"/>
      <c r="F1706" s="31"/>
    </row>
    <row r="1707" spans="4:6">
      <c r="D1707" s="8"/>
      <c r="E1707" s="8"/>
      <c r="F1707" s="31"/>
    </row>
    <row r="1708" spans="4:6">
      <c r="D1708" s="8"/>
      <c r="E1708" s="8"/>
      <c r="F1708" s="31"/>
    </row>
    <row r="1709" spans="4:6">
      <c r="D1709" s="8"/>
      <c r="E1709" s="8"/>
      <c r="F1709" s="31"/>
    </row>
    <row r="1710" spans="4:6">
      <c r="D1710" s="8"/>
      <c r="E1710" s="8"/>
      <c r="F1710" s="31"/>
    </row>
    <row r="1711" spans="4:6">
      <c r="D1711" s="8"/>
      <c r="E1711" s="8"/>
      <c r="F1711" s="31"/>
    </row>
    <row r="1712" spans="4:6">
      <c r="D1712" s="8"/>
      <c r="E1712" s="8"/>
      <c r="F1712" s="31"/>
    </row>
    <row r="1713" spans="4:6">
      <c r="D1713" s="8"/>
      <c r="E1713" s="8"/>
      <c r="F1713" s="31"/>
    </row>
    <row r="1714" spans="4:6">
      <c r="D1714" s="8"/>
      <c r="E1714" s="8"/>
      <c r="F1714" s="31"/>
    </row>
    <row r="1715" spans="4:6">
      <c r="D1715" s="8"/>
      <c r="E1715" s="8"/>
      <c r="F1715" s="31"/>
    </row>
    <row r="1716" spans="4:6">
      <c r="D1716" s="8"/>
      <c r="E1716" s="8"/>
      <c r="F1716" s="31"/>
    </row>
    <row r="1717" spans="4:6">
      <c r="D1717" s="8"/>
      <c r="E1717" s="8"/>
      <c r="F1717" s="31"/>
    </row>
    <row r="1718" spans="4:6">
      <c r="D1718" s="8"/>
      <c r="E1718" s="8"/>
      <c r="F1718" s="31"/>
    </row>
    <row r="1719" spans="4:6">
      <c r="D1719" s="8"/>
      <c r="E1719" s="8"/>
      <c r="F1719" s="31"/>
    </row>
    <row r="1720" spans="4:6">
      <c r="D1720" s="8"/>
      <c r="E1720" s="8"/>
      <c r="F1720" s="31"/>
    </row>
    <row r="1721" spans="4:6">
      <c r="D1721" s="8"/>
      <c r="E1721" s="8"/>
      <c r="F1721" s="31"/>
    </row>
    <row r="1722" spans="4:6">
      <c r="D1722" s="8"/>
      <c r="E1722" s="8"/>
      <c r="F1722" s="31"/>
    </row>
    <row r="1723" spans="4:6">
      <c r="D1723" s="8"/>
      <c r="E1723" s="8"/>
      <c r="F1723" s="31"/>
    </row>
    <row r="1724" spans="4:6">
      <c r="D1724" s="8"/>
      <c r="E1724" s="8"/>
      <c r="F1724" s="31"/>
    </row>
    <row r="1725" spans="4:6">
      <c r="D1725" s="8"/>
      <c r="E1725" s="8"/>
      <c r="F1725" s="31"/>
    </row>
    <row r="1726" spans="4:6">
      <c r="D1726" s="8"/>
      <c r="E1726" s="8"/>
      <c r="F1726" s="31"/>
    </row>
    <row r="1727" spans="4:6">
      <c r="D1727" s="8"/>
      <c r="E1727" s="8"/>
      <c r="F1727" s="31"/>
    </row>
    <row r="1728" spans="4:6">
      <c r="D1728" s="8"/>
      <c r="E1728" s="8"/>
      <c r="F1728" s="31"/>
    </row>
    <row r="1729" spans="4:6">
      <c r="D1729" s="8"/>
      <c r="E1729" s="8"/>
      <c r="F1729" s="31"/>
    </row>
    <row r="1730" spans="4:6">
      <c r="D1730" s="8"/>
      <c r="E1730" s="8"/>
      <c r="F1730" s="31"/>
    </row>
    <row r="1731" spans="4:6">
      <c r="D1731" s="8"/>
      <c r="E1731" s="8"/>
      <c r="F1731" s="31"/>
    </row>
    <row r="1732" spans="4:6">
      <c r="D1732" s="8"/>
      <c r="E1732" s="8"/>
      <c r="F1732" s="31"/>
    </row>
    <row r="1733" spans="4:6">
      <c r="D1733" s="8"/>
      <c r="E1733" s="8"/>
      <c r="F1733" s="31"/>
    </row>
    <row r="1734" spans="4:6">
      <c r="D1734" s="8"/>
      <c r="E1734" s="8"/>
      <c r="F1734" s="31"/>
    </row>
    <row r="1735" spans="4:6">
      <c r="D1735" s="8"/>
      <c r="E1735" s="8"/>
      <c r="F1735" s="31"/>
    </row>
    <row r="1736" spans="4:6">
      <c r="D1736" s="8"/>
      <c r="E1736" s="8"/>
      <c r="F1736" s="31"/>
    </row>
    <row r="1737" spans="4:6">
      <c r="D1737" s="8"/>
      <c r="E1737" s="8"/>
      <c r="F1737" s="31"/>
    </row>
    <row r="1738" spans="4:6">
      <c r="D1738" s="8"/>
      <c r="E1738" s="8"/>
      <c r="F1738" s="31"/>
    </row>
    <row r="1739" spans="4:6">
      <c r="D1739" s="8"/>
      <c r="E1739" s="8"/>
      <c r="F1739" s="31"/>
    </row>
    <row r="1740" spans="4:6">
      <c r="D1740" s="8"/>
      <c r="E1740" s="8"/>
      <c r="F1740" s="31"/>
    </row>
    <row r="1741" spans="4:6">
      <c r="D1741" s="8"/>
      <c r="E1741" s="8"/>
      <c r="F1741" s="31"/>
    </row>
    <row r="1742" spans="4:6">
      <c r="D1742" s="8"/>
      <c r="E1742" s="8"/>
      <c r="F1742" s="31"/>
    </row>
    <row r="1743" spans="4:6">
      <c r="D1743" s="8"/>
      <c r="E1743" s="8"/>
      <c r="F1743" s="31"/>
    </row>
    <row r="1744" spans="4:6">
      <c r="D1744" s="8"/>
      <c r="E1744" s="8"/>
      <c r="F1744" s="31"/>
    </row>
    <row r="1745" spans="4:6">
      <c r="D1745" s="8"/>
      <c r="E1745" s="8"/>
      <c r="F1745" s="31"/>
    </row>
    <row r="1746" spans="4:6">
      <c r="D1746" s="8"/>
      <c r="E1746" s="8"/>
      <c r="F1746" s="31"/>
    </row>
    <row r="1747" spans="4:6">
      <c r="D1747" s="8"/>
      <c r="E1747" s="8"/>
      <c r="F1747" s="31"/>
    </row>
    <row r="1748" spans="4:6">
      <c r="D1748" s="8"/>
      <c r="E1748" s="8"/>
      <c r="F1748" s="31"/>
    </row>
    <row r="1749" spans="4:6">
      <c r="D1749" s="8"/>
      <c r="E1749" s="8"/>
      <c r="F1749" s="31"/>
    </row>
    <row r="1750" spans="4:6">
      <c r="D1750" s="8"/>
      <c r="E1750" s="8"/>
      <c r="F1750" s="31"/>
    </row>
    <row r="1751" spans="4:6">
      <c r="D1751" s="8"/>
      <c r="E1751" s="8"/>
      <c r="F1751" s="31"/>
    </row>
    <row r="1752" spans="4:6">
      <c r="D1752" s="8"/>
      <c r="E1752" s="8"/>
      <c r="F1752" s="31"/>
    </row>
    <row r="1753" spans="4:6">
      <c r="D1753" s="8"/>
      <c r="E1753" s="8"/>
      <c r="F1753" s="31"/>
    </row>
    <row r="1754" spans="4:6">
      <c r="D1754" s="8"/>
      <c r="E1754" s="8"/>
      <c r="F1754" s="31"/>
    </row>
    <row r="1755" spans="4:6">
      <c r="D1755" s="8"/>
      <c r="E1755" s="8"/>
      <c r="F1755" s="31"/>
    </row>
    <row r="1756" spans="4:6">
      <c r="D1756" s="8"/>
      <c r="E1756" s="8"/>
      <c r="F1756" s="31"/>
    </row>
    <row r="1757" spans="4:6">
      <c r="D1757" s="8"/>
      <c r="E1757" s="8"/>
      <c r="F1757" s="31"/>
    </row>
    <row r="1758" spans="4:6">
      <c r="D1758" s="8"/>
      <c r="E1758" s="8"/>
      <c r="F1758" s="31"/>
    </row>
    <row r="1759" spans="4:6">
      <c r="D1759" s="8"/>
      <c r="E1759" s="8"/>
      <c r="F1759" s="31"/>
    </row>
    <row r="1760" spans="4:6">
      <c r="D1760" s="8"/>
      <c r="E1760" s="8"/>
      <c r="F1760" s="31"/>
    </row>
    <row r="1761" spans="4:6">
      <c r="D1761" s="8"/>
      <c r="E1761" s="8"/>
      <c r="F1761" s="31"/>
    </row>
    <row r="1762" spans="4:6">
      <c r="D1762" s="8"/>
      <c r="E1762" s="8"/>
      <c r="F1762" s="31"/>
    </row>
    <row r="1763" spans="4:6">
      <c r="D1763" s="8"/>
      <c r="E1763" s="8"/>
      <c r="F1763" s="31"/>
    </row>
    <row r="1764" spans="4:6">
      <c r="D1764" s="8"/>
      <c r="E1764" s="8"/>
      <c r="F1764" s="31"/>
    </row>
    <row r="1765" spans="4:6">
      <c r="D1765" s="8"/>
      <c r="E1765" s="8"/>
      <c r="F1765" s="31"/>
    </row>
    <row r="1766" spans="4:6">
      <c r="D1766" s="8"/>
      <c r="E1766" s="8"/>
      <c r="F1766" s="31"/>
    </row>
    <row r="1767" spans="4:6">
      <c r="D1767" s="8"/>
      <c r="E1767" s="8"/>
      <c r="F1767" s="31"/>
    </row>
    <row r="1768" spans="4:6">
      <c r="D1768" s="8"/>
      <c r="E1768" s="8"/>
      <c r="F1768" s="31"/>
    </row>
    <row r="1769" spans="4:6">
      <c r="D1769" s="8"/>
      <c r="E1769" s="8"/>
      <c r="F1769" s="31"/>
    </row>
    <row r="1770" spans="4:6">
      <c r="D1770" s="8"/>
      <c r="E1770" s="8"/>
      <c r="F1770" s="31"/>
    </row>
    <row r="1771" spans="4:6">
      <c r="D1771" s="8"/>
      <c r="E1771" s="8"/>
      <c r="F1771" s="31"/>
    </row>
    <row r="1772" spans="4:6">
      <c r="D1772" s="8"/>
      <c r="E1772" s="8"/>
      <c r="F1772" s="31"/>
    </row>
    <row r="1773" spans="4:6">
      <c r="D1773" s="8"/>
      <c r="E1773" s="8"/>
      <c r="F1773" s="31"/>
    </row>
    <row r="1774" spans="4:6">
      <c r="D1774" s="8"/>
      <c r="E1774" s="8"/>
      <c r="F1774" s="31"/>
    </row>
    <row r="1775" spans="4:6">
      <c r="D1775" s="8"/>
      <c r="E1775" s="8"/>
      <c r="F1775" s="31"/>
    </row>
    <row r="1776" spans="4:6">
      <c r="D1776" s="8"/>
      <c r="E1776" s="8"/>
      <c r="F1776" s="31"/>
    </row>
    <row r="1777" spans="4:6">
      <c r="D1777" s="8"/>
      <c r="E1777" s="8"/>
      <c r="F1777" s="31"/>
    </row>
    <row r="1778" spans="4:6">
      <c r="D1778" s="8"/>
      <c r="E1778" s="8"/>
      <c r="F1778" s="31"/>
    </row>
    <row r="1779" spans="4:6">
      <c r="D1779" s="8"/>
      <c r="E1779" s="8"/>
      <c r="F1779" s="31"/>
    </row>
    <row r="1780" spans="4:6">
      <c r="D1780" s="8"/>
      <c r="E1780" s="8"/>
      <c r="F1780" s="31"/>
    </row>
    <row r="1781" spans="4:6">
      <c r="D1781" s="8"/>
      <c r="E1781" s="8"/>
      <c r="F1781" s="31"/>
    </row>
    <row r="1782" spans="4:6">
      <c r="D1782" s="8"/>
      <c r="E1782" s="8"/>
      <c r="F1782" s="31"/>
    </row>
    <row r="1783" spans="4:6">
      <c r="D1783" s="8"/>
      <c r="E1783" s="8"/>
      <c r="F1783" s="31"/>
    </row>
    <row r="1784" spans="4:6">
      <c r="D1784" s="8"/>
      <c r="E1784" s="8"/>
      <c r="F1784" s="31"/>
    </row>
    <row r="1785" spans="4:6">
      <c r="D1785" s="8"/>
      <c r="E1785" s="8"/>
      <c r="F1785" s="31"/>
    </row>
    <row r="1786" spans="4:6">
      <c r="D1786" s="8"/>
      <c r="E1786" s="8"/>
      <c r="F1786" s="31"/>
    </row>
    <row r="1787" spans="4:6">
      <c r="D1787" s="8"/>
      <c r="E1787" s="8"/>
      <c r="F1787" s="31"/>
    </row>
    <row r="1788" spans="4:6">
      <c r="D1788" s="8"/>
      <c r="E1788" s="8"/>
      <c r="F1788" s="31"/>
    </row>
    <row r="1789" spans="4:6">
      <c r="D1789" s="8"/>
      <c r="E1789" s="8"/>
      <c r="F1789" s="31"/>
    </row>
    <row r="1790" spans="4:6">
      <c r="D1790" s="8"/>
      <c r="E1790" s="8"/>
      <c r="F1790" s="31"/>
    </row>
    <row r="1791" spans="4:6">
      <c r="D1791" s="8"/>
      <c r="E1791" s="8"/>
      <c r="F1791" s="31"/>
    </row>
    <row r="1792" spans="4:6">
      <c r="D1792" s="8"/>
      <c r="E1792" s="8"/>
      <c r="F1792" s="31"/>
    </row>
    <row r="1793" spans="4:6">
      <c r="D1793" s="8"/>
      <c r="E1793" s="8"/>
      <c r="F1793" s="31"/>
    </row>
    <row r="1794" spans="4:6">
      <c r="D1794" s="8"/>
      <c r="E1794" s="8"/>
      <c r="F1794" s="31"/>
    </row>
    <row r="1795" spans="4:6">
      <c r="D1795" s="8"/>
      <c r="E1795" s="8"/>
      <c r="F1795" s="31"/>
    </row>
    <row r="1796" spans="4:6">
      <c r="D1796" s="8"/>
      <c r="E1796" s="8"/>
      <c r="F1796" s="31"/>
    </row>
    <row r="1797" spans="4:6">
      <c r="D1797" s="8"/>
      <c r="E1797" s="8"/>
      <c r="F1797" s="31"/>
    </row>
    <row r="1798" spans="4:6">
      <c r="D1798" s="8"/>
      <c r="E1798" s="8"/>
      <c r="F1798" s="31"/>
    </row>
    <row r="1799" spans="4:6">
      <c r="D1799" s="8"/>
      <c r="E1799" s="8"/>
      <c r="F1799" s="31"/>
    </row>
    <row r="1800" spans="4:6">
      <c r="D1800" s="8"/>
      <c r="E1800" s="8"/>
      <c r="F1800" s="31"/>
    </row>
    <row r="1801" spans="4:6">
      <c r="D1801" s="8"/>
      <c r="E1801" s="8"/>
      <c r="F1801" s="31"/>
    </row>
    <row r="1802" spans="4:6">
      <c r="D1802" s="8"/>
      <c r="E1802" s="8"/>
      <c r="F1802" s="31"/>
    </row>
    <row r="1803" spans="4:6">
      <c r="D1803" s="8"/>
      <c r="E1803" s="8"/>
      <c r="F1803" s="31"/>
    </row>
    <row r="1804" spans="4:6">
      <c r="D1804" s="8"/>
      <c r="E1804" s="8"/>
      <c r="F1804" s="31"/>
    </row>
    <row r="1805" spans="4:6">
      <c r="D1805" s="8"/>
      <c r="E1805" s="8"/>
      <c r="F1805" s="31"/>
    </row>
    <row r="1806" spans="4:6">
      <c r="D1806" s="8"/>
      <c r="E1806" s="8"/>
      <c r="F1806" s="31"/>
    </row>
    <row r="1807" spans="4:6">
      <c r="D1807" s="8"/>
      <c r="E1807" s="8"/>
      <c r="F1807" s="31"/>
    </row>
    <row r="1808" spans="4:6">
      <c r="D1808" s="8"/>
      <c r="E1808" s="8"/>
      <c r="F1808" s="31"/>
    </row>
    <row r="1809" spans="4:6">
      <c r="D1809" s="8"/>
      <c r="E1809" s="8"/>
      <c r="F1809" s="31"/>
    </row>
    <row r="1810" spans="4:6">
      <c r="D1810" s="8"/>
      <c r="E1810" s="8"/>
      <c r="F1810" s="31"/>
    </row>
    <row r="1811" spans="4:6">
      <c r="D1811" s="8"/>
      <c r="E1811" s="8"/>
      <c r="F1811" s="31"/>
    </row>
    <row r="1812" spans="4:6">
      <c r="D1812" s="8"/>
      <c r="E1812" s="8"/>
      <c r="F1812" s="31"/>
    </row>
    <row r="1813" spans="4:6">
      <c r="D1813" s="8"/>
      <c r="E1813" s="8"/>
      <c r="F1813" s="31"/>
    </row>
    <row r="1814" spans="4:6">
      <c r="D1814" s="8"/>
      <c r="E1814" s="8"/>
      <c r="F1814" s="31"/>
    </row>
    <row r="1815" spans="4:6">
      <c r="D1815" s="8"/>
      <c r="E1815" s="8"/>
      <c r="F1815" s="31"/>
    </row>
    <row r="1816" spans="4:6">
      <c r="D1816" s="8"/>
      <c r="E1816" s="8"/>
      <c r="F1816" s="31"/>
    </row>
    <row r="1817" spans="4:6">
      <c r="D1817" s="8"/>
      <c r="E1817" s="8"/>
      <c r="F1817" s="31"/>
    </row>
    <row r="1818" spans="4:6">
      <c r="D1818" s="8"/>
      <c r="E1818" s="8"/>
      <c r="F1818" s="31"/>
    </row>
    <row r="1819" spans="4:6">
      <c r="D1819" s="8"/>
      <c r="E1819" s="8"/>
      <c r="F1819" s="31"/>
    </row>
    <row r="1820" spans="4:6">
      <c r="D1820" s="8"/>
      <c r="E1820" s="8"/>
      <c r="F1820" s="31"/>
    </row>
    <row r="1821" spans="4:6">
      <c r="D1821" s="8"/>
      <c r="E1821" s="8"/>
      <c r="F1821" s="31"/>
    </row>
    <row r="1822" spans="4:6">
      <c r="D1822" s="8"/>
      <c r="E1822" s="8"/>
      <c r="F1822" s="31"/>
    </row>
    <row r="1823" spans="4:6">
      <c r="D1823" s="8"/>
      <c r="E1823" s="8"/>
      <c r="F1823" s="31"/>
    </row>
    <row r="1824" spans="4:6">
      <c r="D1824" s="8"/>
      <c r="E1824" s="8"/>
      <c r="F1824" s="31"/>
    </row>
    <row r="1825" spans="4:6">
      <c r="D1825" s="8"/>
      <c r="E1825" s="8"/>
      <c r="F1825" s="31"/>
    </row>
    <row r="1826" spans="4:6">
      <c r="D1826" s="8"/>
      <c r="E1826" s="8"/>
      <c r="F1826" s="31"/>
    </row>
    <row r="1827" spans="4:6">
      <c r="D1827" s="8"/>
      <c r="E1827" s="8"/>
      <c r="F1827" s="31"/>
    </row>
    <row r="1828" spans="4:6">
      <c r="D1828" s="8"/>
      <c r="E1828" s="8"/>
      <c r="F1828" s="31"/>
    </row>
    <row r="1829" spans="4:6">
      <c r="D1829" s="8"/>
      <c r="E1829" s="8"/>
      <c r="F1829" s="31"/>
    </row>
    <row r="1830" spans="4:6">
      <c r="D1830" s="8"/>
      <c r="E1830" s="8"/>
      <c r="F1830" s="31"/>
    </row>
    <row r="1831" spans="4:6">
      <c r="D1831" s="8"/>
      <c r="E1831" s="8"/>
      <c r="F1831" s="31"/>
    </row>
    <row r="1832" spans="4:6">
      <c r="D1832" s="8"/>
      <c r="E1832" s="8"/>
      <c r="F1832" s="31"/>
    </row>
    <row r="1833" spans="4:6">
      <c r="D1833" s="8"/>
      <c r="E1833" s="8"/>
      <c r="F1833" s="31"/>
    </row>
    <row r="1834" spans="4:6">
      <c r="D1834" s="8"/>
      <c r="E1834" s="8"/>
      <c r="F1834" s="31"/>
    </row>
    <row r="1835" spans="4:6">
      <c r="D1835" s="8"/>
      <c r="E1835" s="8"/>
      <c r="F1835" s="31"/>
    </row>
    <row r="1836" spans="4:6">
      <c r="D1836" s="8"/>
      <c r="E1836" s="8"/>
      <c r="F1836" s="31"/>
    </row>
    <row r="1837" spans="4:6">
      <c r="D1837" s="8"/>
      <c r="E1837" s="8"/>
      <c r="F1837" s="31"/>
    </row>
    <row r="1838" spans="4:6">
      <c r="D1838" s="8"/>
      <c r="E1838" s="8"/>
      <c r="F1838" s="31"/>
    </row>
    <row r="1839" spans="4:6">
      <c r="D1839" s="8"/>
      <c r="E1839" s="8"/>
      <c r="F1839" s="31"/>
    </row>
    <row r="1840" spans="4:6">
      <c r="D1840" s="8"/>
      <c r="E1840" s="8"/>
      <c r="F1840" s="31"/>
    </row>
    <row r="1841" spans="4:6">
      <c r="D1841" s="8"/>
      <c r="E1841" s="8"/>
      <c r="F1841" s="31"/>
    </row>
    <row r="1842" spans="4:6">
      <c r="D1842" s="8"/>
      <c r="E1842" s="8"/>
      <c r="F1842" s="31"/>
    </row>
    <row r="1843" spans="4:6">
      <c r="D1843" s="8"/>
      <c r="E1843" s="8"/>
      <c r="F1843" s="31"/>
    </row>
    <row r="1844" spans="4:6">
      <c r="D1844" s="8"/>
      <c r="E1844" s="8"/>
      <c r="F1844" s="31"/>
    </row>
    <row r="1845" spans="4:6">
      <c r="D1845" s="8"/>
      <c r="E1845" s="8"/>
      <c r="F1845" s="31"/>
    </row>
    <row r="1846" spans="4:6">
      <c r="D1846" s="8"/>
      <c r="E1846" s="8"/>
      <c r="F1846" s="31"/>
    </row>
    <row r="1847" spans="4:6">
      <c r="D1847" s="8"/>
      <c r="E1847" s="8"/>
      <c r="F1847" s="31"/>
    </row>
    <row r="1848" spans="4:6">
      <c r="D1848" s="8"/>
      <c r="E1848" s="8"/>
      <c r="F1848" s="31"/>
    </row>
    <row r="1849" spans="4:6">
      <c r="D1849" s="8"/>
      <c r="E1849" s="8"/>
      <c r="F1849" s="31"/>
    </row>
    <row r="1850" spans="4:6">
      <c r="D1850" s="8"/>
      <c r="E1850" s="8"/>
      <c r="F1850" s="31"/>
    </row>
    <row r="1851" spans="4:6">
      <c r="D1851" s="8"/>
      <c r="E1851" s="8"/>
      <c r="F1851" s="31"/>
    </row>
    <row r="1852" spans="4:6">
      <c r="D1852" s="8"/>
      <c r="E1852" s="8"/>
      <c r="F1852" s="31"/>
    </row>
    <row r="1853" spans="4:6">
      <c r="D1853" s="8"/>
      <c r="E1853" s="8"/>
      <c r="F1853" s="31"/>
    </row>
    <row r="1854" spans="4:6">
      <c r="D1854" s="8"/>
      <c r="E1854" s="8"/>
      <c r="F1854" s="31"/>
    </row>
    <row r="1855" spans="4:6">
      <c r="D1855" s="8"/>
      <c r="E1855" s="8"/>
      <c r="F1855" s="31"/>
    </row>
    <row r="1856" spans="4:6">
      <c r="D1856" s="8"/>
      <c r="E1856" s="8"/>
      <c r="F1856" s="31"/>
    </row>
    <row r="1857" spans="4:6">
      <c r="D1857" s="8"/>
      <c r="E1857" s="8"/>
      <c r="F1857" s="31"/>
    </row>
    <row r="1858" spans="4:6">
      <c r="D1858" s="8"/>
      <c r="E1858" s="8"/>
      <c r="F1858" s="31"/>
    </row>
    <row r="1859" spans="4:6">
      <c r="D1859" s="8"/>
      <c r="E1859" s="8"/>
      <c r="F1859" s="31"/>
    </row>
    <row r="1860" spans="4:6">
      <c r="D1860" s="8"/>
      <c r="E1860" s="8"/>
      <c r="F1860" s="31"/>
    </row>
    <row r="1861" spans="4:6">
      <c r="D1861" s="8"/>
      <c r="E1861" s="8"/>
      <c r="F1861" s="31"/>
    </row>
    <row r="1862" spans="4:6">
      <c r="D1862" s="8"/>
      <c r="E1862" s="8"/>
      <c r="F1862" s="31"/>
    </row>
    <row r="1863" spans="4:6">
      <c r="D1863" s="8"/>
      <c r="E1863" s="8"/>
      <c r="F1863" s="31"/>
    </row>
    <row r="1864" spans="4:6">
      <c r="D1864" s="8"/>
      <c r="E1864" s="8"/>
      <c r="F1864" s="31"/>
    </row>
    <row r="1865" spans="4:6">
      <c r="D1865" s="8"/>
      <c r="E1865" s="8"/>
      <c r="F1865" s="31"/>
    </row>
    <row r="1866" spans="4:6">
      <c r="D1866" s="8"/>
      <c r="E1866" s="8"/>
      <c r="F1866" s="31"/>
    </row>
    <row r="1867" spans="4:6">
      <c r="D1867" s="8"/>
      <c r="E1867" s="8"/>
      <c r="F1867" s="31"/>
    </row>
    <row r="1868" spans="4:6">
      <c r="D1868" s="8"/>
      <c r="E1868" s="8"/>
      <c r="F1868" s="31"/>
    </row>
    <row r="1869" spans="4:6">
      <c r="D1869" s="8"/>
      <c r="E1869" s="8"/>
      <c r="F1869" s="31"/>
    </row>
    <row r="1870" spans="4:6">
      <c r="D1870" s="8"/>
      <c r="E1870" s="8"/>
      <c r="F1870" s="31"/>
    </row>
    <row r="1871" spans="4:6">
      <c r="D1871" s="8"/>
      <c r="E1871" s="8"/>
      <c r="F1871" s="31"/>
    </row>
    <row r="1872" spans="4:6">
      <c r="D1872" s="8"/>
      <c r="E1872" s="8"/>
      <c r="F1872" s="31"/>
    </row>
    <row r="1873" spans="4:6">
      <c r="D1873" s="8"/>
      <c r="E1873" s="8"/>
      <c r="F1873" s="31"/>
    </row>
    <row r="1874" spans="4:6">
      <c r="D1874" s="8"/>
      <c r="E1874" s="8"/>
      <c r="F1874" s="31"/>
    </row>
    <row r="1875" spans="4:6">
      <c r="D1875" s="8"/>
      <c r="E1875" s="8"/>
      <c r="F1875" s="31"/>
    </row>
    <row r="1876" spans="4:6">
      <c r="D1876" s="8"/>
      <c r="E1876" s="8"/>
      <c r="F1876" s="31"/>
    </row>
    <row r="1877" spans="4:6">
      <c r="D1877" s="8"/>
      <c r="E1877" s="8"/>
      <c r="F1877" s="31"/>
    </row>
    <row r="1878" spans="4:6">
      <c r="D1878" s="8"/>
      <c r="E1878" s="8"/>
      <c r="F1878" s="31"/>
    </row>
    <row r="1879" spans="4:6">
      <c r="D1879" s="8"/>
      <c r="E1879" s="8"/>
      <c r="F1879" s="31"/>
    </row>
    <row r="1880" spans="4:6">
      <c r="D1880" s="8"/>
      <c r="E1880" s="8"/>
      <c r="F1880" s="31"/>
    </row>
    <row r="1881" spans="4:6">
      <c r="D1881" s="8"/>
      <c r="E1881" s="8"/>
      <c r="F1881" s="31"/>
    </row>
    <row r="1882" spans="4:6">
      <c r="D1882" s="8"/>
      <c r="E1882" s="8"/>
      <c r="F1882" s="31"/>
    </row>
    <row r="1883" spans="4:6">
      <c r="D1883" s="8"/>
      <c r="E1883" s="8"/>
      <c r="F1883" s="31"/>
    </row>
    <row r="1884" spans="4:6">
      <c r="D1884" s="8"/>
      <c r="E1884" s="8"/>
      <c r="F1884" s="31"/>
    </row>
    <row r="1885" spans="4:6">
      <c r="D1885" s="8"/>
      <c r="E1885" s="8"/>
      <c r="F1885" s="31"/>
    </row>
    <row r="1886" spans="4:6">
      <c r="D1886" s="8"/>
      <c r="E1886" s="8"/>
      <c r="F1886" s="31"/>
    </row>
    <row r="1887" spans="4:6">
      <c r="D1887" s="8"/>
      <c r="E1887" s="8"/>
      <c r="F1887" s="31"/>
    </row>
    <row r="1888" spans="4:6">
      <c r="D1888" s="8"/>
      <c r="E1888" s="8"/>
      <c r="F1888" s="31"/>
    </row>
    <row r="1889" spans="4:6">
      <c r="D1889" s="8"/>
      <c r="E1889" s="8"/>
      <c r="F1889" s="31"/>
    </row>
    <row r="1890" spans="4:6">
      <c r="D1890" s="8"/>
      <c r="E1890" s="8"/>
      <c r="F1890" s="31"/>
    </row>
    <row r="1891" spans="4:6">
      <c r="D1891" s="8"/>
      <c r="E1891" s="8"/>
      <c r="F1891" s="31"/>
    </row>
    <row r="1892" spans="4:6">
      <c r="D1892" s="8"/>
      <c r="E1892" s="8"/>
      <c r="F1892" s="31"/>
    </row>
    <row r="1893" spans="4:6">
      <c r="D1893" s="8"/>
      <c r="E1893" s="8"/>
      <c r="F1893" s="31"/>
    </row>
    <row r="1894" spans="4:6">
      <c r="D1894" s="8"/>
      <c r="E1894" s="8"/>
      <c r="F1894" s="31"/>
    </row>
    <row r="1895" spans="4:6">
      <c r="D1895" s="8"/>
      <c r="E1895" s="8"/>
      <c r="F1895" s="31"/>
    </row>
    <row r="1896" spans="4:6">
      <c r="D1896" s="8"/>
      <c r="E1896" s="8"/>
      <c r="F1896" s="31"/>
    </row>
    <row r="1897" spans="4:6">
      <c r="D1897" s="8"/>
      <c r="E1897" s="8"/>
      <c r="F1897" s="31"/>
    </row>
    <row r="1898" spans="4:6">
      <c r="D1898" s="8"/>
      <c r="E1898" s="8"/>
      <c r="F1898" s="31"/>
    </row>
    <row r="1899" spans="4:6">
      <c r="D1899" s="8"/>
      <c r="E1899" s="8"/>
      <c r="F1899" s="31"/>
    </row>
    <row r="1900" spans="4:6">
      <c r="D1900" s="8"/>
      <c r="E1900" s="8"/>
      <c r="F1900" s="31"/>
    </row>
    <row r="1901" spans="4:6">
      <c r="D1901" s="8"/>
      <c r="E1901" s="8"/>
      <c r="F1901" s="31"/>
    </row>
    <row r="1902" spans="4:6">
      <c r="D1902" s="8"/>
      <c r="E1902" s="8"/>
      <c r="F1902" s="31"/>
    </row>
    <row r="1903" spans="4:6">
      <c r="D1903" s="8"/>
      <c r="E1903" s="8"/>
      <c r="F1903" s="31"/>
    </row>
    <row r="1904" spans="4:6">
      <c r="D1904" s="8"/>
      <c r="E1904" s="8"/>
      <c r="F1904" s="31"/>
    </row>
    <row r="1905" spans="4:6">
      <c r="D1905" s="8"/>
      <c r="E1905" s="8"/>
      <c r="F1905" s="31"/>
    </row>
    <row r="1906" spans="4:6">
      <c r="D1906" s="8"/>
      <c r="E1906" s="8"/>
      <c r="F1906" s="31"/>
    </row>
    <row r="1907" spans="4:6">
      <c r="D1907" s="8"/>
      <c r="E1907" s="8"/>
      <c r="F1907" s="31"/>
    </row>
    <row r="1908" spans="4:6">
      <c r="D1908" s="8"/>
      <c r="E1908" s="8"/>
      <c r="F1908" s="31"/>
    </row>
    <row r="1909" spans="4:6">
      <c r="D1909" s="8"/>
      <c r="E1909" s="8"/>
      <c r="F1909" s="31"/>
    </row>
    <row r="1910" spans="4:6">
      <c r="D1910" s="8"/>
      <c r="E1910" s="8"/>
      <c r="F1910" s="31"/>
    </row>
    <row r="1911" spans="4:6">
      <c r="D1911" s="8"/>
      <c r="E1911" s="8"/>
      <c r="F1911" s="31"/>
    </row>
    <row r="1912" spans="4:6">
      <c r="D1912" s="8"/>
      <c r="E1912" s="8"/>
      <c r="F1912" s="31"/>
    </row>
    <row r="1913" spans="4:6">
      <c r="D1913" s="8"/>
      <c r="E1913" s="8"/>
      <c r="F1913" s="31"/>
    </row>
    <row r="1914" spans="4:6">
      <c r="D1914" s="8"/>
      <c r="E1914" s="8"/>
      <c r="F1914" s="31"/>
    </row>
    <row r="1915" spans="4:6">
      <c r="D1915" s="8"/>
      <c r="E1915" s="8"/>
      <c r="F1915" s="31"/>
    </row>
    <row r="1916" spans="4:6">
      <c r="D1916" s="8"/>
      <c r="E1916" s="8"/>
      <c r="F1916" s="31"/>
    </row>
    <row r="1917" spans="4:6">
      <c r="D1917" s="8"/>
      <c r="E1917" s="8"/>
      <c r="F1917" s="31"/>
    </row>
    <row r="1918" spans="4:6">
      <c r="D1918" s="8"/>
      <c r="E1918" s="8"/>
      <c r="F1918" s="31"/>
    </row>
    <row r="1919" spans="4:6">
      <c r="D1919" s="8"/>
      <c r="E1919" s="8"/>
      <c r="F1919" s="31"/>
    </row>
    <row r="1920" spans="4:6">
      <c r="D1920" s="8"/>
      <c r="E1920" s="8"/>
      <c r="F1920" s="31"/>
    </row>
    <row r="1921" spans="4:6">
      <c r="D1921" s="8"/>
      <c r="E1921" s="8"/>
      <c r="F1921" s="31"/>
    </row>
    <row r="1922" spans="4:6">
      <c r="D1922" s="8"/>
      <c r="E1922" s="8"/>
      <c r="F1922" s="31"/>
    </row>
    <row r="1923" spans="4:6">
      <c r="D1923" s="8"/>
      <c r="E1923" s="8"/>
      <c r="F1923" s="31"/>
    </row>
    <row r="1924" spans="4:6">
      <c r="D1924" s="8"/>
      <c r="E1924" s="8"/>
      <c r="F1924" s="31"/>
    </row>
    <row r="1925" spans="4:6">
      <c r="D1925" s="8"/>
      <c r="E1925" s="8"/>
      <c r="F1925" s="31"/>
    </row>
    <row r="1926" spans="4:6">
      <c r="D1926" s="8"/>
      <c r="E1926" s="8"/>
      <c r="F1926" s="31"/>
    </row>
    <row r="1927" spans="4:6">
      <c r="D1927" s="8"/>
      <c r="E1927" s="8"/>
      <c r="F1927" s="31"/>
    </row>
    <row r="1928" spans="4:6">
      <c r="D1928" s="8"/>
      <c r="E1928" s="8"/>
      <c r="F1928" s="31"/>
    </row>
    <row r="1929" spans="4:6">
      <c r="D1929" s="8"/>
      <c r="E1929" s="8"/>
      <c r="F1929" s="31"/>
    </row>
    <row r="1930" spans="4:6">
      <c r="D1930" s="8"/>
      <c r="E1930" s="8"/>
      <c r="F1930" s="31"/>
    </row>
    <row r="1931" spans="4:6">
      <c r="D1931" s="8"/>
      <c r="E1931" s="8"/>
      <c r="F1931" s="31"/>
    </row>
    <row r="1932" spans="4:6">
      <c r="D1932" s="8"/>
      <c r="E1932" s="8"/>
      <c r="F1932" s="31"/>
    </row>
    <row r="1933" spans="4:6">
      <c r="D1933" s="8"/>
      <c r="E1933" s="8"/>
      <c r="F1933" s="31"/>
    </row>
    <row r="1934" spans="4:6">
      <c r="D1934" s="8"/>
      <c r="E1934" s="8"/>
      <c r="F1934" s="31"/>
    </row>
    <row r="1935" spans="4:6">
      <c r="D1935" s="8"/>
      <c r="E1935" s="8"/>
      <c r="F1935" s="31"/>
    </row>
    <row r="1936" spans="4:6">
      <c r="D1936" s="8"/>
      <c r="E1936" s="8"/>
      <c r="F1936" s="31"/>
    </row>
    <row r="1937" spans="4:6">
      <c r="D1937" s="8"/>
      <c r="E1937" s="8"/>
      <c r="F1937" s="31"/>
    </row>
    <row r="1938" spans="4:6">
      <c r="D1938" s="8"/>
      <c r="E1938" s="8"/>
      <c r="F1938" s="31"/>
    </row>
    <row r="1939" spans="4:6">
      <c r="D1939" s="8"/>
      <c r="E1939" s="8"/>
      <c r="F1939" s="31"/>
    </row>
    <row r="1940" spans="4:6">
      <c r="D1940" s="8"/>
      <c r="E1940" s="8"/>
      <c r="F1940" s="31"/>
    </row>
    <row r="1941" spans="4:6">
      <c r="D1941" s="8"/>
      <c r="E1941" s="8"/>
      <c r="F1941" s="31"/>
    </row>
    <row r="1942" spans="4:6">
      <c r="D1942" s="8"/>
      <c r="E1942" s="8"/>
      <c r="F1942" s="31"/>
    </row>
    <row r="1943" spans="4:6">
      <c r="D1943" s="8"/>
      <c r="E1943" s="8"/>
      <c r="F1943" s="31"/>
    </row>
    <row r="1944" spans="4:6">
      <c r="D1944" s="8"/>
      <c r="E1944" s="8"/>
      <c r="F1944" s="31"/>
    </row>
    <row r="1945" spans="4:6">
      <c r="D1945" s="8"/>
      <c r="E1945" s="8"/>
      <c r="F1945" s="31"/>
    </row>
    <row r="1946" spans="4:6">
      <c r="D1946" s="8"/>
      <c r="E1946" s="8"/>
      <c r="F1946" s="31"/>
    </row>
    <row r="1947" spans="4:6">
      <c r="D1947" s="8"/>
      <c r="E1947" s="8"/>
      <c r="F1947" s="31"/>
    </row>
    <row r="1948" spans="4:6">
      <c r="D1948" s="8"/>
      <c r="E1948" s="8"/>
      <c r="F1948" s="31"/>
    </row>
    <row r="1949" spans="4:6">
      <c r="D1949" s="8"/>
      <c r="E1949" s="8"/>
      <c r="F1949" s="31"/>
    </row>
    <row r="1950" spans="4:6">
      <c r="D1950" s="8"/>
      <c r="E1950" s="8"/>
      <c r="F1950" s="31"/>
    </row>
    <row r="1951" spans="4:6">
      <c r="D1951" s="8"/>
      <c r="E1951" s="8"/>
      <c r="F1951" s="31"/>
    </row>
    <row r="1952" spans="4:6">
      <c r="D1952" s="8"/>
      <c r="E1952" s="8"/>
      <c r="F1952" s="31"/>
    </row>
    <row r="1953" spans="4:6">
      <c r="D1953" s="8"/>
      <c r="E1953" s="8"/>
      <c r="F1953" s="31"/>
    </row>
    <row r="1954" spans="4:6">
      <c r="D1954" s="8"/>
      <c r="E1954" s="8"/>
      <c r="F1954" s="31"/>
    </row>
    <row r="1955" spans="4:6">
      <c r="D1955" s="8"/>
      <c r="E1955" s="8"/>
      <c r="F1955" s="31"/>
    </row>
    <row r="1956" spans="4:6">
      <c r="D1956" s="8"/>
      <c r="E1956" s="8"/>
      <c r="F1956" s="31"/>
    </row>
    <row r="1957" spans="4:6">
      <c r="D1957" s="8"/>
      <c r="E1957" s="8"/>
      <c r="F1957" s="31"/>
    </row>
    <row r="1958" spans="4:6">
      <c r="D1958" s="8"/>
      <c r="E1958" s="8"/>
      <c r="F1958" s="31"/>
    </row>
    <row r="1959" spans="4:6">
      <c r="D1959" s="8"/>
      <c r="E1959" s="8"/>
      <c r="F1959" s="31"/>
    </row>
    <row r="1960" spans="4:6">
      <c r="D1960" s="8"/>
      <c r="E1960" s="8"/>
      <c r="F1960" s="31"/>
    </row>
    <row r="1961" spans="4:6">
      <c r="D1961" s="8"/>
      <c r="E1961" s="8"/>
      <c r="F1961" s="31"/>
    </row>
    <row r="1962" spans="4:6">
      <c r="D1962" s="8"/>
      <c r="E1962" s="8"/>
      <c r="F1962" s="31"/>
    </row>
    <row r="1963" spans="4:6">
      <c r="D1963" s="8"/>
      <c r="E1963" s="8"/>
      <c r="F1963" s="31"/>
    </row>
    <row r="1964" spans="4:6">
      <c r="D1964" s="8"/>
      <c r="E1964" s="8"/>
      <c r="F1964" s="31"/>
    </row>
    <row r="1965" spans="4:6">
      <c r="D1965" s="8"/>
      <c r="E1965" s="8"/>
      <c r="F1965" s="31"/>
    </row>
    <row r="1966" spans="4:6">
      <c r="D1966" s="8"/>
      <c r="E1966" s="8"/>
      <c r="F1966" s="31"/>
    </row>
    <row r="1967" spans="4:6">
      <c r="D1967" s="8"/>
      <c r="E1967" s="8"/>
      <c r="F1967" s="31"/>
    </row>
    <row r="1968" spans="4:6">
      <c r="D1968" s="8"/>
      <c r="E1968" s="8"/>
      <c r="F1968" s="31"/>
    </row>
    <row r="1969" spans="4:6">
      <c r="D1969" s="8"/>
      <c r="E1969" s="8"/>
      <c r="F1969" s="31"/>
    </row>
    <row r="1970" spans="4:6">
      <c r="D1970" s="8"/>
      <c r="E1970" s="8"/>
      <c r="F1970" s="31"/>
    </row>
    <row r="1971" spans="4:6">
      <c r="D1971" s="8"/>
      <c r="E1971" s="8"/>
      <c r="F1971" s="31"/>
    </row>
    <row r="1972" spans="4:6">
      <c r="D1972" s="8"/>
      <c r="E1972" s="8"/>
      <c r="F1972" s="31"/>
    </row>
    <row r="1973" spans="4:6">
      <c r="D1973" s="8"/>
      <c r="E1973" s="8"/>
      <c r="F1973" s="31"/>
    </row>
    <row r="1974" spans="4:6">
      <c r="D1974" s="8"/>
      <c r="E1974" s="8"/>
      <c r="F1974" s="31"/>
    </row>
    <row r="1975" spans="4:6">
      <c r="D1975" s="8"/>
      <c r="E1975" s="8"/>
      <c r="F1975" s="31"/>
    </row>
    <row r="1976" spans="4:6">
      <c r="D1976" s="8"/>
      <c r="E1976" s="8"/>
      <c r="F1976" s="31"/>
    </row>
    <row r="1977" spans="4:6">
      <c r="D1977" s="8"/>
      <c r="E1977" s="8"/>
      <c r="F1977" s="31"/>
    </row>
    <row r="1978" spans="4:6">
      <c r="D1978" s="8"/>
      <c r="E1978" s="8"/>
      <c r="F1978" s="31"/>
    </row>
    <row r="1979" spans="4:6">
      <c r="D1979" s="8"/>
      <c r="E1979" s="8"/>
      <c r="F1979" s="31"/>
    </row>
    <row r="1980" spans="4:6">
      <c r="D1980" s="8"/>
      <c r="E1980" s="8"/>
      <c r="F1980" s="31"/>
    </row>
    <row r="1981" spans="4:6">
      <c r="D1981" s="8"/>
      <c r="E1981" s="8"/>
      <c r="F1981" s="31"/>
    </row>
    <row r="1982" spans="4:6">
      <c r="D1982" s="8"/>
      <c r="E1982" s="8"/>
      <c r="F1982" s="31"/>
    </row>
    <row r="1983" spans="4:6">
      <c r="D1983" s="8"/>
      <c r="E1983" s="8"/>
      <c r="F1983" s="31"/>
    </row>
    <row r="1984" spans="4:6">
      <c r="D1984" s="8"/>
      <c r="E1984" s="8"/>
      <c r="F1984" s="31"/>
    </row>
    <row r="1985" spans="4:6">
      <c r="D1985" s="8"/>
      <c r="E1985" s="8"/>
      <c r="F1985" s="31"/>
    </row>
    <row r="1986" spans="4:6">
      <c r="D1986" s="8"/>
      <c r="E1986" s="8"/>
      <c r="F1986" s="31"/>
    </row>
    <row r="1987" spans="4:6">
      <c r="D1987" s="8"/>
      <c r="E1987" s="8"/>
      <c r="F1987" s="31"/>
    </row>
    <row r="1988" spans="4:6">
      <c r="D1988" s="8"/>
      <c r="E1988" s="8"/>
      <c r="F1988" s="31"/>
    </row>
    <row r="1989" spans="4:6">
      <c r="D1989" s="8"/>
      <c r="E1989" s="8"/>
      <c r="F1989" s="31"/>
    </row>
    <row r="1990" spans="4:6">
      <c r="D1990" s="8"/>
      <c r="E1990" s="8"/>
      <c r="F1990" s="31"/>
    </row>
    <row r="1991" spans="4:6">
      <c r="D1991" s="8"/>
      <c r="E1991" s="8"/>
      <c r="F1991" s="31"/>
    </row>
    <row r="1992" spans="4:6">
      <c r="D1992" s="8"/>
      <c r="E1992" s="8"/>
      <c r="F1992" s="31"/>
    </row>
    <row r="1993" spans="4:6">
      <c r="D1993" s="8"/>
      <c r="E1993" s="8"/>
      <c r="F1993" s="31"/>
    </row>
    <row r="1994" spans="4:6">
      <c r="D1994" s="8"/>
      <c r="E1994" s="8"/>
      <c r="F1994" s="31"/>
    </row>
    <row r="1995" spans="4:6">
      <c r="D1995" s="8"/>
      <c r="E1995" s="8"/>
      <c r="F1995" s="31"/>
    </row>
    <row r="1996" spans="4:6">
      <c r="D1996" s="8"/>
      <c r="E1996" s="8"/>
      <c r="F1996" s="31"/>
    </row>
    <row r="1997" spans="4:6">
      <c r="D1997" s="8"/>
      <c r="E1997" s="8"/>
      <c r="F1997" s="31"/>
    </row>
    <row r="1998" spans="4:6">
      <c r="D1998" s="8"/>
      <c r="E1998" s="8"/>
      <c r="F1998" s="31"/>
    </row>
    <row r="1999" spans="4:6">
      <c r="D1999" s="8"/>
      <c r="E1999" s="8"/>
      <c r="F1999" s="31"/>
    </row>
    <row r="2000" spans="4:6">
      <c r="D2000" s="8"/>
      <c r="E2000" s="8"/>
      <c r="F2000" s="31"/>
    </row>
    <row r="2001" spans="4:6">
      <c r="D2001" s="8"/>
      <c r="E2001" s="8"/>
      <c r="F2001" s="31"/>
    </row>
    <row r="2002" spans="4:6">
      <c r="D2002" s="8"/>
      <c r="E2002" s="8"/>
      <c r="F2002" s="31"/>
    </row>
    <row r="2003" spans="4:6">
      <c r="D2003" s="8"/>
      <c r="E2003" s="8"/>
      <c r="F2003" s="31"/>
    </row>
    <row r="2004" spans="4:6">
      <c r="D2004" s="8"/>
      <c r="E2004" s="8"/>
      <c r="F2004" s="31"/>
    </row>
    <row r="2005" spans="4:6">
      <c r="D2005" s="8"/>
      <c r="E2005" s="8"/>
      <c r="F2005" s="31"/>
    </row>
    <row r="2006" spans="4:6">
      <c r="D2006" s="8"/>
      <c r="E2006" s="8"/>
      <c r="F2006" s="31"/>
    </row>
    <row r="2007" spans="4:6">
      <c r="D2007" s="8"/>
      <c r="E2007" s="8"/>
      <c r="F2007" s="31"/>
    </row>
    <row r="2008" spans="4:6">
      <c r="D2008" s="8"/>
      <c r="E2008" s="8"/>
      <c r="F2008" s="31"/>
    </row>
    <row r="2009" spans="4:6">
      <c r="D2009" s="8"/>
      <c r="E2009" s="8"/>
      <c r="F2009" s="31"/>
    </row>
    <row r="2010" spans="4:6">
      <c r="D2010" s="8"/>
      <c r="E2010" s="8"/>
      <c r="F2010" s="31"/>
    </row>
    <row r="2011" spans="4:6">
      <c r="D2011" s="8"/>
      <c r="E2011" s="8"/>
      <c r="F2011" s="31"/>
    </row>
    <row r="2012" spans="4:6">
      <c r="D2012" s="8"/>
      <c r="E2012" s="8"/>
      <c r="F2012" s="31"/>
    </row>
    <row r="2013" spans="4:6">
      <c r="D2013" s="8"/>
      <c r="E2013" s="8"/>
      <c r="F2013" s="31"/>
    </row>
    <row r="2014" spans="4:6">
      <c r="D2014" s="8"/>
      <c r="E2014" s="8"/>
      <c r="F2014" s="31"/>
    </row>
    <row r="2015" spans="4:6">
      <c r="D2015" s="8"/>
      <c r="E2015" s="8"/>
      <c r="F2015" s="31"/>
    </row>
    <row r="2016" spans="4:6">
      <c r="D2016" s="8"/>
      <c r="E2016" s="8"/>
      <c r="F2016" s="31"/>
    </row>
    <row r="2017" spans="4:6">
      <c r="D2017" s="8"/>
      <c r="E2017" s="8"/>
      <c r="F2017" s="31"/>
    </row>
    <row r="2018" spans="4:6">
      <c r="D2018" s="8"/>
      <c r="E2018" s="8"/>
      <c r="F2018" s="31"/>
    </row>
    <row r="2019" spans="4:6">
      <c r="D2019" s="8"/>
      <c r="E2019" s="8"/>
      <c r="F2019" s="31"/>
    </row>
    <row r="2020" spans="4:6">
      <c r="D2020" s="8"/>
      <c r="E2020" s="8"/>
      <c r="F2020" s="31"/>
    </row>
    <row r="2021" spans="4:6">
      <c r="D2021" s="8"/>
      <c r="E2021" s="8"/>
      <c r="F2021" s="31"/>
    </row>
    <row r="2022" spans="4:6">
      <c r="D2022" s="8"/>
      <c r="E2022" s="8"/>
      <c r="F2022" s="31"/>
    </row>
    <row r="2023" spans="4:6">
      <c r="D2023" s="8"/>
      <c r="E2023" s="8"/>
      <c r="F2023" s="31"/>
    </row>
    <row r="2024" spans="4:6">
      <c r="D2024" s="8"/>
      <c r="E2024" s="8"/>
      <c r="F2024" s="31"/>
    </row>
    <row r="2025" spans="4:6">
      <c r="D2025" s="8"/>
      <c r="E2025" s="8"/>
      <c r="F2025" s="31"/>
    </row>
    <row r="2026" spans="4:6">
      <c r="D2026" s="8"/>
      <c r="E2026" s="8"/>
      <c r="F2026" s="31"/>
    </row>
    <row r="2027" spans="4:6">
      <c r="D2027" s="8"/>
      <c r="E2027" s="8"/>
      <c r="F2027" s="31"/>
    </row>
    <row r="2028" spans="4:6">
      <c r="D2028" s="8"/>
      <c r="E2028" s="8"/>
      <c r="F2028" s="31"/>
    </row>
    <row r="2029" spans="4:6">
      <c r="D2029" s="8"/>
      <c r="E2029" s="8"/>
      <c r="F2029" s="31"/>
    </row>
    <row r="2030" spans="4:6">
      <c r="D2030" s="8"/>
      <c r="E2030" s="8"/>
      <c r="F2030" s="31"/>
    </row>
    <row r="2031" spans="4:6">
      <c r="D2031" s="8"/>
      <c r="E2031" s="8"/>
      <c r="F2031" s="31"/>
    </row>
    <row r="2032" spans="4:6">
      <c r="D2032" s="8"/>
      <c r="E2032" s="8"/>
      <c r="F2032" s="31"/>
    </row>
    <row r="2033" spans="4:6">
      <c r="D2033" s="8"/>
      <c r="E2033" s="8"/>
      <c r="F2033" s="31"/>
    </row>
    <row r="2034" spans="4:6">
      <c r="D2034" s="8"/>
      <c r="E2034" s="8"/>
      <c r="F2034" s="31"/>
    </row>
    <row r="2035" spans="4:6">
      <c r="D2035" s="8"/>
      <c r="E2035" s="8"/>
      <c r="F2035" s="31"/>
    </row>
    <row r="2036" spans="4:6">
      <c r="D2036" s="8"/>
      <c r="E2036" s="8"/>
      <c r="F2036" s="31"/>
    </row>
    <row r="2037" spans="4:6">
      <c r="D2037" s="8"/>
      <c r="E2037" s="8"/>
      <c r="F2037" s="31"/>
    </row>
    <row r="2038" spans="4:6">
      <c r="D2038" s="8"/>
      <c r="E2038" s="8"/>
      <c r="F2038" s="31"/>
    </row>
    <row r="2039" spans="4:6">
      <c r="D2039" s="8"/>
      <c r="E2039" s="8"/>
      <c r="F2039" s="31"/>
    </row>
    <row r="2040" spans="4:6">
      <c r="D2040" s="8"/>
      <c r="E2040" s="8"/>
      <c r="F2040" s="31"/>
    </row>
    <row r="2041" spans="4:6">
      <c r="D2041" s="8"/>
      <c r="E2041" s="8"/>
      <c r="F2041" s="31"/>
    </row>
    <row r="2042" spans="4:6">
      <c r="D2042" s="8"/>
      <c r="E2042" s="8"/>
      <c r="F2042" s="31"/>
    </row>
    <row r="2043" spans="4:6">
      <c r="D2043" s="8"/>
      <c r="E2043" s="8"/>
      <c r="F2043" s="31"/>
    </row>
    <row r="2044" spans="4:6">
      <c r="D2044" s="8"/>
      <c r="E2044" s="8"/>
      <c r="F2044" s="31"/>
    </row>
    <row r="2045" spans="4:6">
      <c r="D2045" s="8"/>
      <c r="E2045" s="8"/>
      <c r="F2045" s="31"/>
    </row>
    <row r="2046" spans="4:6">
      <c r="D2046" s="8"/>
      <c r="E2046" s="8"/>
      <c r="F2046" s="31"/>
    </row>
    <row r="2047" spans="4:6">
      <c r="D2047" s="8"/>
      <c r="E2047" s="8"/>
      <c r="F2047" s="31"/>
    </row>
    <row r="2048" spans="4:6">
      <c r="D2048" s="8"/>
      <c r="E2048" s="8"/>
      <c r="F2048" s="31"/>
    </row>
    <row r="2049" spans="4:6">
      <c r="D2049" s="8"/>
      <c r="E2049" s="8"/>
      <c r="F2049" s="31"/>
    </row>
    <row r="2050" spans="4:6">
      <c r="D2050" s="8"/>
      <c r="E2050" s="8"/>
      <c r="F2050" s="31"/>
    </row>
    <row r="2051" spans="4:6">
      <c r="D2051" s="8"/>
      <c r="E2051" s="8"/>
      <c r="F2051" s="31"/>
    </row>
    <row r="2052" spans="4:6">
      <c r="D2052" s="8"/>
      <c r="E2052" s="8"/>
      <c r="F2052" s="31"/>
    </row>
    <row r="2053" spans="4:6">
      <c r="D2053" s="8"/>
      <c r="E2053" s="8"/>
      <c r="F2053" s="31"/>
    </row>
    <row r="2054" spans="4:6">
      <c r="D2054" s="8"/>
      <c r="E2054" s="8"/>
      <c r="F2054" s="31"/>
    </row>
    <row r="2055" spans="4:6">
      <c r="D2055" s="8"/>
      <c r="E2055" s="8"/>
      <c r="F2055" s="31"/>
    </row>
    <row r="2056" spans="4:6">
      <c r="D2056" s="8"/>
      <c r="E2056" s="8"/>
      <c r="F2056" s="31"/>
    </row>
    <row r="2057" spans="4:6">
      <c r="D2057" s="8"/>
      <c r="E2057" s="8"/>
      <c r="F2057" s="31"/>
    </row>
    <row r="2058" spans="4:6">
      <c r="D2058" s="8"/>
      <c r="E2058" s="8"/>
      <c r="F2058" s="31"/>
    </row>
    <row r="2059" spans="4:6">
      <c r="D2059" s="8"/>
      <c r="E2059" s="8"/>
      <c r="F2059" s="31"/>
    </row>
    <row r="2060" spans="4:6">
      <c r="D2060" s="8"/>
      <c r="E2060" s="8"/>
      <c r="F2060" s="31"/>
    </row>
    <row r="2061" spans="4:6">
      <c r="D2061" s="8"/>
      <c r="E2061" s="8"/>
      <c r="F2061" s="31"/>
    </row>
    <row r="2062" spans="4:6">
      <c r="D2062" s="8"/>
      <c r="E2062" s="8"/>
      <c r="F2062" s="31"/>
    </row>
    <row r="2063" spans="4:6">
      <c r="D2063" s="8"/>
      <c r="E2063" s="8"/>
      <c r="F2063" s="31"/>
    </row>
    <row r="2064" spans="4:6">
      <c r="D2064" s="8"/>
      <c r="E2064" s="8"/>
      <c r="F2064" s="31"/>
    </row>
    <row r="2065" spans="4:6">
      <c r="D2065" s="8"/>
      <c r="E2065" s="8"/>
      <c r="F2065" s="31"/>
    </row>
    <row r="2066" spans="4:6">
      <c r="D2066" s="8"/>
      <c r="E2066" s="8"/>
      <c r="F2066" s="31"/>
    </row>
    <row r="2067" spans="4:6">
      <c r="D2067" s="8"/>
      <c r="E2067" s="8"/>
      <c r="F2067" s="31"/>
    </row>
    <row r="2068" spans="4:6">
      <c r="D2068" s="8"/>
      <c r="E2068" s="8"/>
      <c r="F2068" s="31"/>
    </row>
    <row r="2069" spans="4:6">
      <c r="D2069" s="8"/>
      <c r="E2069" s="8"/>
      <c r="F2069" s="31"/>
    </row>
    <row r="2070" spans="4:6">
      <c r="D2070" s="8"/>
      <c r="E2070" s="8"/>
      <c r="F2070" s="31"/>
    </row>
    <row r="2071" spans="4:6">
      <c r="D2071" s="8"/>
      <c r="E2071" s="8"/>
      <c r="F2071" s="31"/>
    </row>
    <row r="2072" spans="4:6">
      <c r="D2072" s="8"/>
      <c r="E2072" s="8"/>
      <c r="F2072" s="31"/>
    </row>
    <row r="2073" spans="4:6">
      <c r="D2073" s="8"/>
      <c r="E2073" s="8"/>
      <c r="F2073" s="31"/>
    </row>
    <row r="2074" spans="4:6">
      <c r="D2074" s="8"/>
      <c r="E2074" s="8"/>
      <c r="F2074" s="31"/>
    </row>
    <row r="2075" spans="4:6">
      <c r="D2075" s="8"/>
      <c r="E2075" s="8"/>
      <c r="F2075" s="31"/>
    </row>
    <row r="2076" spans="4:6">
      <c r="D2076" s="8"/>
      <c r="E2076" s="8"/>
      <c r="F2076" s="31"/>
    </row>
    <row r="2077" spans="4:6">
      <c r="D2077" s="8"/>
      <c r="E2077" s="8"/>
      <c r="F2077" s="31"/>
    </row>
    <row r="2078" spans="4:6">
      <c r="D2078" s="8"/>
      <c r="E2078" s="8"/>
      <c r="F2078" s="31"/>
    </row>
    <row r="2079" spans="4:6">
      <c r="D2079" s="8"/>
      <c r="E2079" s="8"/>
      <c r="F2079" s="31"/>
    </row>
    <row r="2080" spans="4:6">
      <c r="D2080" s="8"/>
      <c r="E2080" s="8"/>
      <c r="F2080" s="31"/>
    </row>
    <row r="2081" spans="4:6">
      <c r="D2081" s="8"/>
      <c r="E2081" s="8"/>
      <c r="F2081" s="31"/>
    </row>
    <row r="2082" spans="4:6">
      <c r="D2082" s="8"/>
      <c r="E2082" s="8"/>
      <c r="F2082" s="31"/>
    </row>
    <row r="2083" spans="4:6">
      <c r="D2083" s="8"/>
      <c r="E2083" s="8"/>
      <c r="F2083" s="31"/>
    </row>
    <row r="2084" spans="4:6">
      <c r="D2084" s="8"/>
      <c r="E2084" s="8"/>
      <c r="F2084" s="31"/>
    </row>
    <row r="2085" spans="4:6">
      <c r="D2085" s="8"/>
      <c r="E2085" s="8"/>
      <c r="F2085" s="31"/>
    </row>
    <row r="2086" spans="4:6">
      <c r="D2086" s="8"/>
      <c r="E2086" s="8"/>
      <c r="F2086" s="31"/>
    </row>
    <row r="2087" spans="4:6">
      <c r="D2087" s="8"/>
      <c r="E2087" s="8"/>
      <c r="F2087" s="31"/>
    </row>
    <row r="2088" spans="4:6">
      <c r="D2088" s="8"/>
      <c r="E2088" s="8"/>
      <c r="F2088" s="31"/>
    </row>
    <row r="2089" spans="4:6">
      <c r="D2089" s="8"/>
      <c r="E2089" s="8"/>
      <c r="F2089" s="31"/>
    </row>
    <row r="2090" spans="4:6">
      <c r="D2090" s="8"/>
      <c r="E2090" s="8"/>
      <c r="F2090" s="31"/>
    </row>
    <row r="2091" spans="4:6">
      <c r="D2091" s="8"/>
      <c r="E2091" s="8"/>
      <c r="F2091" s="31"/>
    </row>
    <row r="2092" spans="4:6">
      <c r="D2092" s="8"/>
      <c r="E2092" s="8"/>
      <c r="F2092" s="31"/>
    </row>
    <row r="2093" spans="4:6">
      <c r="D2093" s="8"/>
      <c r="E2093" s="8"/>
      <c r="F2093" s="31"/>
    </row>
    <row r="2094" spans="4:6">
      <c r="D2094" s="8"/>
      <c r="E2094" s="8"/>
      <c r="F2094" s="31"/>
    </row>
    <row r="2095" spans="4:6">
      <c r="D2095" s="8"/>
      <c r="E2095" s="8"/>
      <c r="F2095" s="31"/>
    </row>
    <row r="2096" spans="4:6">
      <c r="D2096" s="8"/>
      <c r="E2096" s="8"/>
      <c r="F2096" s="31"/>
    </row>
    <row r="2097" spans="4:6">
      <c r="D2097" s="8"/>
      <c r="E2097" s="8"/>
      <c r="F2097" s="31"/>
    </row>
    <row r="2098" spans="4:6">
      <c r="D2098" s="8"/>
      <c r="E2098" s="8"/>
      <c r="F2098" s="31"/>
    </row>
    <row r="2099" spans="4:6">
      <c r="D2099" s="8"/>
      <c r="E2099" s="8"/>
      <c r="F2099" s="31"/>
    </row>
    <row r="2100" spans="4:6">
      <c r="D2100" s="8"/>
      <c r="E2100" s="8"/>
      <c r="F2100" s="31"/>
    </row>
    <row r="2101" spans="4:6">
      <c r="D2101" s="8"/>
      <c r="E2101" s="8"/>
      <c r="F2101" s="31"/>
    </row>
    <row r="2102" spans="4:6">
      <c r="D2102" s="8"/>
      <c r="E2102" s="8"/>
      <c r="F2102" s="31"/>
    </row>
    <row r="2103" spans="4:6">
      <c r="D2103" s="8"/>
      <c r="E2103" s="8"/>
      <c r="F2103" s="31"/>
    </row>
    <row r="2104" spans="4:6">
      <c r="D2104" s="8"/>
      <c r="E2104" s="8"/>
      <c r="F2104" s="31"/>
    </row>
    <row r="2105" spans="4:6">
      <c r="D2105" s="8"/>
      <c r="E2105" s="8"/>
      <c r="F2105" s="31"/>
    </row>
    <row r="2106" spans="4:6">
      <c r="D2106" s="8"/>
      <c r="E2106" s="8"/>
      <c r="F2106" s="31"/>
    </row>
    <row r="2107" spans="4:6">
      <c r="D2107" s="8"/>
      <c r="E2107" s="8"/>
      <c r="F2107" s="31"/>
    </row>
    <row r="2108" spans="4:6">
      <c r="D2108" s="8"/>
      <c r="E2108" s="8"/>
      <c r="F2108" s="31"/>
    </row>
    <row r="2109" spans="4:6">
      <c r="D2109" s="8"/>
      <c r="E2109" s="8"/>
      <c r="F2109" s="31"/>
    </row>
    <row r="2110" spans="4:6">
      <c r="D2110" s="8"/>
      <c r="E2110" s="8"/>
      <c r="F2110" s="31"/>
    </row>
    <row r="2111" spans="4:6">
      <c r="D2111" s="8"/>
      <c r="E2111" s="8"/>
      <c r="F2111" s="31"/>
    </row>
    <row r="2112" spans="4:6">
      <c r="D2112" s="8"/>
      <c r="E2112" s="8"/>
      <c r="F2112" s="31"/>
    </row>
    <row r="2113" spans="4:6">
      <c r="D2113" s="8"/>
      <c r="E2113" s="8"/>
      <c r="F2113" s="31"/>
    </row>
    <row r="2114" spans="4:6">
      <c r="D2114" s="8"/>
      <c r="E2114" s="8"/>
      <c r="F2114" s="31"/>
    </row>
    <row r="2115" spans="4:6">
      <c r="D2115" s="8"/>
      <c r="E2115" s="8"/>
      <c r="F2115" s="31"/>
    </row>
    <row r="2116" spans="4:6">
      <c r="D2116" s="8"/>
      <c r="E2116" s="8"/>
      <c r="F2116" s="31"/>
    </row>
    <row r="2117" spans="4:6">
      <c r="D2117" s="8"/>
      <c r="E2117" s="8"/>
      <c r="F2117" s="31"/>
    </row>
    <row r="2118" spans="4:6">
      <c r="D2118" s="8"/>
      <c r="E2118" s="8"/>
      <c r="F2118" s="31"/>
    </row>
    <row r="2119" spans="4:6">
      <c r="D2119" s="8"/>
      <c r="E2119" s="8"/>
      <c r="F2119" s="31"/>
    </row>
    <row r="2120" spans="4:6">
      <c r="D2120" s="8"/>
      <c r="E2120" s="8"/>
      <c r="F2120" s="31"/>
    </row>
    <row r="2121" spans="4:6">
      <c r="D2121" s="8"/>
      <c r="E2121" s="8"/>
      <c r="F2121" s="31"/>
    </row>
    <row r="2122" spans="4:6">
      <c r="D2122" s="8"/>
      <c r="E2122" s="8"/>
      <c r="F2122" s="31"/>
    </row>
    <row r="2123" spans="4:6">
      <c r="D2123" s="8"/>
      <c r="E2123" s="8"/>
      <c r="F2123" s="31"/>
    </row>
    <row r="2124" spans="4:6">
      <c r="D2124" s="8"/>
      <c r="E2124" s="8"/>
      <c r="F2124" s="31"/>
    </row>
    <row r="2125" spans="4:6">
      <c r="D2125" s="8"/>
      <c r="E2125" s="8"/>
      <c r="F2125" s="31"/>
    </row>
    <row r="2126" spans="4:6">
      <c r="D2126" s="8"/>
      <c r="E2126" s="8"/>
      <c r="F2126" s="31"/>
    </row>
    <row r="2127" spans="4:6">
      <c r="D2127" s="8"/>
      <c r="E2127" s="8"/>
      <c r="F2127" s="31"/>
    </row>
    <row r="2128" spans="4:6">
      <c r="D2128" s="8"/>
      <c r="E2128" s="8"/>
      <c r="F2128" s="31"/>
    </row>
    <row r="2129" spans="4:6">
      <c r="D2129" s="8"/>
      <c r="E2129" s="8"/>
      <c r="F2129" s="31"/>
    </row>
    <row r="2130" spans="4:6">
      <c r="D2130" s="8"/>
      <c r="E2130" s="8"/>
      <c r="F2130" s="31"/>
    </row>
    <row r="2131" spans="4:6">
      <c r="D2131" s="8"/>
      <c r="E2131" s="8"/>
      <c r="F2131" s="31"/>
    </row>
    <row r="2132" spans="4:6">
      <c r="D2132" s="8"/>
      <c r="E2132" s="8"/>
      <c r="F2132" s="31"/>
    </row>
    <row r="2133" spans="4:6">
      <c r="D2133" s="8"/>
      <c r="E2133" s="8"/>
      <c r="F2133" s="31"/>
    </row>
    <row r="2134" spans="4:6">
      <c r="D2134" s="8"/>
      <c r="E2134" s="8"/>
      <c r="F2134" s="31"/>
    </row>
    <row r="2135" spans="4:6">
      <c r="D2135" s="8"/>
      <c r="E2135" s="8"/>
      <c r="F2135" s="31"/>
    </row>
    <row r="2136" spans="4:6">
      <c r="D2136" s="8"/>
      <c r="E2136" s="8"/>
      <c r="F2136" s="31"/>
    </row>
    <row r="2137" spans="4:6">
      <c r="D2137" s="8"/>
      <c r="E2137" s="8"/>
      <c r="F2137" s="31"/>
    </row>
    <row r="2138" spans="4:6">
      <c r="D2138" s="8"/>
      <c r="E2138" s="8"/>
      <c r="F2138" s="31"/>
    </row>
    <row r="2139" spans="4:6">
      <c r="D2139" s="8"/>
      <c r="E2139" s="8"/>
      <c r="F2139" s="31"/>
    </row>
    <row r="2140" spans="4:6">
      <c r="D2140" s="8"/>
      <c r="E2140" s="8"/>
      <c r="F2140" s="31"/>
    </row>
    <row r="2141" spans="4:6">
      <c r="D2141" s="8"/>
      <c r="E2141" s="8"/>
      <c r="F2141" s="31"/>
    </row>
    <row r="2142" spans="4:6">
      <c r="D2142" s="8"/>
      <c r="E2142" s="8"/>
      <c r="F2142" s="31"/>
    </row>
    <row r="2143" spans="4:6">
      <c r="D2143" s="8"/>
      <c r="E2143" s="8"/>
      <c r="F2143" s="31"/>
    </row>
    <row r="2144" spans="4:6">
      <c r="D2144" s="8"/>
      <c r="E2144" s="8"/>
      <c r="F2144" s="31"/>
    </row>
    <row r="2145" spans="4:6">
      <c r="D2145" s="8"/>
      <c r="E2145" s="8"/>
      <c r="F2145" s="31"/>
    </row>
    <row r="2146" spans="4:6">
      <c r="D2146" s="8"/>
      <c r="E2146" s="8"/>
      <c r="F2146" s="31"/>
    </row>
    <row r="2147" spans="4:6">
      <c r="D2147" s="8"/>
      <c r="E2147" s="8"/>
      <c r="F2147" s="31"/>
    </row>
    <row r="2148" spans="4:6">
      <c r="D2148" s="8"/>
      <c r="E2148" s="8"/>
      <c r="F2148" s="31"/>
    </row>
    <row r="2149" spans="4:6">
      <c r="D2149" s="8"/>
      <c r="E2149" s="8"/>
      <c r="F2149" s="31"/>
    </row>
    <row r="2150" spans="4:6">
      <c r="D2150" s="8"/>
      <c r="E2150" s="8"/>
      <c r="F2150" s="31"/>
    </row>
    <row r="2151" spans="4:6">
      <c r="D2151" s="8"/>
      <c r="E2151" s="8"/>
      <c r="F2151" s="31"/>
    </row>
    <row r="2152" spans="4:6">
      <c r="D2152" s="8"/>
      <c r="E2152" s="8"/>
      <c r="F2152" s="31"/>
    </row>
    <row r="2153" spans="4:6">
      <c r="D2153" s="8"/>
      <c r="E2153" s="8"/>
      <c r="F2153" s="31"/>
    </row>
    <row r="2154" spans="4:6">
      <c r="D2154" s="8"/>
      <c r="E2154" s="8"/>
      <c r="F2154" s="31"/>
    </row>
    <row r="2155" spans="4:6">
      <c r="D2155" s="8"/>
      <c r="E2155" s="8"/>
      <c r="F2155" s="31"/>
    </row>
    <row r="2156" spans="4:6">
      <c r="D2156" s="8"/>
      <c r="E2156" s="8"/>
      <c r="F2156" s="31"/>
    </row>
    <row r="2157" spans="4:6">
      <c r="D2157" s="8"/>
      <c r="E2157" s="8"/>
      <c r="F2157" s="31"/>
    </row>
    <row r="2158" spans="4:6">
      <c r="D2158" s="8"/>
      <c r="E2158" s="8"/>
      <c r="F2158" s="31"/>
    </row>
    <row r="2159" spans="4:6">
      <c r="D2159" s="8"/>
      <c r="E2159" s="8"/>
      <c r="F2159" s="31"/>
    </row>
    <row r="2160" spans="4:6">
      <c r="D2160" s="8"/>
      <c r="E2160" s="8"/>
      <c r="F2160" s="31"/>
    </row>
    <row r="2161" spans="4:6">
      <c r="D2161" s="8"/>
      <c r="E2161" s="8"/>
      <c r="F2161" s="31"/>
    </row>
    <row r="2162" spans="4:6">
      <c r="D2162" s="8"/>
      <c r="E2162" s="8"/>
      <c r="F2162" s="31"/>
    </row>
    <row r="2163" spans="4:6">
      <c r="D2163" s="8"/>
      <c r="E2163" s="8"/>
      <c r="F2163" s="31"/>
    </row>
    <row r="2164" spans="4:6">
      <c r="D2164" s="8"/>
      <c r="E2164" s="8"/>
      <c r="F2164" s="31"/>
    </row>
    <row r="2165" spans="4:6">
      <c r="D2165" s="8"/>
      <c r="E2165" s="8"/>
      <c r="F2165" s="31"/>
    </row>
    <row r="2166" spans="4:6">
      <c r="D2166" s="8"/>
      <c r="E2166" s="8"/>
      <c r="F2166" s="31"/>
    </row>
    <row r="2167" spans="4:6">
      <c r="D2167" s="8"/>
      <c r="E2167" s="8"/>
      <c r="F2167" s="31"/>
    </row>
    <row r="2168" spans="4:6">
      <c r="D2168" s="8"/>
      <c r="E2168" s="8"/>
      <c r="F2168" s="31"/>
    </row>
    <row r="2169" spans="4:6">
      <c r="D2169" s="8"/>
      <c r="E2169" s="8"/>
      <c r="F2169" s="31"/>
    </row>
    <row r="2170" spans="4:6">
      <c r="D2170" s="8"/>
      <c r="E2170" s="8"/>
      <c r="F2170" s="31"/>
    </row>
    <row r="2171" spans="4:6">
      <c r="D2171" s="8"/>
      <c r="E2171" s="8"/>
      <c r="F2171" s="31"/>
    </row>
    <row r="2172" spans="4:6">
      <c r="D2172" s="8"/>
      <c r="E2172" s="8"/>
      <c r="F2172" s="31"/>
    </row>
    <row r="2173" spans="4:6">
      <c r="D2173" s="8"/>
      <c r="E2173" s="8"/>
      <c r="F2173" s="31"/>
    </row>
    <row r="2174" spans="4:6">
      <c r="D2174" s="8"/>
      <c r="E2174" s="8"/>
      <c r="F2174" s="31"/>
    </row>
    <row r="2175" spans="4:6">
      <c r="D2175" s="8"/>
      <c r="E2175" s="8"/>
      <c r="F2175" s="31"/>
    </row>
    <row r="2176" spans="4:6">
      <c r="D2176" s="8"/>
      <c r="E2176" s="8"/>
      <c r="F2176" s="31"/>
    </row>
    <row r="2177" spans="4:6">
      <c r="D2177" s="8"/>
      <c r="E2177" s="8"/>
      <c r="F2177" s="31"/>
    </row>
    <row r="2178" spans="4:6">
      <c r="D2178" s="8"/>
      <c r="E2178" s="8"/>
      <c r="F2178" s="31"/>
    </row>
    <row r="2179" spans="4:6">
      <c r="D2179" s="8"/>
      <c r="E2179" s="8"/>
      <c r="F2179" s="31"/>
    </row>
    <row r="2180" spans="4:6">
      <c r="D2180" s="8"/>
      <c r="E2180" s="8"/>
      <c r="F2180" s="31"/>
    </row>
    <row r="2181" spans="4:6">
      <c r="D2181" s="8"/>
      <c r="E2181" s="8"/>
      <c r="F2181" s="31"/>
    </row>
    <row r="2182" spans="4:6">
      <c r="D2182" s="8"/>
      <c r="E2182" s="8"/>
      <c r="F2182" s="31"/>
    </row>
    <row r="2183" spans="4:6">
      <c r="D2183" s="8"/>
      <c r="E2183" s="8"/>
      <c r="F2183" s="31"/>
    </row>
    <row r="2184" spans="4:6">
      <c r="D2184" s="8"/>
      <c r="E2184" s="8"/>
      <c r="F2184" s="31"/>
    </row>
    <row r="2185" spans="4:6">
      <c r="D2185" s="8"/>
      <c r="E2185" s="8"/>
      <c r="F2185" s="31"/>
    </row>
    <row r="2186" spans="4:6">
      <c r="D2186" s="8"/>
      <c r="E2186" s="8"/>
      <c r="F2186" s="31"/>
    </row>
    <row r="2187" spans="4:6">
      <c r="D2187" s="8"/>
      <c r="E2187" s="8"/>
      <c r="F2187" s="31"/>
    </row>
    <row r="2188" spans="4:6">
      <c r="D2188" s="8"/>
      <c r="E2188" s="8"/>
      <c r="F2188" s="31"/>
    </row>
    <row r="2189" spans="4:6">
      <c r="D2189" s="8"/>
      <c r="E2189" s="8"/>
      <c r="F2189" s="31"/>
    </row>
    <row r="2190" spans="4:6">
      <c r="D2190" s="8"/>
      <c r="E2190" s="8"/>
      <c r="F2190" s="31"/>
    </row>
    <row r="2191" spans="4:6">
      <c r="D2191" s="8"/>
      <c r="E2191" s="8"/>
      <c r="F2191" s="31"/>
    </row>
    <row r="2192" spans="4:6">
      <c r="D2192" s="8"/>
      <c r="E2192" s="8"/>
      <c r="F2192" s="31"/>
    </row>
    <row r="2193" spans="4:6">
      <c r="D2193" s="8"/>
      <c r="E2193" s="8"/>
      <c r="F2193" s="31"/>
    </row>
    <row r="2194" spans="4:6">
      <c r="D2194" s="8"/>
      <c r="E2194" s="8"/>
      <c r="F2194" s="31"/>
    </row>
    <row r="2195" spans="4:6">
      <c r="D2195" s="8"/>
      <c r="E2195" s="8"/>
      <c r="F2195" s="31"/>
    </row>
    <row r="2196" spans="4:6">
      <c r="D2196" s="8"/>
      <c r="E2196" s="8"/>
      <c r="F2196" s="31"/>
    </row>
    <row r="2197" spans="4:6">
      <c r="D2197" s="8"/>
      <c r="E2197" s="8"/>
      <c r="F2197" s="31"/>
    </row>
    <row r="2198" spans="4:6">
      <c r="D2198" s="8"/>
      <c r="E2198" s="8"/>
      <c r="F2198" s="31"/>
    </row>
    <row r="2199" spans="4:6">
      <c r="D2199" s="8"/>
      <c r="E2199" s="8"/>
      <c r="F2199" s="31"/>
    </row>
    <row r="2200" spans="4:6">
      <c r="D2200" s="8"/>
      <c r="E2200" s="8"/>
      <c r="F2200" s="31"/>
    </row>
    <row r="2201" spans="4:6">
      <c r="D2201" s="8"/>
      <c r="E2201" s="8"/>
      <c r="F2201" s="31"/>
    </row>
    <row r="2202" spans="4:6">
      <c r="D2202" s="8"/>
      <c r="E2202" s="8"/>
      <c r="F2202" s="31"/>
    </row>
    <row r="2203" spans="4:6">
      <c r="D2203" s="8"/>
      <c r="E2203" s="8"/>
      <c r="F2203" s="31"/>
    </row>
    <row r="2204" spans="4:6">
      <c r="D2204" s="8"/>
      <c r="E2204" s="8"/>
      <c r="F2204" s="31"/>
    </row>
    <row r="2205" spans="4:6">
      <c r="D2205" s="8"/>
      <c r="E2205" s="8"/>
      <c r="F2205" s="31"/>
    </row>
    <row r="2206" spans="4:6">
      <c r="D2206" s="8"/>
      <c r="E2206" s="8"/>
      <c r="F2206" s="31"/>
    </row>
    <row r="2207" spans="4:6">
      <c r="D2207" s="8"/>
      <c r="E2207" s="8"/>
      <c r="F2207" s="31"/>
    </row>
    <row r="2208" spans="4:6">
      <c r="D2208" s="8"/>
      <c r="E2208" s="8"/>
      <c r="F2208" s="31"/>
    </row>
    <row r="2209" spans="4:6">
      <c r="D2209" s="8"/>
      <c r="E2209" s="8"/>
      <c r="F2209" s="31"/>
    </row>
    <row r="2210" spans="4:6">
      <c r="D2210" s="8"/>
      <c r="E2210" s="8"/>
      <c r="F2210" s="31"/>
    </row>
    <row r="2211" spans="4:6">
      <c r="D2211" s="8"/>
      <c r="E2211" s="8"/>
      <c r="F2211" s="31"/>
    </row>
    <row r="2212" spans="4:6">
      <c r="D2212" s="8"/>
      <c r="E2212" s="8"/>
      <c r="F2212" s="31"/>
    </row>
    <row r="2213" spans="4:6">
      <c r="D2213" s="8"/>
      <c r="E2213" s="8"/>
      <c r="F2213" s="31"/>
    </row>
    <row r="2214" spans="4:6">
      <c r="D2214" s="8"/>
      <c r="E2214" s="8"/>
      <c r="F2214" s="31"/>
    </row>
    <row r="2215" spans="4:6">
      <c r="D2215" s="8"/>
      <c r="E2215" s="8"/>
      <c r="F2215" s="31"/>
    </row>
    <row r="2216" spans="4:6">
      <c r="D2216" s="8"/>
      <c r="E2216" s="8"/>
      <c r="F2216" s="31"/>
    </row>
    <row r="2217" spans="4:6">
      <c r="D2217" s="8"/>
      <c r="E2217" s="8"/>
      <c r="F2217" s="31"/>
    </row>
    <row r="2218" spans="4:6">
      <c r="D2218" s="8"/>
      <c r="E2218" s="8"/>
      <c r="F2218" s="31"/>
    </row>
    <row r="2219" spans="4:6">
      <c r="D2219" s="8"/>
      <c r="E2219" s="8"/>
      <c r="F2219" s="31"/>
    </row>
    <row r="2220" spans="4:6">
      <c r="D2220" s="8"/>
      <c r="E2220" s="8"/>
      <c r="F2220" s="31"/>
    </row>
    <row r="2221" spans="4:6">
      <c r="D2221" s="8"/>
      <c r="E2221" s="8"/>
      <c r="F2221" s="31"/>
    </row>
    <row r="2222" spans="4:6">
      <c r="D2222" s="8"/>
      <c r="E2222" s="8"/>
      <c r="F2222" s="31"/>
    </row>
    <row r="2223" spans="4:6">
      <c r="D2223" s="8"/>
      <c r="E2223" s="8"/>
      <c r="F2223" s="31"/>
    </row>
    <row r="2224" spans="4:6">
      <c r="D2224" s="8"/>
      <c r="E2224" s="8"/>
      <c r="F2224" s="31"/>
    </row>
    <row r="2225" spans="4:6">
      <c r="D2225" s="8"/>
      <c r="E2225" s="8"/>
      <c r="F2225" s="31"/>
    </row>
    <row r="2226" spans="4:6">
      <c r="D2226" s="8"/>
      <c r="E2226" s="8"/>
      <c r="F2226" s="31"/>
    </row>
    <row r="2227" spans="4:6">
      <c r="D2227" s="8"/>
      <c r="E2227" s="8"/>
      <c r="F2227" s="31"/>
    </row>
    <row r="2228" spans="4:6">
      <c r="D2228" s="8"/>
      <c r="E2228" s="8"/>
      <c r="F2228" s="31"/>
    </row>
    <row r="2229" spans="4:6">
      <c r="D2229" s="8"/>
      <c r="E2229" s="8"/>
      <c r="F2229" s="31"/>
    </row>
    <row r="2230" spans="4:6">
      <c r="D2230" s="8"/>
      <c r="E2230" s="8"/>
      <c r="F2230" s="31"/>
    </row>
    <row r="2231" spans="4:6">
      <c r="D2231" s="8"/>
      <c r="E2231" s="8"/>
      <c r="F2231" s="31"/>
    </row>
    <row r="2232" spans="4:6">
      <c r="D2232" s="8"/>
      <c r="E2232" s="8"/>
      <c r="F2232" s="31"/>
    </row>
    <row r="2233" spans="4:6">
      <c r="D2233" s="8"/>
      <c r="E2233" s="8"/>
      <c r="F2233" s="31"/>
    </row>
    <row r="2234" spans="4:6">
      <c r="D2234" s="8"/>
      <c r="E2234" s="8"/>
      <c r="F2234" s="31"/>
    </row>
    <row r="2235" spans="4:6">
      <c r="D2235" s="8"/>
      <c r="E2235" s="8"/>
      <c r="F2235" s="31"/>
    </row>
    <row r="2236" spans="4:6">
      <c r="D2236" s="8"/>
      <c r="E2236" s="8"/>
      <c r="F2236" s="31"/>
    </row>
    <row r="2237" spans="4:6">
      <c r="D2237" s="8"/>
      <c r="E2237" s="8"/>
      <c r="F2237" s="31"/>
    </row>
    <row r="2238" spans="4:6">
      <c r="D2238" s="8"/>
      <c r="E2238" s="8"/>
      <c r="F2238" s="31"/>
    </row>
    <row r="2239" spans="4:6">
      <c r="D2239" s="8"/>
      <c r="E2239" s="8"/>
      <c r="F2239" s="31"/>
    </row>
    <row r="2240" spans="4:6">
      <c r="D2240" s="8"/>
      <c r="E2240" s="8"/>
      <c r="F2240" s="31"/>
    </row>
    <row r="2241" spans="4:6">
      <c r="D2241" s="8"/>
      <c r="E2241" s="8"/>
      <c r="F2241" s="31"/>
    </row>
    <row r="2242" spans="4:6">
      <c r="D2242" s="8"/>
      <c r="E2242" s="8"/>
      <c r="F2242" s="31"/>
    </row>
    <row r="2243" spans="4:6">
      <c r="D2243" s="8"/>
      <c r="E2243" s="8"/>
      <c r="F2243" s="31"/>
    </row>
    <row r="2244" spans="4:6">
      <c r="D2244" s="8"/>
      <c r="E2244" s="8"/>
      <c r="F2244" s="31"/>
    </row>
    <row r="2245" spans="4:6">
      <c r="D2245" s="8"/>
      <c r="E2245" s="8"/>
      <c r="F2245" s="31"/>
    </row>
    <row r="2246" spans="4:6">
      <c r="D2246" s="8"/>
      <c r="E2246" s="8"/>
      <c r="F2246" s="31"/>
    </row>
    <row r="2247" spans="4:6">
      <c r="D2247" s="8"/>
      <c r="E2247" s="8"/>
      <c r="F2247" s="31"/>
    </row>
    <row r="2248" spans="4:6">
      <c r="D2248" s="8"/>
      <c r="E2248" s="8"/>
      <c r="F2248" s="31"/>
    </row>
    <row r="2249" spans="4:6">
      <c r="D2249" s="8"/>
      <c r="E2249" s="8"/>
      <c r="F2249" s="31"/>
    </row>
    <row r="2250" spans="4:6">
      <c r="D2250" s="8"/>
      <c r="E2250" s="8"/>
      <c r="F2250" s="31"/>
    </row>
    <row r="2251" spans="4:6">
      <c r="D2251" s="8"/>
      <c r="E2251" s="8"/>
      <c r="F2251" s="31"/>
    </row>
    <row r="2252" spans="4:6">
      <c r="D2252" s="8"/>
      <c r="E2252" s="8"/>
      <c r="F2252" s="31"/>
    </row>
    <row r="2253" spans="4:6">
      <c r="D2253" s="8"/>
      <c r="E2253" s="8"/>
      <c r="F2253" s="31"/>
    </row>
    <row r="2254" spans="4:6">
      <c r="D2254" s="8"/>
      <c r="E2254" s="8"/>
      <c r="F2254" s="31"/>
    </row>
    <row r="2255" spans="4:6">
      <c r="D2255" s="8"/>
      <c r="E2255" s="8"/>
      <c r="F2255" s="31"/>
    </row>
    <row r="2256" spans="4:6">
      <c r="D2256" s="8"/>
      <c r="E2256" s="8"/>
      <c r="F2256" s="31"/>
    </row>
    <row r="2257" spans="4:6">
      <c r="D2257" s="8"/>
      <c r="E2257" s="8"/>
      <c r="F2257" s="31"/>
    </row>
    <row r="2258" spans="4:6">
      <c r="D2258" s="8"/>
      <c r="E2258" s="8"/>
      <c r="F2258" s="31"/>
    </row>
    <row r="2259" spans="4:6">
      <c r="D2259" s="8"/>
      <c r="E2259" s="8"/>
      <c r="F2259" s="31"/>
    </row>
    <row r="2260" spans="4:6">
      <c r="D2260" s="8"/>
      <c r="E2260" s="8"/>
      <c r="F2260" s="31"/>
    </row>
    <row r="2261" spans="4:6">
      <c r="D2261" s="8"/>
      <c r="E2261" s="8"/>
      <c r="F2261" s="31"/>
    </row>
    <row r="2262" spans="4:6">
      <c r="D2262" s="8"/>
      <c r="E2262" s="8"/>
      <c r="F2262" s="31"/>
    </row>
    <row r="2263" spans="4:6">
      <c r="D2263" s="8"/>
      <c r="E2263" s="8"/>
      <c r="F2263" s="31"/>
    </row>
    <row r="2264" spans="4:6">
      <c r="D2264" s="8"/>
      <c r="E2264" s="8"/>
      <c r="F2264" s="31"/>
    </row>
    <row r="2265" spans="4:6">
      <c r="D2265" s="8"/>
      <c r="E2265" s="8"/>
      <c r="F2265" s="31"/>
    </row>
    <row r="2266" spans="4:6">
      <c r="D2266" s="8"/>
      <c r="E2266" s="8"/>
      <c r="F2266" s="31"/>
    </row>
    <row r="2267" spans="4:6">
      <c r="D2267" s="8"/>
      <c r="E2267" s="8"/>
      <c r="F2267" s="31"/>
    </row>
    <row r="2268" spans="4:6">
      <c r="D2268" s="8"/>
      <c r="E2268" s="8"/>
      <c r="F2268" s="31"/>
    </row>
    <row r="2269" spans="4:6">
      <c r="D2269" s="8"/>
      <c r="E2269" s="8"/>
      <c r="F2269" s="31"/>
    </row>
    <row r="2270" spans="4:6">
      <c r="D2270" s="8"/>
      <c r="E2270" s="8"/>
      <c r="F2270" s="31"/>
    </row>
    <row r="2271" spans="4:6">
      <c r="D2271" s="8"/>
      <c r="E2271" s="8"/>
      <c r="F2271" s="31"/>
    </row>
    <row r="2272" spans="4:6">
      <c r="D2272" s="8"/>
      <c r="E2272" s="8"/>
      <c r="F2272" s="31"/>
    </row>
    <row r="2273" spans="4:6">
      <c r="D2273" s="8"/>
      <c r="E2273" s="8"/>
      <c r="F2273" s="31"/>
    </row>
    <row r="2274" spans="4:6">
      <c r="D2274" s="8"/>
      <c r="E2274" s="8"/>
      <c r="F2274" s="31"/>
    </row>
    <row r="2275" spans="4:6">
      <c r="D2275" s="8"/>
      <c r="E2275" s="8"/>
      <c r="F2275" s="31"/>
    </row>
    <row r="2276" spans="4:6">
      <c r="D2276" s="8"/>
      <c r="E2276" s="8"/>
      <c r="F2276" s="31"/>
    </row>
    <row r="2277" spans="4:6">
      <c r="D2277" s="8"/>
      <c r="E2277" s="8"/>
      <c r="F2277" s="31"/>
    </row>
    <row r="2278" spans="4:6">
      <c r="D2278" s="8"/>
      <c r="E2278" s="8"/>
      <c r="F2278" s="31"/>
    </row>
    <row r="2279" spans="4:6">
      <c r="D2279" s="8"/>
      <c r="E2279" s="8"/>
      <c r="F2279" s="31"/>
    </row>
    <row r="2280" spans="4:6">
      <c r="D2280" s="8"/>
      <c r="E2280" s="8"/>
      <c r="F2280" s="31"/>
    </row>
    <row r="2281" spans="4:6">
      <c r="D2281" s="8"/>
      <c r="E2281" s="8"/>
      <c r="F2281" s="31"/>
    </row>
    <row r="2282" spans="4:6">
      <c r="D2282" s="8"/>
      <c r="E2282" s="8"/>
      <c r="F2282" s="31"/>
    </row>
    <row r="2283" spans="4:6">
      <c r="D2283" s="8"/>
      <c r="E2283" s="8"/>
      <c r="F2283" s="31"/>
    </row>
    <row r="2284" spans="4:6">
      <c r="D2284" s="8"/>
      <c r="E2284" s="8"/>
      <c r="F2284" s="31"/>
    </row>
    <row r="2285" spans="4:6">
      <c r="D2285" s="8"/>
      <c r="E2285" s="8"/>
      <c r="F2285" s="31"/>
    </row>
    <row r="2286" spans="4:6">
      <c r="D2286" s="8"/>
      <c r="E2286" s="8"/>
      <c r="F2286" s="31"/>
    </row>
    <row r="2287" spans="4:6">
      <c r="D2287" s="8"/>
      <c r="E2287" s="8"/>
      <c r="F2287" s="31"/>
    </row>
    <row r="2288" spans="4:6">
      <c r="D2288" s="8"/>
      <c r="E2288" s="8"/>
      <c r="F2288" s="31"/>
    </row>
    <row r="2289" spans="4:6">
      <c r="D2289" s="8"/>
      <c r="E2289" s="8"/>
      <c r="F2289" s="31"/>
    </row>
    <row r="2290" spans="4:6">
      <c r="D2290" s="8"/>
      <c r="E2290" s="8"/>
      <c r="F2290" s="31"/>
    </row>
    <row r="2291" spans="4:6">
      <c r="D2291" s="8"/>
      <c r="E2291" s="8"/>
      <c r="F2291" s="31"/>
    </row>
    <row r="2292" spans="4:6">
      <c r="D2292" s="8"/>
      <c r="E2292" s="8"/>
      <c r="F2292" s="8"/>
    </row>
    <row r="2293" spans="4:6">
      <c r="D2293" s="8"/>
      <c r="E2293" s="8"/>
      <c r="F2293" s="8"/>
    </row>
    <row r="2294" spans="4:6">
      <c r="D2294" s="8"/>
      <c r="E2294" s="8"/>
      <c r="F2294" s="8"/>
    </row>
    <row r="2295" spans="4:6">
      <c r="D2295" s="8"/>
      <c r="E2295" s="8"/>
      <c r="F2295" s="8"/>
    </row>
    <row r="2296" spans="4:6">
      <c r="D2296" s="8"/>
      <c r="E2296" s="8"/>
      <c r="F2296" s="8"/>
    </row>
    <row r="2297" spans="4:6">
      <c r="D2297" s="8"/>
      <c r="E2297" s="8"/>
      <c r="F2297" s="8"/>
    </row>
    <row r="2298" spans="4:6">
      <c r="D2298" s="8"/>
      <c r="E2298" s="8"/>
      <c r="F2298" s="8"/>
    </row>
    <row r="2299" spans="4:6">
      <c r="D2299" s="8"/>
      <c r="E2299" s="8"/>
      <c r="F2299" s="8"/>
    </row>
    <row r="2300" spans="4:6">
      <c r="D2300" s="8"/>
      <c r="E2300" s="8"/>
      <c r="F2300" s="8"/>
    </row>
    <row r="2301" spans="4:6">
      <c r="D2301" s="8"/>
      <c r="E2301" s="8"/>
      <c r="F2301" s="8"/>
    </row>
    <row r="2302" spans="4:6">
      <c r="D2302" s="8"/>
      <c r="E2302" s="8"/>
      <c r="F2302" s="8"/>
    </row>
    <row r="2303" spans="4:6">
      <c r="D2303" s="8"/>
      <c r="E2303" s="8"/>
      <c r="F2303" s="8"/>
    </row>
    <row r="2304" spans="4:6">
      <c r="D2304" s="8"/>
      <c r="E2304" s="8"/>
      <c r="F2304" s="8"/>
    </row>
    <row r="2305" spans="4:6">
      <c r="D2305" s="8"/>
      <c r="E2305" s="8"/>
      <c r="F2305" s="8"/>
    </row>
    <row r="2306" spans="4:6">
      <c r="D2306" s="8"/>
      <c r="E2306" s="8"/>
      <c r="F2306" s="8"/>
    </row>
    <row r="2307" spans="4:6">
      <c r="D2307" s="8"/>
      <c r="E2307" s="8"/>
      <c r="F2307" s="8"/>
    </row>
    <row r="2308" spans="4:6">
      <c r="D2308" s="8"/>
      <c r="E2308" s="8"/>
      <c r="F2308" s="8"/>
    </row>
    <row r="2309" spans="4:6">
      <c r="D2309" s="8"/>
      <c r="E2309" s="8"/>
      <c r="F2309" s="8"/>
    </row>
    <row r="2310" spans="4:6">
      <c r="D2310" s="8"/>
      <c r="E2310" s="8"/>
      <c r="F2310" s="8"/>
    </row>
    <row r="2311" spans="4:6">
      <c r="D2311" s="8"/>
      <c r="E2311" s="8"/>
      <c r="F2311" s="8"/>
    </row>
    <row r="2312" spans="4:6">
      <c r="D2312" s="8"/>
      <c r="E2312" s="8"/>
      <c r="F2312" s="8"/>
    </row>
    <row r="2313" spans="4:6">
      <c r="D2313" s="8"/>
      <c r="E2313" s="8"/>
      <c r="F2313" s="8"/>
    </row>
    <row r="2314" spans="4:6">
      <c r="D2314" s="8"/>
      <c r="E2314" s="8"/>
      <c r="F2314" s="8"/>
    </row>
    <row r="2315" spans="4:6">
      <c r="D2315" s="8"/>
      <c r="E2315" s="8"/>
      <c r="F2315" s="8"/>
    </row>
    <row r="2316" spans="4:6">
      <c r="D2316" s="8"/>
      <c r="E2316" s="8"/>
      <c r="F2316" s="8"/>
    </row>
    <row r="2317" spans="4:6">
      <c r="D2317" s="8"/>
      <c r="E2317" s="8"/>
      <c r="F2317" s="8"/>
    </row>
    <row r="2318" spans="4:6">
      <c r="D2318" s="8"/>
      <c r="E2318" s="8"/>
      <c r="F2318" s="8"/>
    </row>
    <row r="2319" spans="4:6">
      <c r="D2319" s="8"/>
      <c r="E2319" s="8"/>
      <c r="F2319" s="8"/>
    </row>
    <row r="2320" spans="4:6">
      <c r="D2320" s="8"/>
      <c r="E2320" s="8"/>
      <c r="F2320" s="8"/>
    </row>
    <row r="2321" spans="4:6">
      <c r="D2321" s="8"/>
      <c r="E2321" s="8"/>
      <c r="F2321" s="8"/>
    </row>
    <row r="2322" spans="4:6">
      <c r="D2322" s="8"/>
      <c r="E2322" s="8"/>
      <c r="F2322" s="8"/>
    </row>
    <row r="2323" spans="4:6">
      <c r="D2323" s="8"/>
      <c r="E2323" s="8"/>
      <c r="F2323" s="8"/>
    </row>
    <row r="2324" spans="4:6">
      <c r="D2324" s="8"/>
      <c r="E2324" s="8"/>
      <c r="F2324" s="8"/>
    </row>
    <row r="2325" spans="4:6">
      <c r="D2325" s="8"/>
      <c r="E2325" s="8"/>
      <c r="F2325" s="8"/>
    </row>
    <row r="2326" spans="4:6">
      <c r="D2326" s="8"/>
      <c r="E2326" s="8"/>
      <c r="F2326" s="8"/>
    </row>
    <row r="2327" spans="4:6">
      <c r="D2327" s="8"/>
      <c r="E2327" s="8"/>
      <c r="F2327" s="8"/>
    </row>
    <row r="2328" spans="4:6">
      <c r="D2328" s="8"/>
      <c r="E2328" s="8"/>
      <c r="F2328" s="8"/>
    </row>
    <row r="2329" spans="4:6">
      <c r="D2329" s="8"/>
      <c r="E2329" s="8"/>
      <c r="F2329" s="8"/>
    </row>
    <row r="2330" spans="4:6">
      <c r="D2330" s="8"/>
      <c r="E2330" s="8"/>
      <c r="F2330" s="8"/>
    </row>
    <row r="2331" spans="4:6">
      <c r="D2331" s="8"/>
      <c r="E2331" s="8"/>
      <c r="F2331" s="8"/>
    </row>
    <row r="2332" spans="4:6">
      <c r="D2332" s="8"/>
      <c r="E2332" s="8"/>
      <c r="F2332" s="8"/>
    </row>
    <row r="2333" spans="4:6">
      <c r="D2333" s="8"/>
      <c r="E2333" s="8"/>
      <c r="F2333" s="8"/>
    </row>
    <row r="2334" spans="4:6">
      <c r="D2334" s="8"/>
      <c r="E2334" s="8"/>
      <c r="F2334" s="8"/>
    </row>
    <row r="2335" spans="4:6">
      <c r="D2335" s="8"/>
      <c r="E2335" s="8"/>
      <c r="F2335" s="8"/>
    </row>
    <row r="2336" spans="4:6">
      <c r="D2336" s="8"/>
      <c r="E2336" s="8"/>
      <c r="F2336" s="8"/>
    </row>
    <row r="2337" spans="4:6">
      <c r="D2337" s="8"/>
      <c r="E2337" s="8"/>
      <c r="F2337" s="8"/>
    </row>
    <row r="2338" spans="4:6">
      <c r="D2338" s="8"/>
      <c r="E2338" s="8"/>
      <c r="F2338" s="8"/>
    </row>
    <row r="2339" spans="4:6">
      <c r="D2339" s="8"/>
      <c r="E2339" s="8"/>
      <c r="F2339" s="8"/>
    </row>
    <row r="2340" spans="4:6">
      <c r="D2340" s="8"/>
      <c r="E2340" s="8"/>
      <c r="F2340" s="8"/>
    </row>
    <row r="2341" spans="4:6">
      <c r="D2341" s="8"/>
      <c r="E2341" s="8"/>
      <c r="F2341" s="8"/>
    </row>
    <row r="2342" spans="4:6">
      <c r="D2342" s="8"/>
      <c r="E2342" s="8"/>
      <c r="F2342" s="8"/>
    </row>
    <row r="2343" spans="4:6">
      <c r="D2343" s="8"/>
      <c r="E2343" s="8"/>
      <c r="F2343" s="8"/>
    </row>
    <row r="2344" spans="4:6">
      <c r="D2344" s="8"/>
      <c r="E2344" s="8"/>
      <c r="F2344" s="8"/>
    </row>
    <row r="2345" spans="4:6">
      <c r="D2345" s="8"/>
      <c r="E2345" s="8"/>
      <c r="F2345" s="8"/>
    </row>
    <row r="2346" spans="4:6">
      <c r="D2346" s="8"/>
      <c r="E2346" s="8"/>
      <c r="F2346" s="8"/>
    </row>
    <row r="2347" spans="4:6">
      <c r="D2347" s="8"/>
      <c r="E2347" s="8"/>
      <c r="F2347" s="8"/>
    </row>
    <row r="2348" spans="4:6">
      <c r="D2348" s="8"/>
      <c r="E2348" s="8"/>
      <c r="F2348" s="8"/>
    </row>
    <row r="2349" spans="4:6">
      <c r="D2349" s="8"/>
      <c r="E2349" s="8"/>
      <c r="F2349" s="8"/>
    </row>
    <row r="2350" spans="4:6">
      <c r="D2350" s="8"/>
      <c r="E2350" s="8"/>
      <c r="F2350" s="8"/>
    </row>
    <row r="2351" spans="4:6">
      <c r="D2351" s="8"/>
      <c r="E2351" s="8"/>
      <c r="F2351" s="8"/>
    </row>
    <row r="2352" spans="4:6">
      <c r="D2352" s="8"/>
      <c r="E2352" s="8"/>
      <c r="F2352" s="8"/>
    </row>
    <row r="2353" spans="4:6">
      <c r="D2353" s="8"/>
      <c r="E2353" s="8"/>
      <c r="F2353" s="8"/>
    </row>
    <row r="2354" spans="4:6">
      <c r="D2354" s="8"/>
      <c r="E2354" s="8"/>
      <c r="F2354" s="8"/>
    </row>
    <row r="2355" spans="4:6">
      <c r="D2355" s="8"/>
      <c r="E2355" s="8"/>
      <c r="F2355" s="8"/>
    </row>
    <row r="2356" spans="4:6">
      <c r="D2356" s="8"/>
      <c r="E2356" s="8"/>
      <c r="F2356" s="8"/>
    </row>
    <row r="2357" spans="4:6">
      <c r="D2357" s="8"/>
      <c r="E2357" s="8"/>
      <c r="F2357" s="8"/>
    </row>
    <row r="2358" spans="4:6">
      <c r="D2358" s="8"/>
      <c r="E2358" s="8"/>
      <c r="F2358" s="8"/>
    </row>
    <row r="2359" spans="4:6">
      <c r="D2359" s="8"/>
      <c r="E2359" s="8"/>
      <c r="F2359" s="8"/>
    </row>
    <row r="2360" spans="4:6">
      <c r="D2360" s="8"/>
      <c r="E2360" s="8"/>
      <c r="F2360" s="8"/>
    </row>
    <row r="2361" spans="4:6">
      <c r="D2361" s="8"/>
      <c r="E2361" s="8"/>
      <c r="F2361" s="8"/>
    </row>
    <row r="2362" spans="4:6">
      <c r="D2362" s="8"/>
      <c r="E2362" s="8"/>
      <c r="F2362" s="8"/>
    </row>
    <row r="2363" spans="4:6">
      <c r="D2363" s="8"/>
      <c r="E2363" s="8"/>
      <c r="F2363" s="8"/>
    </row>
    <row r="2364" spans="4:6">
      <c r="D2364" s="8"/>
      <c r="E2364" s="8"/>
      <c r="F2364" s="8"/>
    </row>
    <row r="2365" spans="4:6">
      <c r="D2365" s="8"/>
      <c r="E2365" s="8"/>
      <c r="F2365" s="8"/>
    </row>
    <row r="2366" spans="4:6">
      <c r="D2366" s="8"/>
      <c r="E2366" s="8"/>
      <c r="F2366" s="8"/>
    </row>
    <row r="2367" spans="4:6">
      <c r="D2367" s="8"/>
      <c r="E2367" s="8"/>
      <c r="F2367" s="8"/>
    </row>
    <row r="2368" spans="4:6">
      <c r="D2368" s="8"/>
      <c r="E2368" s="8"/>
      <c r="F2368" s="8"/>
    </row>
    <row r="2369" spans="4:6">
      <c r="D2369" s="8"/>
      <c r="E2369" s="8"/>
      <c r="F2369" s="8"/>
    </row>
    <row r="2370" spans="4:6">
      <c r="D2370" s="8"/>
      <c r="E2370" s="8"/>
      <c r="F2370" s="8"/>
    </row>
    <row r="2371" spans="4:6">
      <c r="D2371" s="8"/>
      <c r="E2371" s="8"/>
      <c r="F2371" s="8"/>
    </row>
    <row r="2372" spans="4:6">
      <c r="D2372" s="8"/>
      <c r="E2372" s="8"/>
      <c r="F2372" s="8"/>
    </row>
    <row r="2373" spans="4:6">
      <c r="D2373" s="8"/>
      <c r="E2373" s="8"/>
      <c r="F2373" s="8"/>
    </row>
    <row r="2374" spans="4:6">
      <c r="D2374" s="8"/>
      <c r="E2374" s="8"/>
      <c r="F2374" s="8"/>
    </row>
    <row r="2375" spans="4:6">
      <c r="D2375" s="8"/>
      <c r="E2375" s="8"/>
      <c r="F2375" s="8"/>
    </row>
    <row r="2376" spans="4:6">
      <c r="D2376" s="8"/>
      <c r="E2376" s="8"/>
      <c r="F2376" s="8"/>
    </row>
    <row r="2377" spans="4:6">
      <c r="D2377" s="8"/>
      <c r="E2377" s="8"/>
      <c r="F2377" s="8"/>
    </row>
    <row r="2378" spans="4:6">
      <c r="D2378" s="8"/>
      <c r="E2378" s="8"/>
      <c r="F2378" s="8"/>
    </row>
    <row r="2379" spans="4:6">
      <c r="D2379" s="8"/>
      <c r="E2379" s="8"/>
      <c r="F2379" s="8"/>
    </row>
    <row r="2380" spans="4:6">
      <c r="D2380" s="8"/>
      <c r="E2380" s="8"/>
      <c r="F2380" s="8"/>
    </row>
    <row r="2381" spans="4:6">
      <c r="D2381" s="8"/>
      <c r="E2381" s="8"/>
      <c r="F2381" s="8"/>
    </row>
    <row r="2382" spans="4:6">
      <c r="D2382" s="8"/>
      <c r="E2382" s="8"/>
      <c r="F2382" s="8"/>
    </row>
    <row r="2383" spans="4:6">
      <c r="D2383" s="8"/>
      <c r="E2383" s="8"/>
      <c r="F2383" s="8"/>
    </row>
    <row r="2384" spans="4:6">
      <c r="D2384" s="8"/>
      <c r="E2384" s="8"/>
      <c r="F2384" s="8"/>
    </row>
    <row r="2385" spans="4:6">
      <c r="D2385" s="8"/>
      <c r="E2385" s="8"/>
      <c r="F2385" s="8"/>
    </row>
    <row r="2386" spans="4:6">
      <c r="D2386" s="8"/>
      <c r="E2386" s="8"/>
      <c r="F2386" s="8"/>
    </row>
    <row r="2387" spans="4:6">
      <c r="D2387" s="8"/>
      <c r="E2387" s="8"/>
      <c r="F2387" s="8"/>
    </row>
    <row r="2388" spans="4:6">
      <c r="D2388" s="8"/>
      <c r="E2388" s="8"/>
      <c r="F2388" s="8"/>
    </row>
    <row r="2389" spans="4:6">
      <c r="D2389" s="8"/>
      <c r="E2389" s="8"/>
      <c r="F2389" s="8"/>
    </row>
    <row r="2390" spans="4:6">
      <c r="D2390" s="8"/>
      <c r="E2390" s="8"/>
      <c r="F2390" s="8"/>
    </row>
    <row r="2391" spans="4:6">
      <c r="D2391" s="8"/>
      <c r="E2391" s="8"/>
      <c r="F2391" s="8"/>
    </row>
    <row r="2392" spans="4:6">
      <c r="D2392" s="8"/>
      <c r="E2392" s="8"/>
      <c r="F2392" s="8"/>
    </row>
    <row r="2393" spans="4:6">
      <c r="D2393" s="8"/>
      <c r="E2393" s="8"/>
      <c r="F2393" s="8"/>
    </row>
    <row r="2394" spans="4:6">
      <c r="D2394" s="8"/>
      <c r="E2394" s="8"/>
      <c r="F2394" s="8"/>
    </row>
    <row r="2395" spans="4:6">
      <c r="D2395" s="8"/>
      <c r="E2395" s="8"/>
      <c r="F2395" s="8"/>
    </row>
    <row r="2396" spans="4:6">
      <c r="D2396" s="8"/>
      <c r="E2396" s="8"/>
      <c r="F2396" s="8"/>
    </row>
    <row r="2397" spans="4:6">
      <c r="D2397" s="8"/>
      <c r="E2397" s="8"/>
      <c r="F2397" s="8"/>
    </row>
    <row r="2398" spans="4:6">
      <c r="D2398" s="8"/>
      <c r="E2398" s="8"/>
      <c r="F2398" s="8"/>
    </row>
    <row r="2399" spans="4:6">
      <c r="D2399" s="8"/>
      <c r="E2399" s="8"/>
      <c r="F2399" s="8"/>
    </row>
    <row r="2400" spans="4:6">
      <c r="D2400" s="8"/>
      <c r="E2400" s="8"/>
      <c r="F2400" s="8"/>
    </row>
    <row r="2401" spans="4:6">
      <c r="D2401" s="8"/>
      <c r="E2401" s="8"/>
      <c r="F2401" s="8"/>
    </row>
    <row r="2402" spans="4:6">
      <c r="D2402" s="8"/>
      <c r="E2402" s="8"/>
      <c r="F2402" s="8"/>
    </row>
    <row r="2403" spans="4:6">
      <c r="D2403" s="8"/>
      <c r="E2403" s="8"/>
      <c r="F2403" s="8"/>
    </row>
    <row r="2404" spans="4:6">
      <c r="D2404" s="8"/>
      <c r="E2404" s="8"/>
      <c r="F2404" s="8"/>
    </row>
    <row r="2405" spans="4:6">
      <c r="D2405" s="8"/>
      <c r="E2405" s="8"/>
      <c r="F2405" s="8"/>
    </row>
    <row r="2406" spans="4:6">
      <c r="D2406" s="8"/>
      <c r="E2406" s="8"/>
      <c r="F2406" s="8"/>
    </row>
    <row r="2407" spans="4:6">
      <c r="D2407" s="8"/>
      <c r="E2407" s="8"/>
      <c r="F2407" s="8"/>
    </row>
    <row r="2408" spans="4:6">
      <c r="D2408" s="8"/>
      <c r="E2408" s="8"/>
      <c r="F2408" s="8"/>
    </row>
    <row r="2409" spans="4:6">
      <c r="D2409" s="8"/>
      <c r="E2409" s="8"/>
      <c r="F2409" s="8"/>
    </row>
    <row r="2410" spans="4:6">
      <c r="D2410" s="8"/>
      <c r="E2410" s="8"/>
      <c r="F2410" s="8"/>
    </row>
    <row r="2411" spans="4:6">
      <c r="D2411" s="8"/>
      <c r="E2411" s="8"/>
      <c r="F2411" s="8"/>
    </row>
    <row r="2412" spans="4:6">
      <c r="D2412" s="8"/>
      <c r="E2412" s="8"/>
      <c r="F2412" s="8"/>
    </row>
    <row r="2413" spans="4:6">
      <c r="D2413" s="8"/>
      <c r="E2413" s="8"/>
      <c r="F2413" s="8"/>
    </row>
    <row r="2414" spans="4:6">
      <c r="D2414" s="8"/>
      <c r="E2414" s="8"/>
      <c r="F2414" s="8"/>
    </row>
    <row r="2415" spans="4:6">
      <c r="D2415" s="8"/>
      <c r="E2415" s="8"/>
      <c r="F2415" s="8"/>
    </row>
    <row r="2416" spans="4:6">
      <c r="D2416" s="8"/>
      <c r="E2416" s="8"/>
      <c r="F2416" s="8"/>
    </row>
    <row r="2417" spans="4:6">
      <c r="D2417" s="8"/>
      <c r="E2417" s="8"/>
      <c r="F2417" s="8"/>
    </row>
    <row r="2418" spans="4:6">
      <c r="D2418" s="8"/>
      <c r="E2418" s="8"/>
      <c r="F2418" s="8"/>
    </row>
    <row r="2419" spans="4:6">
      <c r="D2419" s="8"/>
      <c r="E2419" s="8"/>
      <c r="F2419" s="8"/>
    </row>
    <row r="2420" spans="4:6">
      <c r="D2420" s="8"/>
      <c r="E2420" s="8"/>
      <c r="F2420" s="8"/>
    </row>
    <row r="2421" spans="4:6">
      <c r="D2421" s="8"/>
      <c r="E2421" s="8"/>
      <c r="F2421" s="8"/>
    </row>
    <row r="2422" spans="4:6">
      <c r="D2422" s="8"/>
      <c r="E2422" s="8"/>
      <c r="F2422" s="8"/>
    </row>
    <row r="2423" spans="4:6">
      <c r="D2423" s="8"/>
      <c r="E2423" s="8"/>
      <c r="F2423" s="8"/>
    </row>
    <row r="2424" spans="4:6">
      <c r="D2424" s="8"/>
      <c r="E2424" s="8"/>
      <c r="F2424" s="8"/>
    </row>
    <row r="2425" spans="4:6">
      <c r="D2425" s="8"/>
      <c r="E2425" s="8"/>
      <c r="F2425" s="8"/>
    </row>
    <row r="2426" spans="4:6">
      <c r="D2426" s="8"/>
      <c r="E2426" s="8"/>
      <c r="F2426" s="8"/>
    </row>
    <row r="2427" spans="4:6">
      <c r="D2427" s="8"/>
      <c r="E2427" s="8"/>
      <c r="F2427" s="8"/>
    </row>
    <row r="2428" spans="4:6">
      <c r="D2428" s="8"/>
      <c r="E2428" s="8"/>
      <c r="F2428" s="8"/>
    </row>
    <row r="2429" spans="4:6">
      <c r="D2429" s="8"/>
      <c r="E2429" s="8"/>
      <c r="F2429" s="8"/>
    </row>
    <row r="2430" spans="4:6">
      <c r="D2430" s="8"/>
      <c r="E2430" s="8"/>
      <c r="F2430" s="8"/>
    </row>
    <row r="2431" spans="4:6">
      <c r="D2431" s="8"/>
      <c r="E2431" s="8"/>
      <c r="F2431" s="8"/>
    </row>
    <row r="2432" spans="4:6">
      <c r="D2432" s="8"/>
      <c r="E2432" s="8"/>
      <c r="F2432" s="8"/>
    </row>
    <row r="2433" spans="4:6">
      <c r="D2433" s="8"/>
      <c r="E2433" s="8"/>
      <c r="F2433" s="8"/>
    </row>
    <row r="2434" spans="4:6">
      <c r="D2434" s="8"/>
      <c r="E2434" s="8"/>
      <c r="F2434" s="8"/>
    </row>
    <row r="2435" spans="4:6">
      <c r="D2435" s="8"/>
      <c r="E2435" s="8"/>
      <c r="F2435" s="8"/>
    </row>
    <row r="2436" spans="4:6">
      <c r="D2436" s="8"/>
      <c r="E2436" s="8"/>
      <c r="F2436" s="8"/>
    </row>
    <row r="2437" spans="4:6">
      <c r="D2437" s="8"/>
      <c r="E2437" s="8"/>
      <c r="F2437" s="8"/>
    </row>
    <row r="2438" spans="4:6">
      <c r="D2438" s="8"/>
      <c r="E2438" s="8"/>
      <c r="F2438" s="8"/>
    </row>
    <row r="2439" spans="4:6">
      <c r="D2439" s="8"/>
      <c r="E2439" s="8"/>
      <c r="F2439" s="8"/>
    </row>
    <row r="2440" spans="4:6">
      <c r="D2440" s="8"/>
      <c r="E2440" s="8"/>
      <c r="F2440" s="8"/>
    </row>
    <row r="2441" spans="4:6">
      <c r="D2441" s="8"/>
      <c r="E2441" s="8"/>
      <c r="F2441" s="8"/>
    </row>
    <row r="2442" spans="4:6">
      <c r="D2442" s="8"/>
      <c r="E2442" s="8"/>
      <c r="F2442" s="8"/>
    </row>
    <row r="2443" spans="4:6">
      <c r="D2443" s="8"/>
      <c r="E2443" s="8"/>
      <c r="F2443" s="8"/>
    </row>
    <row r="2444" spans="4:6">
      <c r="D2444" s="8"/>
      <c r="E2444" s="8"/>
      <c r="F2444" s="8"/>
    </row>
    <row r="2445" spans="4:6">
      <c r="D2445" s="8"/>
      <c r="E2445" s="8"/>
      <c r="F2445" s="8"/>
    </row>
    <row r="2446" spans="4:6">
      <c r="D2446" s="8"/>
      <c r="E2446" s="8"/>
      <c r="F2446" s="8"/>
    </row>
    <row r="2447" spans="4:6">
      <c r="D2447" s="8"/>
      <c r="E2447" s="8"/>
      <c r="F2447" s="8"/>
    </row>
    <row r="2448" spans="4:6">
      <c r="D2448" s="8"/>
      <c r="E2448" s="8"/>
      <c r="F2448" s="8"/>
    </row>
    <row r="2449" spans="4:6">
      <c r="D2449" s="8"/>
      <c r="E2449" s="8"/>
      <c r="F2449" s="8"/>
    </row>
    <row r="2450" spans="4:6">
      <c r="D2450" s="8"/>
      <c r="E2450" s="8"/>
      <c r="F2450" s="8"/>
    </row>
    <row r="2451" spans="4:6">
      <c r="D2451" s="8"/>
      <c r="E2451" s="8"/>
      <c r="F2451" s="8"/>
    </row>
    <row r="2452" spans="4:6">
      <c r="D2452" s="8"/>
      <c r="E2452" s="8"/>
      <c r="F2452" s="8"/>
    </row>
    <row r="2453" spans="4:6">
      <c r="D2453" s="8"/>
      <c r="E2453" s="8"/>
      <c r="F2453" s="8"/>
    </row>
    <row r="2454" spans="4:6">
      <c r="D2454" s="8"/>
      <c r="E2454" s="8"/>
      <c r="F2454" s="8"/>
    </row>
    <row r="2455" spans="4:6">
      <c r="D2455" s="8"/>
      <c r="E2455" s="8"/>
      <c r="F2455" s="8"/>
    </row>
    <row r="2456" spans="4:6">
      <c r="D2456" s="8"/>
      <c r="E2456" s="8"/>
      <c r="F2456" s="8"/>
    </row>
    <row r="2457" spans="4:6">
      <c r="D2457" s="8"/>
      <c r="E2457" s="8"/>
      <c r="F2457" s="8"/>
    </row>
    <row r="2458" spans="4:6">
      <c r="D2458" s="8"/>
      <c r="E2458" s="8"/>
      <c r="F2458" s="8"/>
    </row>
    <row r="2459" spans="4:6">
      <c r="D2459" s="8"/>
      <c r="E2459" s="8"/>
      <c r="F2459" s="8"/>
    </row>
    <row r="2460" spans="4:6">
      <c r="D2460" s="8"/>
      <c r="E2460" s="8"/>
      <c r="F2460" s="8"/>
    </row>
    <row r="2461" spans="4:6">
      <c r="D2461" s="8"/>
      <c r="E2461" s="8"/>
      <c r="F2461" s="8"/>
    </row>
    <row r="2462" spans="4:6">
      <c r="D2462" s="8"/>
      <c r="E2462" s="8"/>
      <c r="F2462" s="8"/>
    </row>
    <row r="2463" spans="4:6">
      <c r="D2463" s="8"/>
      <c r="E2463" s="8"/>
      <c r="F2463" s="8"/>
    </row>
    <row r="2464" spans="4:6">
      <c r="D2464" s="8"/>
      <c r="E2464" s="8"/>
      <c r="F2464" s="8"/>
    </row>
    <row r="2465" spans="4:6">
      <c r="D2465" s="8"/>
      <c r="E2465" s="8"/>
      <c r="F2465" s="8"/>
    </row>
    <row r="2466" spans="4:6">
      <c r="D2466" s="8"/>
      <c r="E2466" s="8"/>
      <c r="F2466" s="8"/>
    </row>
    <row r="2467" spans="4:6">
      <c r="D2467" s="8"/>
      <c r="E2467" s="8"/>
      <c r="F2467" s="8"/>
    </row>
    <row r="2468" spans="4:6">
      <c r="D2468" s="8"/>
      <c r="E2468" s="8"/>
      <c r="F2468" s="8"/>
    </row>
    <row r="2469" spans="4:6">
      <c r="D2469" s="8"/>
      <c r="E2469" s="8"/>
      <c r="F2469" s="8"/>
    </row>
    <row r="2470" spans="4:6">
      <c r="D2470" s="8"/>
      <c r="E2470" s="8"/>
      <c r="F2470" s="8"/>
    </row>
    <row r="2471" spans="4:6">
      <c r="D2471" s="8"/>
      <c r="E2471" s="8"/>
      <c r="F2471" s="8"/>
    </row>
    <row r="2472" spans="4:6">
      <c r="D2472" s="8"/>
      <c r="E2472" s="8"/>
      <c r="F2472" s="8"/>
    </row>
    <row r="2473" spans="4:6">
      <c r="D2473" s="8"/>
      <c r="E2473" s="8"/>
      <c r="F2473" s="8"/>
    </row>
    <row r="2474" spans="4:6">
      <c r="D2474" s="8"/>
      <c r="E2474" s="8"/>
      <c r="F2474" s="8"/>
    </row>
    <row r="2475" spans="4:6">
      <c r="D2475" s="8"/>
      <c r="E2475" s="8"/>
      <c r="F2475" s="8"/>
    </row>
    <row r="2476" spans="4:6">
      <c r="D2476" s="8"/>
      <c r="E2476" s="8"/>
      <c r="F2476" s="8"/>
    </row>
    <row r="2477" spans="4:6">
      <c r="D2477" s="8"/>
      <c r="E2477" s="8"/>
      <c r="F2477" s="8"/>
    </row>
    <row r="2478" spans="4:6">
      <c r="D2478" s="8"/>
      <c r="E2478" s="8"/>
      <c r="F2478" s="8"/>
    </row>
    <row r="2479" spans="4:6">
      <c r="D2479" s="8"/>
      <c r="E2479" s="8"/>
      <c r="F2479" s="8"/>
    </row>
    <row r="2480" spans="4:6">
      <c r="D2480" s="8"/>
      <c r="E2480" s="8"/>
      <c r="F2480" s="8"/>
    </row>
    <row r="2481" spans="4:6">
      <c r="D2481" s="8"/>
      <c r="E2481" s="8"/>
      <c r="F2481" s="8"/>
    </row>
    <row r="2482" spans="4:6">
      <c r="D2482" s="8"/>
      <c r="E2482" s="8"/>
      <c r="F2482" s="8"/>
    </row>
    <row r="2483" spans="4:6">
      <c r="D2483" s="8"/>
      <c r="E2483" s="8"/>
      <c r="F2483" s="8"/>
    </row>
    <row r="2484" spans="4:6">
      <c r="D2484" s="8"/>
      <c r="E2484" s="8"/>
      <c r="F2484" s="8"/>
    </row>
    <row r="2485" spans="4:6">
      <c r="D2485" s="8"/>
      <c r="E2485" s="8"/>
      <c r="F2485" s="8"/>
    </row>
    <row r="2486" spans="4:6">
      <c r="D2486" s="8"/>
      <c r="E2486" s="8"/>
      <c r="F2486" s="8"/>
    </row>
    <row r="2487" spans="4:6">
      <c r="D2487" s="8"/>
      <c r="E2487" s="8"/>
      <c r="F2487" s="8"/>
    </row>
    <row r="2488" spans="4:6">
      <c r="D2488" s="8"/>
      <c r="E2488" s="8"/>
      <c r="F2488" s="8"/>
    </row>
    <row r="2489" spans="4:6">
      <c r="D2489" s="8"/>
      <c r="E2489" s="8"/>
      <c r="F2489" s="8"/>
    </row>
    <row r="2490" spans="4:6">
      <c r="D2490" s="8"/>
      <c r="E2490" s="8"/>
      <c r="F2490" s="8"/>
    </row>
    <row r="2491" spans="4:6">
      <c r="D2491" s="8"/>
      <c r="E2491" s="8"/>
      <c r="F2491" s="8"/>
    </row>
    <row r="2492" spans="4:6">
      <c r="D2492" s="8"/>
      <c r="E2492" s="8"/>
      <c r="F2492" s="8"/>
    </row>
    <row r="2493" spans="4:6">
      <c r="D2493" s="8"/>
      <c r="E2493" s="8"/>
      <c r="F2493" s="8"/>
    </row>
    <row r="2494" spans="4:6">
      <c r="D2494" s="8"/>
      <c r="E2494" s="8"/>
      <c r="F2494" s="8"/>
    </row>
    <row r="2495" spans="4:6">
      <c r="D2495" s="8"/>
      <c r="E2495" s="8"/>
      <c r="F2495" s="8"/>
    </row>
    <row r="2496" spans="4:6">
      <c r="D2496" s="8"/>
      <c r="E2496" s="8"/>
      <c r="F2496" s="8"/>
    </row>
    <row r="2497" spans="4:6">
      <c r="D2497" s="8"/>
      <c r="E2497" s="8"/>
      <c r="F2497" s="8"/>
    </row>
    <row r="2498" spans="4:6">
      <c r="D2498" s="8"/>
      <c r="E2498" s="8"/>
      <c r="F2498" s="8"/>
    </row>
    <row r="2499" spans="4:6">
      <c r="D2499" s="8"/>
      <c r="E2499" s="8"/>
      <c r="F2499" s="8"/>
    </row>
    <row r="2500" spans="4:6">
      <c r="D2500" s="8"/>
      <c r="E2500" s="8"/>
      <c r="F2500" s="8"/>
    </row>
    <row r="2501" spans="4:6">
      <c r="D2501" s="8"/>
      <c r="E2501" s="8"/>
      <c r="F2501" s="8"/>
    </row>
    <row r="2502" spans="4:6">
      <c r="D2502" s="8"/>
      <c r="E2502" s="8"/>
      <c r="F2502" s="8"/>
    </row>
    <row r="2503" spans="4:6">
      <c r="D2503" s="8"/>
      <c r="E2503" s="8"/>
      <c r="F2503" s="8"/>
    </row>
    <row r="2504" spans="4:6">
      <c r="D2504" s="8"/>
      <c r="E2504" s="8"/>
      <c r="F2504" s="8"/>
    </row>
    <row r="2505" spans="4:6">
      <c r="D2505" s="8"/>
      <c r="E2505" s="8"/>
      <c r="F2505" s="8"/>
    </row>
    <row r="2506" spans="4:6">
      <c r="D2506" s="8"/>
      <c r="E2506" s="8"/>
      <c r="F2506" s="8"/>
    </row>
    <row r="2507" spans="4:6">
      <c r="D2507" s="8"/>
      <c r="E2507" s="8"/>
      <c r="F2507" s="8"/>
    </row>
    <row r="2508" spans="4:6">
      <c r="D2508" s="8"/>
      <c r="E2508" s="8"/>
      <c r="F2508" s="8"/>
    </row>
    <row r="2509" spans="4:6">
      <c r="D2509" s="8"/>
      <c r="E2509" s="8"/>
      <c r="F2509" s="8"/>
    </row>
    <row r="2510" spans="4:6">
      <c r="D2510" s="8"/>
      <c r="E2510" s="8"/>
      <c r="F2510" s="8"/>
    </row>
    <row r="2511" spans="4:6">
      <c r="D2511" s="8"/>
      <c r="E2511" s="8"/>
      <c r="F2511" s="8"/>
    </row>
    <row r="2512" spans="4:6">
      <c r="D2512" s="8"/>
      <c r="E2512" s="8"/>
      <c r="F2512" s="8"/>
    </row>
    <row r="2513" spans="4:6">
      <c r="D2513" s="8"/>
      <c r="E2513" s="8"/>
      <c r="F2513" s="8"/>
    </row>
    <row r="2514" spans="4:6">
      <c r="D2514" s="8"/>
      <c r="E2514" s="8"/>
      <c r="F2514" s="8"/>
    </row>
    <row r="2515" spans="4:6">
      <c r="D2515" s="8"/>
      <c r="E2515" s="8"/>
      <c r="F2515" s="8"/>
    </row>
    <row r="2516" spans="4:6">
      <c r="D2516" s="8"/>
      <c r="E2516" s="8"/>
      <c r="F2516" s="8"/>
    </row>
    <row r="2517" spans="4:6">
      <c r="D2517" s="8"/>
      <c r="E2517" s="8"/>
      <c r="F2517" s="8"/>
    </row>
    <row r="2518" spans="4:6">
      <c r="D2518" s="8"/>
      <c r="E2518" s="8"/>
      <c r="F2518" s="8"/>
    </row>
    <row r="2519" spans="4:6">
      <c r="D2519" s="8"/>
      <c r="E2519" s="8"/>
      <c r="F2519" s="8"/>
    </row>
    <row r="2520" spans="4:6">
      <c r="D2520" s="8"/>
      <c r="E2520" s="8"/>
      <c r="F2520" s="8"/>
    </row>
    <row r="2521" spans="4:6">
      <c r="D2521" s="8"/>
      <c r="E2521" s="8"/>
      <c r="F2521" s="8"/>
    </row>
    <row r="2522" spans="4:6">
      <c r="D2522" s="8"/>
      <c r="E2522" s="8"/>
      <c r="F2522" s="8"/>
    </row>
    <row r="2523" spans="4:6">
      <c r="D2523" s="8"/>
      <c r="E2523" s="8"/>
      <c r="F2523" s="8"/>
    </row>
    <row r="2524" spans="4:6">
      <c r="D2524" s="8"/>
      <c r="E2524" s="8"/>
      <c r="F2524" s="8"/>
    </row>
    <row r="2525" spans="4:6">
      <c r="D2525" s="8"/>
      <c r="E2525" s="8"/>
      <c r="F2525" s="8"/>
    </row>
    <row r="2526" spans="4:6">
      <c r="D2526" s="8"/>
      <c r="E2526" s="8"/>
      <c r="F2526" s="8"/>
    </row>
    <row r="2527" spans="4:6">
      <c r="D2527" s="8"/>
      <c r="E2527" s="8"/>
      <c r="F2527" s="8"/>
    </row>
    <row r="2528" spans="4:6">
      <c r="D2528" s="8"/>
      <c r="E2528" s="8"/>
      <c r="F2528" s="8"/>
    </row>
    <row r="2529" spans="4:6">
      <c r="D2529" s="8"/>
      <c r="E2529" s="8"/>
      <c r="F2529" s="8"/>
    </row>
    <row r="2530" spans="4:6">
      <c r="D2530" s="8"/>
      <c r="E2530" s="8"/>
      <c r="F2530" s="8"/>
    </row>
    <row r="2531" spans="4:6">
      <c r="D2531" s="8"/>
      <c r="E2531" s="8"/>
      <c r="F2531" s="8"/>
    </row>
    <row r="2532" spans="4:6">
      <c r="D2532" s="8"/>
      <c r="E2532" s="8"/>
      <c r="F2532" s="8"/>
    </row>
    <row r="2533" spans="4:6">
      <c r="D2533" s="8"/>
      <c r="E2533" s="8"/>
      <c r="F2533" s="8"/>
    </row>
    <row r="2534" spans="4:6">
      <c r="D2534" s="8"/>
      <c r="E2534" s="8"/>
      <c r="F2534" s="8"/>
    </row>
    <row r="2535" spans="4:6">
      <c r="D2535" s="8"/>
      <c r="E2535" s="8"/>
      <c r="F2535" s="8"/>
    </row>
    <row r="2536" spans="4:6">
      <c r="D2536" s="8"/>
      <c r="E2536" s="8"/>
      <c r="F2536" s="8"/>
    </row>
    <row r="2537" spans="4:6">
      <c r="D2537" s="8"/>
      <c r="E2537" s="8"/>
      <c r="F2537" s="8"/>
    </row>
    <row r="2538" spans="4:6">
      <c r="D2538" s="8"/>
      <c r="E2538" s="8"/>
      <c r="F2538" s="8"/>
    </row>
    <row r="2539" spans="4:6">
      <c r="D2539" s="8"/>
      <c r="E2539" s="8"/>
      <c r="F2539" s="8"/>
    </row>
    <row r="2540" spans="4:6">
      <c r="D2540" s="8"/>
      <c r="E2540" s="8"/>
      <c r="F2540" s="8"/>
    </row>
    <row r="2541" spans="4:6">
      <c r="D2541" s="8"/>
      <c r="E2541" s="8"/>
      <c r="F2541" s="8"/>
    </row>
    <row r="2542" spans="4:6">
      <c r="D2542" s="8"/>
      <c r="E2542" s="8"/>
      <c r="F2542" s="8"/>
    </row>
    <row r="2543" spans="4:6">
      <c r="D2543" s="8"/>
      <c r="E2543" s="8"/>
      <c r="F2543" s="8"/>
    </row>
    <row r="2544" spans="4:6">
      <c r="D2544" s="8"/>
      <c r="E2544" s="8"/>
      <c r="F2544" s="8"/>
    </row>
    <row r="2545" spans="4:6">
      <c r="D2545" s="8"/>
      <c r="E2545" s="8"/>
      <c r="F2545" s="8"/>
    </row>
    <row r="2546" spans="4:6">
      <c r="D2546" s="8"/>
      <c r="E2546" s="8"/>
      <c r="F2546" s="8"/>
    </row>
    <row r="2547" spans="4:6">
      <c r="D2547" s="8"/>
      <c r="E2547" s="8"/>
      <c r="F2547" s="8"/>
    </row>
    <row r="2548" spans="4:6">
      <c r="D2548" s="8"/>
      <c r="E2548" s="8"/>
      <c r="F2548" s="8"/>
    </row>
    <row r="2549" spans="4:6">
      <c r="D2549" s="8"/>
      <c r="E2549" s="8"/>
      <c r="F2549" s="8"/>
    </row>
    <row r="2550" spans="4:6">
      <c r="D2550" s="8"/>
      <c r="E2550" s="8"/>
      <c r="F2550" s="8"/>
    </row>
    <row r="2551" spans="4:6">
      <c r="D2551" s="8"/>
      <c r="E2551" s="8"/>
      <c r="F2551" s="8"/>
    </row>
    <row r="2552" spans="4:6">
      <c r="D2552" s="8"/>
      <c r="E2552" s="8"/>
      <c r="F2552" s="8"/>
    </row>
    <row r="2553" spans="4:6">
      <c r="D2553" s="8"/>
      <c r="E2553" s="8"/>
      <c r="F2553" s="8"/>
    </row>
    <row r="2554" spans="4:6">
      <c r="D2554" s="8"/>
      <c r="E2554" s="8"/>
      <c r="F2554" s="8"/>
    </row>
    <row r="2555" spans="4:6">
      <c r="D2555" s="8"/>
      <c r="E2555" s="8"/>
      <c r="F2555" s="8"/>
    </row>
    <row r="2556" spans="4:6">
      <c r="D2556" s="8"/>
      <c r="E2556" s="8"/>
      <c r="F2556" s="8"/>
    </row>
    <row r="2557" spans="4:6">
      <c r="D2557" s="8"/>
      <c r="E2557" s="8"/>
      <c r="F2557" s="8"/>
    </row>
    <row r="2558" spans="4:6">
      <c r="D2558" s="8"/>
      <c r="E2558" s="8"/>
      <c r="F2558" s="8"/>
    </row>
    <row r="2559" spans="4:6">
      <c r="D2559" s="8"/>
      <c r="E2559" s="8"/>
      <c r="F2559" s="8"/>
    </row>
    <row r="2560" spans="4:6">
      <c r="D2560" s="8"/>
      <c r="E2560" s="8"/>
      <c r="F2560" s="8"/>
    </row>
    <row r="2561" spans="4:6">
      <c r="D2561" s="8"/>
      <c r="E2561" s="8"/>
      <c r="F2561" s="8"/>
    </row>
    <row r="2562" spans="4:6">
      <c r="D2562" s="8"/>
      <c r="E2562" s="8"/>
      <c r="F2562" s="8"/>
    </row>
    <row r="2563" spans="4:6">
      <c r="D2563" s="8"/>
      <c r="E2563" s="8"/>
      <c r="F2563" s="8"/>
    </row>
    <row r="2564" spans="4:6">
      <c r="D2564" s="8"/>
      <c r="E2564" s="8"/>
      <c r="F2564" s="8"/>
    </row>
    <row r="2565" spans="4:6">
      <c r="D2565" s="8"/>
      <c r="E2565" s="8"/>
      <c r="F2565" s="8"/>
    </row>
    <row r="2566" spans="4:6">
      <c r="D2566" s="8"/>
      <c r="E2566" s="8"/>
      <c r="F2566" s="8"/>
    </row>
    <row r="2567" spans="4:6">
      <c r="D2567" s="8"/>
      <c r="E2567" s="8"/>
      <c r="F2567" s="8"/>
    </row>
    <row r="2568" spans="4:6">
      <c r="D2568" s="8"/>
      <c r="E2568" s="8"/>
      <c r="F2568" s="8"/>
    </row>
    <row r="2569" spans="4:6">
      <c r="D2569" s="8"/>
      <c r="E2569" s="8"/>
      <c r="F2569" s="8"/>
    </row>
    <row r="2570" spans="4:6">
      <c r="D2570" s="8"/>
      <c r="E2570" s="8"/>
      <c r="F2570" s="8"/>
    </row>
    <row r="2571" spans="4:6">
      <c r="D2571" s="8"/>
      <c r="E2571" s="8"/>
      <c r="F2571" s="8"/>
    </row>
    <row r="2572" spans="4:6">
      <c r="D2572" s="8"/>
      <c r="E2572" s="8"/>
      <c r="F2572" s="8"/>
    </row>
    <row r="2573" spans="4:6">
      <c r="D2573" s="8"/>
      <c r="E2573" s="8"/>
      <c r="F2573" s="8"/>
    </row>
    <row r="2574" spans="4:6">
      <c r="D2574" s="8"/>
      <c r="E2574" s="8"/>
      <c r="F2574" s="8"/>
    </row>
    <row r="2575" spans="4:6">
      <c r="D2575" s="8"/>
      <c r="E2575" s="8"/>
      <c r="F2575" s="8"/>
    </row>
    <row r="2576" spans="4:6">
      <c r="D2576" s="8"/>
      <c r="E2576" s="8"/>
      <c r="F2576" s="8"/>
    </row>
    <row r="2577" spans="4:6">
      <c r="D2577" s="8"/>
      <c r="E2577" s="8"/>
      <c r="F2577" s="8"/>
    </row>
    <row r="2578" spans="4:6">
      <c r="D2578" s="8"/>
      <c r="E2578" s="8"/>
      <c r="F2578" s="8"/>
    </row>
    <row r="2579" spans="4:6">
      <c r="D2579" s="8"/>
      <c r="E2579" s="8"/>
      <c r="F2579" s="8"/>
    </row>
    <row r="2580" spans="4:6">
      <c r="D2580" s="8"/>
      <c r="E2580" s="8"/>
      <c r="F2580" s="8"/>
    </row>
    <row r="2581" spans="4:6">
      <c r="D2581" s="8"/>
      <c r="E2581" s="8"/>
      <c r="F2581" s="8"/>
    </row>
    <row r="2582" spans="4:6">
      <c r="D2582" s="8"/>
      <c r="E2582" s="8"/>
      <c r="F2582" s="8"/>
    </row>
    <row r="2583" spans="4:6">
      <c r="D2583" s="8"/>
      <c r="E2583" s="8"/>
      <c r="F2583" s="8"/>
    </row>
    <row r="2584" spans="4:6">
      <c r="D2584" s="8"/>
      <c r="E2584" s="8"/>
      <c r="F2584" s="8"/>
    </row>
    <row r="2585" spans="4:6">
      <c r="D2585" s="8"/>
      <c r="E2585" s="8"/>
      <c r="F2585" s="8"/>
    </row>
    <row r="2586" spans="4:6">
      <c r="D2586" s="8"/>
      <c r="E2586" s="8"/>
      <c r="F2586" s="8"/>
    </row>
    <row r="2587" spans="4:6">
      <c r="D2587" s="8"/>
      <c r="E2587" s="8"/>
      <c r="F2587" s="8"/>
    </row>
    <row r="2588" spans="4:6">
      <c r="D2588" s="8"/>
      <c r="E2588" s="8"/>
      <c r="F2588" s="8"/>
    </row>
    <row r="2589" spans="4:6">
      <c r="D2589" s="8"/>
      <c r="E2589" s="8"/>
      <c r="F2589" s="8"/>
    </row>
    <row r="2590" spans="4:6">
      <c r="D2590" s="8"/>
      <c r="E2590" s="8"/>
      <c r="F2590" s="8"/>
    </row>
    <row r="2591" spans="4:6">
      <c r="D2591" s="8"/>
      <c r="E2591" s="8"/>
      <c r="F2591" s="8"/>
    </row>
    <row r="2592" spans="4:6">
      <c r="D2592" s="8"/>
      <c r="E2592" s="8"/>
      <c r="F2592" s="8"/>
    </row>
    <row r="2593" spans="4:6">
      <c r="D2593" s="8"/>
      <c r="E2593" s="8"/>
      <c r="F2593" s="8"/>
    </row>
    <row r="2594" spans="4:6">
      <c r="D2594" s="8"/>
      <c r="E2594" s="8"/>
      <c r="F2594" s="8"/>
    </row>
    <row r="2595" spans="4:6">
      <c r="D2595" s="8"/>
      <c r="E2595" s="8"/>
      <c r="F2595" s="8"/>
    </row>
    <row r="2596" spans="4:6">
      <c r="D2596" s="8"/>
      <c r="E2596" s="8"/>
      <c r="F2596" s="8"/>
    </row>
    <row r="2597" spans="4:6">
      <c r="D2597" s="8"/>
      <c r="E2597" s="8"/>
      <c r="F2597" s="8"/>
    </row>
    <row r="2598" spans="4:6">
      <c r="D2598" s="8"/>
      <c r="E2598" s="8"/>
      <c r="F2598" s="8"/>
    </row>
    <row r="2599" spans="4:6">
      <c r="D2599" s="8"/>
      <c r="E2599" s="8"/>
      <c r="F2599" s="8"/>
    </row>
    <row r="2600" spans="4:6">
      <c r="D2600" s="8"/>
      <c r="E2600" s="8"/>
      <c r="F2600" s="8"/>
    </row>
    <row r="2601" spans="4:6">
      <c r="D2601" s="8"/>
      <c r="E2601" s="8"/>
      <c r="F2601" s="8"/>
    </row>
    <row r="2602" spans="4:6">
      <c r="D2602" s="8"/>
      <c r="E2602" s="8"/>
      <c r="F2602" s="8"/>
    </row>
    <row r="2603" spans="4:6">
      <c r="D2603" s="8"/>
      <c r="E2603" s="8"/>
      <c r="F2603" s="8"/>
    </row>
    <row r="2604" spans="4:6">
      <c r="D2604" s="8"/>
      <c r="E2604" s="8"/>
      <c r="F2604" s="8"/>
    </row>
    <row r="2605" spans="4:6">
      <c r="D2605" s="8"/>
      <c r="E2605" s="8"/>
      <c r="F2605" s="8"/>
    </row>
    <row r="2606" spans="4:6">
      <c r="D2606" s="8"/>
      <c r="E2606" s="8"/>
      <c r="F2606" s="8"/>
    </row>
    <row r="2607" spans="4:6">
      <c r="D2607" s="8"/>
      <c r="E2607" s="8"/>
      <c r="F2607" s="8"/>
    </row>
    <row r="2608" spans="4:6">
      <c r="D2608" s="8"/>
      <c r="E2608" s="8"/>
      <c r="F2608" s="8"/>
    </row>
    <row r="2609" spans="4:6">
      <c r="D2609" s="8"/>
      <c r="E2609" s="8"/>
      <c r="F2609" s="8"/>
    </row>
    <row r="2610" spans="4:6">
      <c r="D2610" s="8"/>
      <c r="E2610" s="8"/>
      <c r="F2610" s="8"/>
    </row>
    <row r="2611" spans="4:6">
      <c r="D2611" s="8"/>
      <c r="E2611" s="8"/>
      <c r="F2611" s="8"/>
    </row>
    <row r="2612" spans="4:6">
      <c r="D2612" s="8"/>
      <c r="E2612" s="8"/>
      <c r="F2612" s="8"/>
    </row>
    <row r="2613" spans="4:6">
      <c r="D2613" s="8"/>
      <c r="E2613" s="8"/>
      <c r="F2613" s="8"/>
    </row>
    <row r="2614" spans="4:6">
      <c r="D2614" s="8"/>
      <c r="E2614" s="8"/>
      <c r="F2614" s="8"/>
    </row>
    <row r="2615" spans="4:6">
      <c r="D2615" s="8"/>
      <c r="E2615" s="8"/>
      <c r="F2615" s="8"/>
    </row>
    <row r="2616" spans="4:6">
      <c r="D2616" s="8"/>
      <c r="E2616" s="8"/>
      <c r="F2616" s="8"/>
    </row>
    <row r="2617" spans="4:6">
      <c r="D2617" s="8"/>
      <c r="E2617" s="8"/>
      <c r="F2617" s="8"/>
    </row>
    <row r="2618" spans="4:6">
      <c r="D2618" s="8"/>
      <c r="E2618" s="8"/>
      <c r="F2618" s="8"/>
    </row>
    <row r="2619" spans="4:6">
      <c r="D2619" s="8"/>
      <c r="E2619" s="8"/>
      <c r="F2619" s="8"/>
    </row>
    <row r="2620" spans="4:6">
      <c r="D2620" s="8"/>
      <c r="E2620" s="8"/>
      <c r="F2620" s="8"/>
    </row>
    <row r="2621" spans="4:6">
      <c r="D2621" s="8"/>
      <c r="E2621" s="8"/>
      <c r="F2621" s="8"/>
    </row>
    <row r="2622" spans="4:6">
      <c r="D2622" s="8"/>
      <c r="E2622" s="8"/>
      <c r="F2622" s="8"/>
    </row>
    <row r="2623" spans="4:6">
      <c r="D2623" s="8"/>
      <c r="E2623" s="8"/>
      <c r="F2623" s="8"/>
    </row>
    <row r="2624" spans="4:6">
      <c r="D2624" s="8"/>
      <c r="E2624" s="8"/>
      <c r="F2624" s="8"/>
    </row>
    <row r="2625" spans="4:6">
      <c r="D2625" s="8"/>
      <c r="E2625" s="8"/>
      <c r="F2625" s="8"/>
    </row>
    <row r="2626" spans="4:6">
      <c r="D2626" s="8"/>
      <c r="E2626" s="8"/>
      <c r="F2626" s="8"/>
    </row>
    <row r="2627" spans="4:6">
      <c r="D2627" s="8"/>
      <c r="E2627" s="8"/>
      <c r="F2627" s="8"/>
    </row>
    <row r="2628" spans="4:6">
      <c r="D2628" s="8"/>
      <c r="E2628" s="8"/>
      <c r="F2628" s="8"/>
    </row>
    <row r="2629" spans="4:6">
      <c r="D2629" s="8"/>
      <c r="E2629" s="8"/>
      <c r="F2629" s="8"/>
    </row>
    <row r="2630" spans="4:6">
      <c r="D2630" s="8"/>
      <c r="E2630" s="8"/>
      <c r="F2630" s="8"/>
    </row>
    <row r="2631" spans="4:6">
      <c r="D2631" s="8"/>
      <c r="E2631" s="8"/>
      <c r="F2631" s="8"/>
    </row>
    <row r="2632" spans="4:6">
      <c r="D2632" s="8"/>
      <c r="E2632" s="8"/>
      <c r="F2632" s="8"/>
    </row>
    <row r="2633" spans="4:6">
      <c r="D2633" s="8"/>
      <c r="E2633" s="8"/>
      <c r="F2633" s="8"/>
    </row>
    <row r="2634" spans="4:6">
      <c r="D2634" s="8"/>
      <c r="E2634" s="8"/>
      <c r="F2634" s="8"/>
    </row>
    <row r="2635" spans="4:6">
      <c r="D2635" s="8"/>
      <c r="E2635" s="8"/>
      <c r="F2635" s="8"/>
    </row>
    <row r="2636" spans="4:6">
      <c r="D2636" s="8"/>
      <c r="E2636" s="8"/>
      <c r="F2636" s="8"/>
    </row>
    <row r="2637" spans="4:6">
      <c r="D2637" s="8"/>
      <c r="E2637" s="8"/>
      <c r="F2637" s="8"/>
    </row>
    <row r="2638" spans="4:6">
      <c r="D2638" s="8"/>
      <c r="E2638" s="8"/>
      <c r="F2638" s="8"/>
    </row>
    <row r="2639" spans="4:6">
      <c r="D2639" s="8"/>
      <c r="E2639" s="8"/>
      <c r="F2639" s="8"/>
    </row>
    <row r="2640" spans="4:6">
      <c r="D2640" s="8"/>
      <c r="E2640" s="8"/>
      <c r="F2640" s="8"/>
    </row>
    <row r="2641" spans="4:6">
      <c r="D2641" s="8"/>
      <c r="E2641" s="8"/>
      <c r="F2641" s="8"/>
    </row>
    <row r="2642" spans="4:6">
      <c r="D2642" s="8"/>
      <c r="E2642" s="8"/>
      <c r="F2642" s="8"/>
    </row>
    <row r="2643" spans="4:6">
      <c r="D2643" s="8"/>
      <c r="E2643" s="8"/>
      <c r="F2643" s="8"/>
    </row>
    <row r="2644" spans="4:6">
      <c r="D2644" s="8"/>
      <c r="E2644" s="8"/>
      <c r="F2644" s="8"/>
    </row>
    <row r="2645" spans="4:6">
      <c r="D2645" s="8"/>
      <c r="E2645" s="8"/>
      <c r="F2645" s="8"/>
    </row>
    <row r="2646" spans="4:6">
      <c r="D2646" s="8"/>
      <c r="E2646" s="8"/>
      <c r="F2646" s="8"/>
    </row>
    <row r="2647" spans="4:6">
      <c r="D2647" s="8"/>
      <c r="E2647" s="8"/>
      <c r="F2647" s="8"/>
    </row>
    <row r="2648" spans="4:6">
      <c r="D2648" s="8"/>
      <c r="E2648" s="8"/>
      <c r="F2648" s="8"/>
    </row>
    <row r="2649" spans="4:6">
      <c r="D2649" s="8"/>
      <c r="E2649" s="8"/>
      <c r="F2649" s="8"/>
    </row>
    <row r="2650" spans="4:6">
      <c r="D2650" s="8"/>
      <c r="E2650" s="8"/>
      <c r="F2650" s="8"/>
    </row>
    <row r="2651" spans="4:6">
      <c r="D2651" s="8"/>
      <c r="E2651" s="8"/>
      <c r="F2651" s="8"/>
    </row>
    <row r="2652" spans="4:6">
      <c r="D2652" s="8"/>
      <c r="E2652" s="8"/>
      <c r="F2652" s="8"/>
    </row>
    <row r="2653" spans="4:6">
      <c r="D2653" s="8"/>
      <c r="E2653" s="8"/>
      <c r="F2653" s="8"/>
    </row>
    <row r="2654" spans="4:6">
      <c r="D2654" s="8"/>
      <c r="E2654" s="8"/>
      <c r="F2654" s="8"/>
    </row>
    <row r="2655" spans="4:6">
      <c r="D2655" s="8"/>
      <c r="E2655" s="8"/>
      <c r="F2655" s="8"/>
    </row>
    <row r="2656" spans="4:6">
      <c r="D2656" s="8"/>
      <c r="E2656" s="8"/>
      <c r="F2656" s="8"/>
    </row>
    <row r="2657" spans="4:6">
      <c r="D2657" s="8"/>
      <c r="E2657" s="8"/>
      <c r="F2657" s="8"/>
    </row>
    <row r="2658" spans="4:6">
      <c r="D2658" s="8"/>
      <c r="E2658" s="8"/>
      <c r="F2658" s="8"/>
    </row>
    <row r="2659" spans="4:6">
      <c r="D2659" s="8"/>
      <c r="E2659" s="8"/>
      <c r="F2659" s="8"/>
    </row>
    <row r="2660" spans="4:6">
      <c r="D2660" s="8"/>
      <c r="E2660" s="8"/>
      <c r="F2660" s="8"/>
    </row>
    <row r="2661" spans="4:6">
      <c r="D2661" s="8"/>
      <c r="E2661" s="8"/>
      <c r="F2661" s="8"/>
    </row>
    <row r="2662" spans="4:6">
      <c r="D2662" s="8"/>
      <c r="E2662" s="8"/>
      <c r="F2662" s="8"/>
    </row>
    <row r="2663" spans="4:6">
      <c r="D2663" s="8"/>
      <c r="E2663" s="8"/>
      <c r="F2663" s="8"/>
    </row>
    <row r="2664" spans="4:6">
      <c r="D2664" s="8"/>
      <c r="E2664" s="8"/>
      <c r="F2664" s="8"/>
    </row>
    <row r="2665" spans="4:6">
      <c r="D2665" s="8"/>
      <c r="E2665" s="8"/>
      <c r="F2665" s="8"/>
    </row>
    <row r="2666" spans="4:6">
      <c r="D2666" s="8"/>
      <c r="E2666" s="8"/>
      <c r="F2666" s="8"/>
    </row>
    <row r="2667" spans="4:6">
      <c r="D2667" s="8"/>
      <c r="E2667" s="8"/>
      <c r="F2667" s="8"/>
    </row>
    <row r="2668" spans="4:6">
      <c r="D2668" s="8"/>
      <c r="E2668" s="8"/>
      <c r="F2668" s="8"/>
    </row>
    <row r="2669" spans="4:6">
      <c r="D2669" s="8"/>
      <c r="E2669" s="8"/>
      <c r="F2669" s="8"/>
    </row>
    <row r="2670" spans="4:6">
      <c r="D2670" s="8"/>
      <c r="E2670" s="8"/>
      <c r="F2670" s="8"/>
    </row>
    <row r="2671" spans="4:6">
      <c r="D2671" s="8"/>
      <c r="E2671" s="8"/>
      <c r="F2671" s="8"/>
    </row>
    <row r="2672" spans="4:6">
      <c r="D2672" s="8"/>
      <c r="E2672" s="8"/>
      <c r="F2672" s="8"/>
    </row>
    <row r="2673" spans="4:6">
      <c r="D2673" s="8"/>
      <c r="E2673" s="8"/>
      <c r="F2673" s="8"/>
    </row>
    <row r="2674" spans="4:6">
      <c r="D2674" s="8"/>
      <c r="E2674" s="8"/>
      <c r="F2674" s="8"/>
    </row>
    <row r="2675" spans="4:6">
      <c r="D2675" s="8"/>
      <c r="E2675" s="8"/>
      <c r="F2675" s="8"/>
    </row>
    <row r="2676" spans="4:6">
      <c r="D2676" s="8"/>
      <c r="E2676" s="8"/>
      <c r="F2676" s="8"/>
    </row>
    <row r="2677" spans="4:6">
      <c r="D2677" s="8"/>
      <c r="E2677" s="8"/>
      <c r="F2677" s="8"/>
    </row>
    <row r="2678" spans="4:6">
      <c r="D2678" s="8"/>
      <c r="E2678" s="8"/>
      <c r="F2678" s="8"/>
    </row>
    <row r="2679" spans="4:6">
      <c r="D2679" s="8"/>
      <c r="E2679" s="8"/>
      <c r="F2679" s="8"/>
    </row>
    <row r="2680" spans="4:6">
      <c r="D2680" s="8"/>
      <c r="E2680" s="8"/>
      <c r="F2680" s="8"/>
    </row>
    <row r="2681" spans="4:6">
      <c r="D2681" s="8"/>
      <c r="E2681" s="8"/>
      <c r="F2681" s="8"/>
    </row>
    <row r="2682" spans="4:6">
      <c r="D2682" s="8"/>
      <c r="E2682" s="8"/>
      <c r="F2682" s="8"/>
    </row>
    <row r="2683" spans="4:6">
      <c r="D2683" s="8"/>
      <c r="E2683" s="8"/>
      <c r="F2683" s="8"/>
    </row>
    <row r="2684" spans="4:6">
      <c r="D2684" s="8"/>
      <c r="E2684" s="8"/>
      <c r="F2684" s="8"/>
    </row>
    <row r="2685" spans="4:6">
      <c r="D2685" s="8"/>
      <c r="E2685" s="8"/>
      <c r="F2685" s="8"/>
    </row>
    <row r="2686" spans="4:6">
      <c r="D2686" s="8"/>
      <c r="E2686" s="8"/>
      <c r="F2686" s="8"/>
    </row>
    <row r="2687" spans="4:6">
      <c r="D2687" s="8"/>
      <c r="E2687" s="8"/>
      <c r="F2687" s="8"/>
    </row>
    <row r="2688" spans="4:6">
      <c r="D2688" s="8"/>
      <c r="E2688" s="8"/>
      <c r="F2688" s="8"/>
    </row>
    <row r="2689" spans="4:6">
      <c r="D2689" s="8"/>
      <c r="E2689" s="8"/>
      <c r="F2689" s="8"/>
    </row>
    <row r="2690" spans="4:6">
      <c r="D2690" s="8"/>
      <c r="E2690" s="8"/>
      <c r="F2690" s="8"/>
    </row>
    <row r="2691" spans="4:6">
      <c r="D2691" s="8"/>
      <c r="E2691" s="8"/>
      <c r="F2691" s="8"/>
    </row>
    <row r="2692" spans="4:6">
      <c r="D2692" s="8"/>
      <c r="E2692" s="8"/>
      <c r="F2692" s="8"/>
    </row>
    <row r="2693" spans="4:6">
      <c r="D2693" s="8"/>
      <c r="E2693" s="8"/>
      <c r="F2693" s="8"/>
    </row>
    <row r="2694" spans="4:6">
      <c r="D2694" s="8"/>
      <c r="E2694" s="8"/>
      <c r="F2694" s="8"/>
    </row>
    <row r="2695" spans="4:6">
      <c r="D2695" s="8"/>
      <c r="E2695" s="8"/>
      <c r="F2695" s="8"/>
    </row>
    <row r="2696" spans="4:6">
      <c r="D2696" s="8"/>
      <c r="E2696" s="8"/>
      <c r="F2696" s="8"/>
    </row>
    <row r="2697" spans="4:6">
      <c r="D2697" s="8"/>
      <c r="E2697" s="8"/>
      <c r="F2697" s="8"/>
    </row>
    <row r="2698" spans="4:6">
      <c r="D2698" s="8"/>
      <c r="E2698" s="8"/>
      <c r="F2698" s="8"/>
    </row>
    <row r="2699" spans="4:6">
      <c r="D2699" s="8"/>
      <c r="E2699" s="8"/>
      <c r="F2699" s="8"/>
    </row>
    <row r="2700" spans="4:6">
      <c r="D2700" s="8"/>
      <c r="E2700" s="8"/>
      <c r="F2700" s="8"/>
    </row>
    <row r="2701" spans="4:6">
      <c r="D2701" s="8"/>
      <c r="E2701" s="8"/>
      <c r="F2701" s="8"/>
    </row>
    <row r="2702" spans="4:6">
      <c r="D2702" s="8"/>
      <c r="E2702" s="8"/>
      <c r="F2702" s="8"/>
    </row>
    <row r="2703" spans="4:6">
      <c r="D2703" s="8"/>
      <c r="E2703" s="8"/>
      <c r="F2703" s="8"/>
    </row>
    <row r="2704" spans="4:6">
      <c r="D2704" s="8"/>
      <c r="E2704" s="8"/>
      <c r="F2704" s="8"/>
    </row>
    <row r="2705" spans="4:6">
      <c r="D2705" s="8"/>
      <c r="E2705" s="8"/>
      <c r="F2705" s="8"/>
    </row>
    <row r="2706" spans="4:6">
      <c r="D2706" s="8"/>
      <c r="E2706" s="8"/>
      <c r="F2706" s="8"/>
    </row>
    <row r="2707" spans="4:6">
      <c r="D2707" s="8"/>
      <c r="E2707" s="8"/>
      <c r="F2707" s="8"/>
    </row>
    <row r="2708" spans="4:6">
      <c r="D2708" s="8"/>
      <c r="E2708" s="8"/>
      <c r="F2708" s="8"/>
    </row>
    <row r="2709" spans="4:6">
      <c r="D2709" s="8"/>
      <c r="E2709" s="8"/>
      <c r="F2709" s="8"/>
    </row>
    <row r="2710" spans="4:6">
      <c r="D2710" s="8"/>
      <c r="E2710" s="8"/>
      <c r="F2710" s="8"/>
    </row>
    <row r="2711" spans="4:6">
      <c r="D2711" s="8"/>
      <c r="E2711" s="8"/>
      <c r="F2711" s="8"/>
    </row>
    <row r="2712" spans="4:6">
      <c r="D2712" s="8"/>
      <c r="E2712" s="8"/>
      <c r="F2712" s="8"/>
    </row>
    <row r="2713" spans="4:6">
      <c r="D2713" s="8"/>
      <c r="E2713" s="8"/>
      <c r="F2713" s="8"/>
    </row>
    <row r="2714" spans="4:6">
      <c r="D2714" s="8"/>
      <c r="E2714" s="8"/>
      <c r="F2714" s="8"/>
    </row>
    <row r="2715" spans="4:6">
      <c r="D2715" s="8"/>
      <c r="E2715" s="8"/>
      <c r="F2715" s="8"/>
    </row>
    <row r="2716" spans="4:6">
      <c r="D2716" s="8"/>
      <c r="E2716" s="8"/>
      <c r="F2716" s="8"/>
    </row>
    <row r="2717" spans="4:6">
      <c r="D2717" s="8"/>
      <c r="E2717" s="8"/>
      <c r="F2717" s="8"/>
    </row>
    <row r="2718" spans="4:6">
      <c r="D2718" s="8"/>
      <c r="E2718" s="8"/>
      <c r="F2718" s="8"/>
    </row>
    <row r="2719" spans="4:6">
      <c r="D2719" s="8"/>
      <c r="E2719" s="8"/>
      <c r="F2719" s="8"/>
    </row>
    <row r="2720" spans="4:6">
      <c r="D2720" s="8"/>
      <c r="E2720" s="8"/>
      <c r="F2720" s="8"/>
    </row>
    <row r="2721" spans="4:6">
      <c r="D2721" s="8"/>
      <c r="E2721" s="8"/>
      <c r="F2721" s="8"/>
    </row>
    <row r="2722" spans="4:6">
      <c r="D2722" s="8"/>
      <c r="E2722" s="8"/>
      <c r="F2722" s="8"/>
    </row>
    <row r="2723" spans="4:6">
      <c r="D2723" s="8"/>
      <c r="E2723" s="8"/>
      <c r="F2723" s="8"/>
    </row>
    <row r="2724" spans="4:6">
      <c r="D2724" s="8"/>
      <c r="E2724" s="8"/>
      <c r="F2724" s="8"/>
    </row>
    <row r="2725" spans="4:6">
      <c r="D2725" s="8"/>
      <c r="E2725" s="8"/>
      <c r="F2725" s="8"/>
    </row>
    <row r="2726" spans="4:6">
      <c r="D2726" s="8"/>
      <c r="E2726" s="8"/>
      <c r="F2726" s="8"/>
    </row>
    <row r="2727" spans="4:6">
      <c r="D2727" s="8"/>
      <c r="E2727" s="8"/>
      <c r="F2727" s="8"/>
    </row>
    <row r="2728" spans="4:6">
      <c r="D2728" s="8"/>
      <c r="E2728" s="8"/>
      <c r="F2728" s="8"/>
    </row>
    <row r="2729" spans="4:6">
      <c r="D2729" s="8"/>
      <c r="E2729" s="8"/>
      <c r="F2729" s="8"/>
    </row>
    <row r="2730" spans="4:6">
      <c r="D2730" s="8"/>
      <c r="E2730" s="8"/>
      <c r="F2730" s="8"/>
    </row>
    <row r="2731" spans="4:6">
      <c r="D2731" s="8"/>
      <c r="E2731" s="8"/>
      <c r="F2731" s="8"/>
    </row>
    <row r="2732" spans="4:6">
      <c r="D2732" s="8"/>
      <c r="E2732" s="8"/>
      <c r="F2732" s="8"/>
    </row>
    <row r="2733" spans="4:6">
      <c r="D2733" s="8"/>
      <c r="E2733" s="8"/>
      <c r="F2733" s="8"/>
    </row>
    <row r="2734" spans="4:6">
      <c r="D2734" s="8"/>
      <c r="E2734" s="8"/>
      <c r="F2734" s="8"/>
    </row>
    <row r="2735" spans="4:6">
      <c r="D2735" s="8"/>
      <c r="E2735" s="8"/>
      <c r="F2735" s="8"/>
    </row>
    <row r="2736" spans="4:6">
      <c r="D2736" s="8"/>
      <c r="E2736" s="8"/>
      <c r="F2736" s="8"/>
    </row>
    <row r="2737" spans="4:6">
      <c r="D2737" s="8"/>
      <c r="E2737" s="8"/>
      <c r="F2737" s="8"/>
    </row>
    <row r="2738" spans="4:6">
      <c r="D2738" s="8"/>
      <c r="E2738" s="8"/>
      <c r="F2738" s="8"/>
    </row>
    <row r="2739" spans="4:6">
      <c r="D2739" s="8"/>
      <c r="E2739" s="8"/>
      <c r="F2739" s="8"/>
    </row>
    <row r="2740" spans="4:6">
      <c r="D2740" s="8"/>
      <c r="E2740" s="8"/>
      <c r="F2740" s="8"/>
    </row>
    <row r="2741" spans="4:6">
      <c r="D2741" s="8"/>
      <c r="E2741" s="8"/>
      <c r="F2741" s="8"/>
    </row>
    <row r="2742" spans="4:6">
      <c r="D2742" s="8"/>
      <c r="E2742" s="8"/>
      <c r="F2742" s="8"/>
    </row>
    <row r="2743" spans="4:6">
      <c r="D2743" s="8"/>
      <c r="E2743" s="8"/>
      <c r="F2743" s="8"/>
    </row>
    <row r="2744" spans="4:6">
      <c r="D2744" s="8"/>
      <c r="E2744" s="8"/>
      <c r="F2744" s="8"/>
    </row>
    <row r="2745" spans="4:6">
      <c r="D2745" s="8"/>
      <c r="E2745" s="8"/>
      <c r="F2745" s="8"/>
    </row>
    <row r="2746" spans="4:6">
      <c r="D2746" s="8"/>
      <c r="E2746" s="8"/>
      <c r="F2746" s="8"/>
    </row>
    <row r="2747" spans="4:6">
      <c r="D2747" s="8"/>
      <c r="E2747" s="8"/>
      <c r="F2747" s="8"/>
    </row>
    <row r="2748" spans="4:6">
      <c r="D2748" s="8"/>
      <c r="E2748" s="8"/>
      <c r="F2748" s="8"/>
    </row>
    <row r="2749" spans="4:6">
      <c r="D2749" s="8"/>
      <c r="E2749" s="8"/>
      <c r="F2749" s="8"/>
    </row>
    <row r="2750" spans="4:6">
      <c r="D2750" s="8"/>
      <c r="E2750" s="8"/>
      <c r="F2750" s="8"/>
    </row>
    <row r="2751" spans="4:6">
      <c r="D2751" s="8"/>
      <c r="E2751" s="8"/>
      <c r="F2751" s="8"/>
    </row>
    <row r="2752" spans="4:6">
      <c r="D2752" s="8"/>
      <c r="E2752" s="8"/>
      <c r="F2752" s="8"/>
    </row>
    <row r="2753" spans="4:6">
      <c r="D2753" s="8"/>
      <c r="E2753" s="8"/>
      <c r="F2753" s="8"/>
    </row>
    <row r="2754" spans="4:6">
      <c r="D2754" s="8"/>
      <c r="E2754" s="8"/>
      <c r="F2754" s="8"/>
    </row>
    <row r="2755" spans="4:6">
      <c r="D2755" s="8"/>
      <c r="E2755" s="8"/>
      <c r="F2755" s="8"/>
    </row>
    <row r="2756" spans="4:6">
      <c r="D2756" s="8"/>
      <c r="E2756" s="8"/>
      <c r="F2756" s="8"/>
    </row>
    <row r="2757" spans="4:6">
      <c r="D2757" s="8"/>
      <c r="E2757" s="8"/>
      <c r="F2757" s="8"/>
    </row>
    <row r="2758" spans="4:6">
      <c r="D2758" s="8"/>
      <c r="E2758" s="8"/>
      <c r="F2758" s="8"/>
    </row>
    <row r="2759" spans="4:6">
      <c r="D2759" s="8"/>
      <c r="E2759" s="8"/>
      <c r="F2759" s="8"/>
    </row>
    <row r="2760" spans="4:6">
      <c r="D2760" s="8"/>
      <c r="E2760" s="8"/>
      <c r="F2760" s="8"/>
    </row>
    <row r="2761" spans="4:6">
      <c r="D2761" s="8"/>
      <c r="E2761" s="8"/>
      <c r="F2761" s="8"/>
    </row>
    <row r="2762" spans="4:6">
      <c r="D2762" s="8"/>
      <c r="E2762" s="8"/>
      <c r="F2762" s="8"/>
    </row>
    <row r="2763" spans="4:6">
      <c r="D2763" s="8"/>
      <c r="E2763" s="8"/>
      <c r="F2763" s="8"/>
    </row>
    <row r="2764" spans="4:6">
      <c r="D2764" s="8"/>
      <c r="E2764" s="8"/>
      <c r="F2764" s="8"/>
    </row>
    <row r="2765" spans="4:6">
      <c r="D2765" s="8"/>
      <c r="E2765" s="8"/>
      <c r="F2765" s="8"/>
    </row>
    <row r="2766" spans="4:6">
      <c r="D2766" s="8"/>
      <c r="E2766" s="8"/>
      <c r="F2766" s="8"/>
    </row>
    <row r="2767" spans="4:6">
      <c r="D2767" s="8"/>
      <c r="E2767" s="8"/>
      <c r="F2767" s="8"/>
    </row>
    <row r="2768" spans="4:6">
      <c r="D2768" s="8"/>
      <c r="E2768" s="8"/>
      <c r="F2768" s="8"/>
    </row>
    <row r="2769" spans="4:6">
      <c r="D2769" s="8"/>
      <c r="E2769" s="8"/>
      <c r="F2769" s="8"/>
    </row>
    <row r="2770" spans="4:6">
      <c r="D2770" s="8"/>
      <c r="E2770" s="8"/>
      <c r="F2770" s="8"/>
    </row>
    <row r="2771" spans="4:6">
      <c r="D2771" s="8"/>
      <c r="E2771" s="8"/>
      <c r="F2771" s="8"/>
    </row>
    <row r="2772" spans="4:6">
      <c r="D2772" s="8"/>
      <c r="E2772" s="8"/>
      <c r="F2772" s="8"/>
    </row>
    <row r="2773" spans="4:6">
      <c r="D2773" s="8"/>
      <c r="E2773" s="8"/>
      <c r="F2773" s="8"/>
    </row>
    <row r="2774" spans="4:6">
      <c r="D2774" s="8"/>
      <c r="E2774" s="8"/>
      <c r="F2774" s="8"/>
    </row>
    <row r="2775" spans="4:6">
      <c r="D2775" s="8"/>
      <c r="E2775" s="8"/>
      <c r="F2775" s="8"/>
    </row>
    <row r="2776" spans="4:6">
      <c r="D2776" s="8"/>
      <c r="E2776" s="8"/>
      <c r="F2776" s="8"/>
    </row>
    <row r="2777" spans="4:6">
      <c r="D2777" s="8"/>
      <c r="E2777" s="8"/>
      <c r="F2777" s="8"/>
    </row>
    <row r="2778" spans="4:6">
      <c r="D2778" s="8"/>
      <c r="E2778" s="8"/>
      <c r="F2778" s="8"/>
    </row>
    <row r="2779" spans="4:6">
      <c r="D2779" s="8"/>
      <c r="E2779" s="8"/>
      <c r="F2779" s="8"/>
    </row>
    <row r="2780" spans="4:6">
      <c r="D2780" s="8"/>
      <c r="E2780" s="8"/>
      <c r="F2780" s="8"/>
    </row>
    <row r="2781" spans="4:6">
      <c r="D2781" s="8"/>
      <c r="E2781" s="8"/>
      <c r="F2781" s="8"/>
    </row>
    <row r="2782" spans="4:6">
      <c r="D2782" s="8"/>
      <c r="E2782" s="8"/>
      <c r="F2782" s="8"/>
    </row>
    <row r="2783" spans="4:6">
      <c r="D2783" s="8"/>
      <c r="E2783" s="8"/>
      <c r="F2783" s="8"/>
    </row>
    <row r="2784" spans="4:6">
      <c r="D2784" s="8"/>
      <c r="E2784" s="8"/>
      <c r="F2784" s="8"/>
    </row>
    <row r="2785" spans="4:6">
      <c r="D2785" s="8"/>
      <c r="E2785" s="8"/>
      <c r="F2785" s="8"/>
    </row>
    <row r="2786" spans="4:6">
      <c r="D2786" s="8"/>
      <c r="E2786" s="8"/>
      <c r="F2786" s="8"/>
    </row>
    <row r="2787" spans="4:6">
      <c r="D2787" s="8"/>
      <c r="E2787" s="8"/>
      <c r="F2787" s="8"/>
    </row>
    <row r="2788" spans="4:6">
      <c r="D2788" s="8"/>
      <c r="E2788" s="8"/>
      <c r="F2788" s="8"/>
    </row>
    <row r="2789" spans="4:6">
      <c r="D2789" s="8"/>
      <c r="E2789" s="8"/>
      <c r="F2789" s="8"/>
    </row>
    <row r="2790" spans="4:6">
      <c r="D2790" s="8"/>
      <c r="E2790" s="8"/>
      <c r="F2790" s="8"/>
    </row>
    <row r="2791" spans="4:6">
      <c r="D2791" s="8"/>
      <c r="E2791" s="8"/>
      <c r="F2791" s="8"/>
    </row>
    <row r="2792" spans="4:6">
      <c r="D2792" s="8"/>
      <c r="E2792" s="8"/>
      <c r="F2792" s="8"/>
    </row>
    <row r="2793" spans="4:6">
      <c r="D2793" s="8"/>
      <c r="E2793" s="8"/>
      <c r="F2793" s="8"/>
    </row>
    <row r="2794" spans="4:6">
      <c r="D2794" s="8"/>
      <c r="E2794" s="8"/>
      <c r="F2794" s="8"/>
    </row>
    <row r="2795" spans="4:6">
      <c r="D2795" s="8"/>
      <c r="E2795" s="8"/>
      <c r="F2795" s="8"/>
    </row>
    <row r="2796" spans="4:6">
      <c r="D2796" s="8"/>
      <c r="E2796" s="8"/>
      <c r="F2796" s="8"/>
    </row>
    <row r="2797" spans="4:6">
      <c r="D2797" s="8"/>
      <c r="E2797" s="8"/>
      <c r="F2797" s="8"/>
    </row>
    <row r="2798" spans="4:6">
      <c r="D2798" s="8"/>
      <c r="E2798" s="8"/>
      <c r="F2798" s="8"/>
    </row>
    <row r="2799" spans="4:6">
      <c r="D2799" s="8"/>
      <c r="E2799" s="8"/>
      <c r="F2799" s="8"/>
    </row>
    <row r="2800" spans="4:6">
      <c r="D2800" s="8"/>
      <c r="E2800" s="8"/>
      <c r="F2800" s="8"/>
    </row>
    <row r="2801" spans="4:6">
      <c r="D2801" s="8"/>
      <c r="E2801" s="8"/>
      <c r="F2801" s="8"/>
    </row>
    <row r="2802" spans="4:6">
      <c r="D2802" s="8"/>
      <c r="E2802" s="8"/>
      <c r="F2802" s="8"/>
    </row>
    <row r="2803" spans="4:6">
      <c r="D2803" s="8"/>
      <c r="E2803" s="8"/>
      <c r="F2803" s="8"/>
    </row>
    <row r="2804" spans="4:6">
      <c r="D2804" s="8"/>
      <c r="E2804" s="8"/>
      <c r="F2804" s="8"/>
    </row>
    <row r="2805" spans="4:6">
      <c r="D2805" s="8"/>
      <c r="E2805" s="8"/>
      <c r="F2805" s="8"/>
    </row>
    <row r="2806" spans="4:6">
      <c r="D2806" s="8"/>
      <c r="E2806" s="8"/>
      <c r="F2806" s="8"/>
    </row>
    <row r="2807" spans="4:6">
      <c r="D2807" s="8"/>
      <c r="E2807" s="8"/>
      <c r="F2807" s="8"/>
    </row>
    <row r="2808" spans="4:6">
      <c r="D2808" s="8"/>
      <c r="E2808" s="8"/>
      <c r="F2808" s="8"/>
    </row>
    <row r="2809" spans="4:6">
      <c r="D2809" s="8"/>
      <c r="E2809" s="8"/>
      <c r="F2809" s="8"/>
    </row>
    <row r="2810" spans="4:6">
      <c r="D2810" s="8"/>
      <c r="E2810" s="8"/>
      <c r="F2810" s="8"/>
    </row>
    <row r="2811" spans="4:6">
      <c r="D2811" s="8"/>
      <c r="E2811" s="8"/>
      <c r="F2811" s="8"/>
    </row>
    <row r="2812" spans="4:6">
      <c r="D2812" s="8"/>
      <c r="E2812" s="8"/>
      <c r="F2812" s="8"/>
    </row>
    <row r="2813" spans="4:6">
      <c r="D2813" s="8"/>
      <c r="E2813" s="8"/>
      <c r="F2813" s="8"/>
    </row>
    <row r="2814" spans="4:6">
      <c r="D2814" s="8"/>
      <c r="E2814" s="8"/>
      <c r="F2814" s="8"/>
    </row>
    <row r="2815" spans="4:6">
      <c r="D2815" s="8"/>
      <c r="E2815" s="8"/>
      <c r="F2815" s="8"/>
    </row>
    <row r="2816" spans="4:6">
      <c r="D2816" s="8"/>
      <c r="E2816" s="8"/>
      <c r="F2816" s="8"/>
    </row>
    <row r="2817" spans="4:6">
      <c r="D2817" s="8"/>
      <c r="E2817" s="8"/>
      <c r="F2817" s="8"/>
    </row>
    <row r="2818" spans="4:6">
      <c r="D2818" s="8"/>
      <c r="E2818" s="8"/>
      <c r="F2818" s="8"/>
    </row>
    <row r="2819" spans="4:6">
      <c r="D2819" s="8"/>
      <c r="E2819" s="8"/>
      <c r="F2819" s="8"/>
    </row>
    <row r="2820" spans="4:6">
      <c r="D2820" s="8"/>
      <c r="E2820" s="8"/>
      <c r="F2820" s="8"/>
    </row>
    <row r="2821" spans="4:6">
      <c r="D2821" s="8"/>
      <c r="E2821" s="8"/>
      <c r="F2821" s="8"/>
    </row>
    <row r="2822" spans="4:6">
      <c r="D2822" s="8"/>
      <c r="E2822" s="8"/>
      <c r="F2822" s="8"/>
    </row>
    <row r="2823" spans="4:6">
      <c r="D2823" s="8"/>
      <c r="E2823" s="8"/>
      <c r="F2823" s="8"/>
    </row>
    <row r="2824" spans="4:6">
      <c r="D2824" s="8"/>
      <c r="E2824" s="8"/>
      <c r="F2824" s="8"/>
    </row>
    <row r="2825" spans="4:6">
      <c r="D2825" s="8"/>
      <c r="E2825" s="8"/>
      <c r="F2825" s="8"/>
    </row>
    <row r="2826" spans="4:6">
      <c r="D2826" s="8"/>
      <c r="E2826" s="8"/>
      <c r="F2826" s="8"/>
    </row>
    <row r="2827" spans="4:6">
      <c r="D2827" s="8"/>
      <c r="E2827" s="8"/>
      <c r="F2827" s="8"/>
    </row>
    <row r="2828" spans="4:6">
      <c r="D2828" s="8"/>
      <c r="E2828" s="8"/>
      <c r="F2828" s="8"/>
    </row>
    <row r="2829" spans="4:6">
      <c r="D2829" s="8"/>
      <c r="E2829" s="8"/>
      <c r="F2829" s="8"/>
    </row>
    <row r="2830" spans="4:6">
      <c r="D2830" s="8"/>
      <c r="E2830" s="8"/>
      <c r="F2830" s="8"/>
    </row>
    <row r="2831" spans="4:6">
      <c r="D2831" s="8"/>
      <c r="E2831" s="8"/>
      <c r="F2831" s="8"/>
    </row>
    <row r="2832" spans="4:6">
      <c r="D2832" s="8"/>
      <c r="E2832" s="8"/>
      <c r="F2832" s="8"/>
    </row>
    <row r="2833" spans="4:6">
      <c r="D2833" s="8"/>
      <c r="E2833" s="8"/>
      <c r="F2833" s="8"/>
    </row>
    <row r="2834" spans="4:6">
      <c r="D2834" s="8"/>
      <c r="E2834" s="8"/>
      <c r="F2834" s="8"/>
    </row>
    <row r="2835" spans="4:6">
      <c r="D2835" s="8"/>
      <c r="E2835" s="8"/>
      <c r="F2835" s="8"/>
    </row>
    <row r="2836" spans="4:6">
      <c r="D2836" s="8"/>
      <c r="E2836" s="8"/>
      <c r="F2836" s="8"/>
    </row>
    <row r="2837" spans="4:6">
      <c r="D2837" s="8"/>
      <c r="E2837" s="8"/>
      <c r="F2837" s="8"/>
    </row>
    <row r="2838" spans="4:6">
      <c r="D2838" s="8"/>
      <c r="E2838" s="8"/>
      <c r="F2838" s="8"/>
    </row>
    <row r="2839" spans="4:6">
      <c r="D2839" s="8"/>
      <c r="E2839" s="8"/>
      <c r="F2839" s="8"/>
    </row>
    <row r="2840" spans="4:6">
      <c r="D2840" s="8"/>
      <c r="E2840" s="8"/>
      <c r="F2840" s="8"/>
    </row>
    <row r="2841" spans="4:6">
      <c r="D2841" s="8"/>
      <c r="E2841" s="8"/>
      <c r="F2841" s="8"/>
    </row>
    <row r="2842" spans="4:6">
      <c r="D2842" s="8"/>
      <c r="E2842" s="8"/>
      <c r="F2842" s="8"/>
    </row>
    <row r="2843" spans="4:6">
      <c r="D2843" s="8"/>
      <c r="E2843" s="8"/>
      <c r="F2843" s="8"/>
    </row>
    <row r="2844" spans="4:6">
      <c r="D2844" s="8"/>
      <c r="E2844" s="8"/>
      <c r="F2844" s="8"/>
    </row>
    <row r="2845" spans="4:6">
      <c r="D2845" s="8"/>
      <c r="E2845" s="8"/>
      <c r="F2845" s="8"/>
    </row>
    <row r="2846" spans="4:6">
      <c r="D2846" s="8"/>
      <c r="E2846" s="8"/>
      <c r="F2846" s="8"/>
    </row>
    <row r="2847" spans="4:6">
      <c r="D2847" s="8"/>
      <c r="E2847" s="8"/>
      <c r="F2847" s="8"/>
    </row>
    <row r="2848" spans="4:6">
      <c r="D2848" s="8"/>
      <c r="E2848" s="8"/>
      <c r="F2848" s="8"/>
    </row>
    <row r="2849" spans="4:6">
      <c r="D2849" s="8"/>
      <c r="E2849" s="8"/>
      <c r="F2849" s="8"/>
    </row>
    <row r="2850" spans="4:6">
      <c r="D2850" s="8"/>
      <c r="E2850" s="8"/>
      <c r="F2850" s="8"/>
    </row>
    <row r="2851" spans="4:6">
      <c r="D2851" s="8"/>
      <c r="E2851" s="8"/>
      <c r="F2851" s="8"/>
    </row>
    <row r="2852" spans="4:6">
      <c r="D2852" s="8"/>
      <c r="E2852" s="8"/>
      <c r="F2852" s="8"/>
    </row>
    <row r="2853" spans="4:6">
      <c r="D2853" s="8"/>
      <c r="E2853" s="8"/>
      <c r="F2853" s="8"/>
    </row>
    <row r="2854" spans="4:6">
      <c r="D2854" s="8"/>
      <c r="E2854" s="8"/>
      <c r="F2854" s="8"/>
    </row>
    <row r="2855" spans="4:6">
      <c r="D2855" s="8"/>
      <c r="E2855" s="8"/>
      <c r="F2855" s="8"/>
    </row>
    <row r="2856" spans="4:6">
      <c r="D2856" s="8"/>
      <c r="E2856" s="8"/>
      <c r="F2856" s="8"/>
    </row>
    <row r="2857" spans="4:6">
      <c r="D2857" s="8"/>
      <c r="E2857" s="8"/>
      <c r="F2857" s="8"/>
    </row>
    <row r="2858" spans="4:6">
      <c r="D2858" s="8"/>
      <c r="E2858" s="8"/>
      <c r="F2858" s="8"/>
    </row>
    <row r="2859" spans="4:6">
      <c r="D2859" s="8"/>
      <c r="E2859" s="8"/>
      <c r="F2859" s="8"/>
    </row>
    <row r="2860" spans="4:6">
      <c r="D2860" s="8"/>
      <c r="E2860" s="8"/>
      <c r="F2860" s="8"/>
    </row>
    <row r="2861" spans="4:6">
      <c r="D2861" s="8"/>
      <c r="E2861" s="8"/>
      <c r="F2861" s="8"/>
    </row>
    <row r="2862" spans="4:6">
      <c r="D2862" s="8"/>
      <c r="E2862" s="8"/>
      <c r="F2862" s="8"/>
    </row>
    <row r="2863" spans="4:6">
      <c r="D2863" s="8"/>
      <c r="E2863" s="8"/>
      <c r="F2863" s="8"/>
    </row>
    <row r="2864" spans="4:6">
      <c r="D2864" s="8"/>
      <c r="E2864" s="8"/>
      <c r="F2864" s="8"/>
    </row>
    <row r="2865" spans="4:6">
      <c r="D2865" s="8"/>
      <c r="E2865" s="8"/>
      <c r="F2865" s="8"/>
    </row>
    <row r="2866" spans="4:6">
      <c r="D2866" s="8"/>
      <c r="E2866" s="8"/>
      <c r="F2866" s="8"/>
    </row>
    <row r="2867" spans="4:6">
      <c r="D2867" s="8"/>
      <c r="E2867" s="8"/>
      <c r="F2867" s="8"/>
    </row>
    <row r="2868" spans="4:6">
      <c r="D2868" s="8"/>
      <c r="E2868" s="8"/>
      <c r="F2868" s="8"/>
    </row>
    <row r="2869" spans="4:6">
      <c r="D2869" s="8"/>
      <c r="E2869" s="8"/>
      <c r="F2869" s="8"/>
    </row>
    <row r="2870" spans="4:6">
      <c r="D2870" s="8"/>
      <c r="E2870" s="8"/>
      <c r="F2870" s="8"/>
    </row>
    <row r="2871" spans="4:6">
      <c r="D2871" s="8"/>
      <c r="E2871" s="8"/>
      <c r="F2871" s="8"/>
    </row>
    <row r="2872" spans="4:6">
      <c r="D2872" s="8"/>
      <c r="E2872" s="8"/>
      <c r="F2872" s="8"/>
    </row>
    <row r="2873" spans="4:6">
      <c r="D2873" s="8"/>
      <c r="E2873" s="8"/>
      <c r="F2873" s="8"/>
    </row>
    <row r="2874" spans="4:6">
      <c r="D2874" s="8"/>
      <c r="E2874" s="8"/>
      <c r="F2874" s="8"/>
    </row>
    <row r="2875" spans="4:6">
      <c r="D2875" s="8"/>
      <c r="E2875" s="8"/>
      <c r="F2875" s="8"/>
    </row>
    <row r="2876" spans="4:6">
      <c r="D2876" s="8"/>
      <c r="E2876" s="8"/>
      <c r="F2876" s="8"/>
    </row>
    <row r="2877" spans="4:6">
      <c r="D2877" s="8"/>
      <c r="E2877" s="8"/>
      <c r="F2877" s="8"/>
    </row>
    <row r="2878" spans="4:6">
      <c r="D2878" s="8"/>
      <c r="E2878" s="8"/>
      <c r="F2878" s="8"/>
    </row>
    <row r="2879" spans="4:6">
      <c r="D2879" s="8"/>
      <c r="E2879" s="8"/>
      <c r="F2879" s="8"/>
    </row>
    <row r="2880" spans="4:6">
      <c r="D2880" s="8"/>
      <c r="E2880" s="8"/>
      <c r="F2880" s="8"/>
    </row>
    <row r="2881" spans="4:6">
      <c r="D2881" s="8"/>
      <c r="E2881" s="8"/>
      <c r="F2881" s="8"/>
    </row>
    <row r="2882" spans="4:6">
      <c r="D2882" s="8"/>
      <c r="E2882" s="8"/>
      <c r="F2882" s="8"/>
    </row>
    <row r="2883" spans="4:6">
      <c r="D2883" s="8"/>
      <c r="E2883" s="8"/>
      <c r="F2883" s="8"/>
    </row>
    <row r="2884" spans="4:6">
      <c r="D2884" s="8"/>
      <c r="E2884" s="8"/>
      <c r="F2884" s="8"/>
    </row>
    <row r="2885" spans="4:6">
      <c r="D2885" s="8"/>
      <c r="E2885" s="8"/>
      <c r="F2885" s="8"/>
    </row>
    <row r="2886" spans="4:6">
      <c r="D2886" s="8"/>
      <c r="E2886" s="8"/>
      <c r="F2886" s="8"/>
    </row>
    <row r="2887" spans="4:6">
      <c r="D2887" s="8"/>
      <c r="E2887" s="8"/>
      <c r="F2887" s="8"/>
    </row>
    <row r="2888" spans="4:6">
      <c r="D2888" s="8"/>
      <c r="E2888" s="8"/>
      <c r="F2888" s="8"/>
    </row>
    <row r="2889" spans="4:6">
      <c r="D2889" s="8"/>
      <c r="E2889" s="8"/>
      <c r="F2889" s="8"/>
    </row>
    <row r="2890" spans="4:6">
      <c r="D2890" s="8"/>
      <c r="E2890" s="8"/>
      <c r="F2890" s="8"/>
    </row>
    <row r="2891" spans="4:6">
      <c r="D2891" s="8"/>
      <c r="E2891" s="8"/>
      <c r="F2891" s="8"/>
    </row>
    <row r="2892" spans="4:6">
      <c r="D2892" s="8"/>
      <c r="E2892" s="8"/>
      <c r="F2892" s="8"/>
    </row>
    <row r="2893" spans="4:6">
      <c r="D2893" s="8"/>
      <c r="E2893" s="8"/>
      <c r="F2893" s="8"/>
    </row>
    <row r="2894" spans="4:6">
      <c r="D2894" s="8"/>
      <c r="E2894" s="8"/>
      <c r="F2894" s="8"/>
    </row>
    <row r="2895" spans="4:6">
      <c r="D2895" s="8"/>
      <c r="E2895" s="8"/>
      <c r="F2895" s="8"/>
    </row>
    <row r="2896" spans="4:6">
      <c r="D2896" s="8"/>
      <c r="E2896" s="8"/>
      <c r="F2896" s="8"/>
    </row>
    <row r="2897" spans="4:6">
      <c r="D2897" s="8"/>
      <c r="E2897" s="8"/>
      <c r="F2897" s="8"/>
    </row>
    <row r="2898" spans="4:6">
      <c r="D2898" s="8"/>
      <c r="E2898" s="8"/>
      <c r="F2898" s="8"/>
    </row>
    <row r="2899" spans="4:6">
      <c r="D2899" s="8"/>
      <c r="E2899" s="8"/>
      <c r="F2899" s="8"/>
    </row>
    <row r="2900" spans="4:6">
      <c r="D2900" s="8"/>
      <c r="E2900" s="8"/>
      <c r="F2900" s="8"/>
    </row>
    <row r="2901" spans="4:6">
      <c r="D2901" s="8"/>
      <c r="E2901" s="8"/>
      <c r="F2901" s="8"/>
    </row>
    <row r="2902" spans="4:6">
      <c r="D2902" s="8"/>
      <c r="E2902" s="8"/>
      <c r="F2902" s="8"/>
    </row>
    <row r="2903" spans="4:6">
      <c r="D2903" s="8"/>
      <c r="E2903" s="8"/>
      <c r="F2903" s="8"/>
    </row>
    <row r="2904" spans="4:6">
      <c r="D2904" s="8"/>
      <c r="E2904" s="8"/>
      <c r="F2904" s="8"/>
    </row>
    <row r="2905" spans="4:6">
      <c r="D2905" s="8"/>
      <c r="E2905" s="8"/>
      <c r="F2905" s="8"/>
    </row>
    <row r="2906" spans="4:6">
      <c r="D2906" s="8"/>
      <c r="E2906" s="8"/>
      <c r="F2906" s="8"/>
    </row>
    <row r="2907" spans="4:6">
      <c r="D2907" s="8"/>
      <c r="E2907" s="8"/>
      <c r="F2907" s="8"/>
    </row>
    <row r="2908" spans="4:6">
      <c r="D2908" s="8"/>
      <c r="E2908" s="8"/>
      <c r="F2908" s="8"/>
    </row>
    <row r="2909" spans="4:6">
      <c r="D2909" s="8"/>
      <c r="E2909" s="8"/>
      <c r="F2909" s="8"/>
    </row>
    <row r="2910" spans="4:6">
      <c r="D2910" s="8"/>
      <c r="E2910" s="8"/>
      <c r="F2910" s="8"/>
    </row>
    <row r="2911" spans="4:6">
      <c r="D2911" s="8"/>
      <c r="E2911" s="8"/>
      <c r="F2911" s="8"/>
    </row>
    <row r="2912" spans="4:6">
      <c r="D2912" s="8"/>
      <c r="E2912" s="8"/>
      <c r="F2912" s="8"/>
    </row>
    <row r="2913" spans="4:6">
      <c r="D2913" s="8"/>
      <c r="E2913" s="8"/>
      <c r="F2913" s="8"/>
    </row>
    <row r="2914" spans="4:6">
      <c r="D2914" s="8"/>
      <c r="E2914" s="8"/>
      <c r="F2914" s="8"/>
    </row>
    <row r="2915" spans="4:6">
      <c r="D2915" s="8"/>
      <c r="E2915" s="8"/>
      <c r="F2915" s="8"/>
    </row>
    <row r="2916" spans="4:6">
      <c r="D2916" s="8"/>
      <c r="E2916" s="8"/>
      <c r="F2916" s="8"/>
    </row>
    <row r="2917" spans="4:6">
      <c r="D2917" s="8"/>
      <c r="E2917" s="8"/>
      <c r="F2917" s="8"/>
    </row>
    <row r="2918" spans="4:6">
      <c r="D2918" s="8"/>
      <c r="E2918" s="8"/>
      <c r="F2918" s="8"/>
    </row>
    <row r="2919" spans="4:6">
      <c r="D2919" s="8"/>
      <c r="E2919" s="8"/>
      <c r="F2919" s="8"/>
    </row>
    <row r="2920" spans="4:6">
      <c r="D2920" s="8"/>
      <c r="E2920" s="8"/>
      <c r="F2920" s="8"/>
    </row>
    <row r="2921" spans="4:6">
      <c r="D2921" s="8"/>
      <c r="E2921" s="8"/>
      <c r="F2921" s="8"/>
    </row>
    <row r="2922" spans="4:6">
      <c r="D2922" s="8"/>
      <c r="E2922" s="8"/>
      <c r="F2922" s="8"/>
    </row>
    <row r="2923" spans="4:6">
      <c r="D2923" s="8"/>
      <c r="E2923" s="8"/>
      <c r="F2923" s="8"/>
    </row>
    <row r="2924" spans="4:6">
      <c r="D2924" s="8"/>
      <c r="E2924" s="8"/>
      <c r="F2924" s="8"/>
    </row>
    <row r="2925" spans="4:6">
      <c r="D2925" s="8"/>
      <c r="E2925" s="8"/>
      <c r="F2925" s="8"/>
    </row>
    <row r="2926" spans="4:6">
      <c r="D2926" s="8"/>
      <c r="E2926" s="8"/>
      <c r="F2926" s="8"/>
    </row>
    <row r="2927" spans="4:6">
      <c r="D2927" s="8"/>
      <c r="E2927" s="8"/>
      <c r="F2927" s="8"/>
    </row>
    <row r="2928" spans="4:6">
      <c r="D2928" s="8"/>
      <c r="E2928" s="8"/>
      <c r="F2928" s="8"/>
    </row>
    <row r="2929" spans="4:6">
      <c r="D2929" s="8"/>
      <c r="E2929" s="8"/>
      <c r="F2929" s="8"/>
    </row>
    <row r="2930" spans="4:6">
      <c r="D2930" s="8"/>
      <c r="E2930" s="8"/>
      <c r="F2930" s="8"/>
    </row>
    <row r="2931" spans="4:6">
      <c r="D2931" s="8"/>
      <c r="E2931" s="8"/>
      <c r="F2931" s="8"/>
    </row>
    <row r="2932" spans="4:6">
      <c r="D2932" s="8"/>
      <c r="E2932" s="8"/>
      <c r="F2932" s="8"/>
    </row>
    <row r="2933" spans="4:6">
      <c r="D2933" s="8"/>
      <c r="E2933" s="8"/>
      <c r="F2933" s="8"/>
    </row>
    <row r="2934" spans="4:6">
      <c r="D2934" s="8"/>
      <c r="E2934" s="8"/>
      <c r="F2934" s="8"/>
    </row>
    <row r="2935" spans="4:6">
      <c r="D2935" s="8"/>
      <c r="E2935" s="8"/>
      <c r="F2935" s="8"/>
    </row>
    <row r="2936" spans="4:6">
      <c r="D2936" s="8"/>
      <c r="E2936" s="8"/>
      <c r="F2936" s="8"/>
    </row>
    <row r="2937" spans="4:6">
      <c r="D2937" s="8"/>
      <c r="E2937" s="8"/>
      <c r="F2937" s="8"/>
    </row>
    <row r="2938" spans="4:6">
      <c r="D2938" s="8"/>
      <c r="E2938" s="8"/>
      <c r="F2938" s="8"/>
    </row>
    <row r="2939" spans="4:6">
      <c r="D2939" s="8"/>
      <c r="E2939" s="8"/>
      <c r="F2939" s="8"/>
    </row>
    <row r="2940" spans="4:6">
      <c r="D2940" s="8"/>
      <c r="E2940" s="8"/>
      <c r="F2940" s="8"/>
    </row>
    <row r="2941" spans="4:6">
      <c r="D2941" s="8"/>
      <c r="E2941" s="8"/>
      <c r="F2941" s="8"/>
    </row>
    <row r="2942" spans="4:6">
      <c r="D2942" s="8"/>
      <c r="E2942" s="8"/>
      <c r="F2942" s="8"/>
    </row>
    <row r="2943" spans="4:6">
      <c r="D2943" s="8"/>
      <c r="E2943" s="8"/>
      <c r="F2943" s="8"/>
    </row>
    <row r="2944" spans="4:6">
      <c r="D2944" s="8"/>
      <c r="E2944" s="8"/>
      <c r="F2944" s="8"/>
    </row>
    <row r="2945" spans="4:6">
      <c r="D2945" s="8"/>
      <c r="E2945" s="8"/>
      <c r="F2945" s="8"/>
    </row>
    <row r="2946" spans="4:6">
      <c r="D2946" s="8"/>
      <c r="E2946" s="8"/>
      <c r="F2946" s="8"/>
    </row>
    <row r="2947" spans="4:6">
      <c r="D2947" s="8"/>
      <c r="E2947" s="8"/>
      <c r="F2947" s="8"/>
    </row>
    <row r="2948" spans="4:6">
      <c r="D2948" s="8"/>
      <c r="E2948" s="8"/>
      <c r="F2948" s="8"/>
    </row>
    <row r="2949" spans="4:6">
      <c r="D2949" s="8"/>
      <c r="E2949" s="8"/>
      <c r="F2949" s="8"/>
    </row>
    <row r="2950" spans="4:6">
      <c r="D2950" s="8"/>
      <c r="E2950" s="8"/>
      <c r="F2950" s="8"/>
    </row>
    <row r="2951" spans="4:6">
      <c r="D2951" s="8"/>
      <c r="E2951" s="8"/>
      <c r="F2951" s="8"/>
    </row>
    <row r="2952" spans="4:6">
      <c r="D2952" s="8"/>
      <c r="E2952" s="8"/>
      <c r="F2952" s="8"/>
    </row>
    <row r="2953" spans="4:6">
      <c r="D2953" s="8"/>
      <c r="E2953" s="8"/>
      <c r="F2953" s="8"/>
    </row>
    <row r="2954" spans="4:6">
      <c r="D2954" s="8"/>
      <c r="E2954" s="8"/>
      <c r="F2954" s="8"/>
    </row>
    <row r="2955" spans="4:6">
      <c r="D2955" s="8"/>
      <c r="E2955" s="8"/>
      <c r="F2955" s="8"/>
    </row>
    <row r="2956" spans="4:6">
      <c r="D2956" s="8"/>
      <c r="E2956" s="8"/>
      <c r="F2956" s="8"/>
    </row>
    <row r="2957" spans="4:6">
      <c r="D2957" s="8"/>
      <c r="E2957" s="8"/>
      <c r="F2957" s="8"/>
    </row>
    <row r="2958" spans="4:6">
      <c r="D2958" s="8"/>
      <c r="E2958" s="8"/>
      <c r="F2958" s="8"/>
    </row>
    <row r="2959" spans="4:6">
      <c r="D2959" s="8"/>
      <c r="E2959" s="8"/>
      <c r="F2959" s="8"/>
    </row>
    <row r="2960" spans="4:6">
      <c r="D2960" s="8"/>
      <c r="E2960" s="8"/>
      <c r="F2960" s="8"/>
    </row>
    <row r="2961" spans="4:6">
      <c r="D2961" s="8"/>
      <c r="E2961" s="8"/>
      <c r="F2961" s="8"/>
    </row>
    <row r="2962" spans="4:6">
      <c r="D2962" s="8"/>
      <c r="E2962" s="8"/>
      <c r="F2962" s="8"/>
    </row>
    <row r="2963" spans="4:6">
      <c r="D2963" s="8"/>
      <c r="E2963" s="8"/>
      <c r="F2963" s="8"/>
    </row>
    <row r="2964" spans="4:6">
      <c r="D2964" s="8"/>
      <c r="E2964" s="8"/>
      <c r="F2964" s="8"/>
    </row>
    <row r="2965" spans="4:6">
      <c r="D2965" s="8"/>
      <c r="E2965" s="8"/>
      <c r="F2965" s="8"/>
    </row>
    <row r="2966" spans="4:6">
      <c r="D2966" s="8"/>
      <c r="E2966" s="8"/>
      <c r="F2966" s="8"/>
    </row>
    <row r="2967" spans="4:6">
      <c r="D2967" s="8"/>
      <c r="E2967" s="8"/>
      <c r="F2967" s="8"/>
    </row>
    <row r="2968" spans="4:6">
      <c r="D2968" s="8"/>
      <c r="E2968" s="8"/>
      <c r="F2968" s="8"/>
    </row>
    <row r="2969" spans="4:6">
      <c r="D2969" s="8"/>
      <c r="E2969" s="8"/>
      <c r="F2969" s="8"/>
    </row>
    <row r="2970" spans="4:6">
      <c r="D2970" s="8"/>
      <c r="E2970" s="8"/>
      <c r="F2970" s="8"/>
    </row>
    <row r="2971" spans="4:6">
      <c r="D2971" s="8"/>
      <c r="E2971" s="8"/>
      <c r="F2971" s="8"/>
    </row>
    <row r="2972" spans="4:6">
      <c r="D2972" s="8"/>
      <c r="E2972" s="8"/>
      <c r="F2972" s="8"/>
    </row>
    <row r="2973" spans="4:6">
      <c r="D2973" s="8"/>
      <c r="E2973" s="8"/>
      <c r="F2973" s="8"/>
    </row>
    <row r="2974" spans="4:6">
      <c r="D2974" s="8"/>
      <c r="E2974" s="8"/>
      <c r="F2974" s="8"/>
    </row>
    <row r="2975" spans="4:6">
      <c r="D2975" s="8"/>
      <c r="E2975" s="8"/>
      <c r="F2975" s="8"/>
    </row>
    <row r="2976" spans="4:6">
      <c r="D2976" s="8"/>
      <c r="E2976" s="8"/>
      <c r="F2976" s="8"/>
    </row>
    <row r="2977" spans="4:6">
      <c r="D2977" s="8"/>
      <c r="E2977" s="8"/>
      <c r="F2977" s="8"/>
    </row>
    <row r="2978" spans="4:6">
      <c r="D2978" s="8"/>
      <c r="E2978" s="8"/>
      <c r="F2978" s="8"/>
    </row>
    <row r="2979" spans="4:6">
      <c r="D2979" s="8"/>
      <c r="E2979" s="8"/>
      <c r="F2979" s="8"/>
    </row>
    <row r="2980" spans="4:6">
      <c r="D2980" s="8"/>
      <c r="E2980" s="8"/>
      <c r="F2980" s="8"/>
    </row>
    <row r="2981" spans="4:6">
      <c r="D2981" s="8"/>
      <c r="E2981" s="8"/>
      <c r="F2981" s="8"/>
    </row>
    <row r="2982" spans="4:6">
      <c r="D2982" s="8"/>
      <c r="E2982" s="8"/>
      <c r="F2982" s="8"/>
    </row>
    <row r="2983" spans="4:6">
      <c r="D2983" s="8"/>
      <c r="E2983" s="8"/>
      <c r="F2983" s="8"/>
    </row>
    <row r="2984" spans="4:6">
      <c r="D2984" s="8"/>
      <c r="E2984" s="8"/>
      <c r="F2984" s="8"/>
    </row>
    <row r="2985" spans="4:6">
      <c r="D2985" s="8"/>
      <c r="E2985" s="8"/>
      <c r="F2985" s="8"/>
    </row>
    <row r="2986" spans="4:6">
      <c r="D2986" s="8"/>
      <c r="E2986" s="8"/>
      <c r="F2986" s="8"/>
    </row>
    <row r="2987" spans="4:6">
      <c r="D2987" s="8"/>
      <c r="E2987" s="8"/>
      <c r="F2987" s="8"/>
    </row>
    <row r="2988" spans="4:6">
      <c r="D2988" s="8"/>
      <c r="E2988" s="8"/>
      <c r="F2988" s="8"/>
    </row>
    <row r="2989" spans="4:6">
      <c r="D2989" s="8"/>
      <c r="E2989" s="8"/>
      <c r="F2989" s="8"/>
    </row>
    <row r="2990" spans="4:6">
      <c r="D2990" s="8"/>
      <c r="E2990" s="8"/>
      <c r="F2990" s="8"/>
    </row>
    <row r="2991" spans="4:6">
      <c r="D2991" s="8"/>
      <c r="E2991" s="8"/>
      <c r="F2991" s="8"/>
    </row>
    <row r="2992" spans="4:6">
      <c r="D2992" s="8"/>
      <c r="E2992" s="8"/>
      <c r="F2992" s="8"/>
    </row>
    <row r="2993" spans="4:6">
      <c r="D2993" s="8"/>
      <c r="E2993" s="8"/>
      <c r="F2993" s="8"/>
    </row>
    <row r="2994" spans="4:6">
      <c r="D2994" s="8"/>
      <c r="E2994" s="8"/>
      <c r="F2994" s="8"/>
    </row>
    <row r="2995" spans="4:6">
      <c r="D2995" s="8"/>
      <c r="E2995" s="8"/>
      <c r="F2995" s="8"/>
    </row>
    <row r="2996" spans="4:6">
      <c r="D2996" s="8"/>
      <c r="E2996" s="8"/>
      <c r="F2996" s="8"/>
    </row>
    <row r="2997" spans="4:6">
      <c r="D2997" s="8"/>
      <c r="E2997" s="8"/>
      <c r="F2997" s="8"/>
    </row>
    <row r="2998" spans="4:6">
      <c r="D2998" s="8"/>
      <c r="E2998" s="8"/>
      <c r="F2998" s="8"/>
    </row>
    <row r="2999" spans="4:6">
      <c r="D2999" s="8"/>
      <c r="E2999" s="8"/>
      <c r="F2999" s="8"/>
    </row>
    <row r="3000" spans="4:6">
      <c r="D3000" s="8"/>
      <c r="E3000" s="8"/>
      <c r="F3000" s="8"/>
    </row>
    <row r="3001" spans="4:6">
      <c r="D3001" s="8"/>
      <c r="E3001" s="8"/>
      <c r="F3001" s="8"/>
    </row>
    <row r="3002" spans="4:6">
      <c r="D3002" s="8"/>
      <c r="E3002" s="8"/>
      <c r="F3002" s="8"/>
    </row>
    <row r="3003" spans="4:6">
      <c r="D3003" s="8"/>
      <c r="E3003" s="8"/>
      <c r="F3003" s="8"/>
    </row>
    <row r="3004" spans="4:6">
      <c r="D3004" s="8"/>
      <c r="E3004" s="8"/>
      <c r="F3004" s="8"/>
    </row>
    <row r="3005" spans="4:6">
      <c r="D3005" s="8"/>
      <c r="E3005" s="8"/>
      <c r="F3005" s="8"/>
    </row>
    <row r="3006" spans="4:6">
      <c r="D3006" s="8"/>
      <c r="E3006" s="8"/>
      <c r="F3006" s="8"/>
    </row>
    <row r="3007" spans="4:6">
      <c r="D3007" s="8"/>
      <c r="E3007" s="8"/>
      <c r="F3007" s="8"/>
    </row>
    <row r="3008" spans="4:6">
      <c r="D3008" s="8"/>
      <c r="E3008" s="8"/>
      <c r="F3008" s="8"/>
    </row>
    <row r="3009" spans="4:6">
      <c r="D3009" s="8"/>
      <c r="E3009" s="8"/>
      <c r="F3009" s="8"/>
    </row>
    <row r="3010" spans="4:6">
      <c r="D3010" s="8"/>
      <c r="E3010" s="8"/>
      <c r="F3010" s="8"/>
    </row>
    <row r="3011" spans="4:6">
      <c r="D3011" s="8"/>
      <c r="E3011" s="8"/>
      <c r="F3011" s="8"/>
    </row>
    <row r="3012" spans="4:6">
      <c r="D3012" s="8"/>
      <c r="E3012" s="8"/>
      <c r="F3012" s="8"/>
    </row>
    <row r="3013" spans="4:6">
      <c r="D3013" s="8"/>
      <c r="E3013" s="8"/>
      <c r="F3013" s="8"/>
    </row>
    <row r="3014" spans="4:6">
      <c r="D3014" s="8"/>
      <c r="E3014" s="8"/>
      <c r="F3014" s="8"/>
    </row>
    <row r="3015" spans="4:6">
      <c r="D3015" s="8"/>
      <c r="E3015" s="8"/>
      <c r="F3015" s="8"/>
    </row>
    <row r="3016" spans="4:6">
      <c r="D3016" s="8"/>
      <c r="E3016" s="8"/>
      <c r="F3016" s="8"/>
    </row>
    <row r="3017" spans="4:6">
      <c r="D3017" s="8"/>
      <c r="E3017" s="8"/>
      <c r="F3017" s="8"/>
    </row>
    <row r="3018" spans="4:6">
      <c r="D3018" s="8"/>
      <c r="E3018" s="8"/>
      <c r="F3018" s="8"/>
    </row>
    <row r="3019" spans="4:6">
      <c r="D3019" s="8"/>
      <c r="E3019" s="8"/>
      <c r="F3019" s="8"/>
    </row>
    <row r="3020" spans="4:6">
      <c r="D3020" s="8"/>
      <c r="E3020" s="8"/>
      <c r="F3020" s="8"/>
    </row>
    <row r="3021" spans="4:6">
      <c r="D3021" s="8"/>
      <c r="E3021" s="8"/>
      <c r="F3021" s="8"/>
    </row>
    <row r="3022" spans="4:6">
      <c r="D3022" s="8"/>
      <c r="E3022" s="8"/>
      <c r="F3022" s="8"/>
    </row>
    <row r="3023" spans="4:6">
      <c r="D3023" s="8"/>
      <c r="E3023" s="8"/>
      <c r="F3023" s="8"/>
    </row>
    <row r="3024" spans="4:6">
      <c r="D3024" s="8"/>
      <c r="E3024" s="8"/>
      <c r="F3024" s="8"/>
    </row>
    <row r="3025" spans="4:6">
      <c r="D3025" s="8"/>
      <c r="E3025" s="8"/>
      <c r="F3025" s="8"/>
    </row>
    <row r="3026" spans="4:6">
      <c r="D3026" s="8"/>
      <c r="E3026" s="8"/>
      <c r="F3026" s="8"/>
    </row>
    <row r="3027" spans="4:6">
      <c r="D3027" s="8"/>
      <c r="E3027" s="8"/>
      <c r="F3027" s="8"/>
    </row>
    <row r="3028" spans="4:6">
      <c r="D3028" s="8"/>
      <c r="E3028" s="8"/>
      <c r="F3028" s="8"/>
    </row>
    <row r="3029" spans="4:6">
      <c r="D3029" s="8"/>
      <c r="E3029" s="8"/>
      <c r="F3029" s="8"/>
    </row>
    <row r="3030" spans="4:6">
      <c r="D3030" s="8"/>
      <c r="E3030" s="8"/>
      <c r="F3030" s="8"/>
    </row>
    <row r="3031" spans="4:6">
      <c r="D3031" s="8"/>
      <c r="E3031" s="8"/>
      <c r="F3031" s="8"/>
    </row>
    <row r="3032" spans="4:6">
      <c r="D3032" s="8"/>
      <c r="E3032" s="8"/>
      <c r="F3032" s="8"/>
    </row>
    <row r="3033" spans="4:6">
      <c r="D3033" s="8"/>
      <c r="E3033" s="8"/>
      <c r="F3033" s="8"/>
    </row>
    <row r="3034" spans="4:6">
      <c r="D3034" s="8"/>
      <c r="E3034" s="8"/>
      <c r="F3034" s="8"/>
    </row>
    <row r="3035" spans="4:6">
      <c r="D3035" s="8"/>
      <c r="E3035" s="8"/>
      <c r="F3035" s="8"/>
    </row>
    <row r="3036" spans="4:6">
      <c r="D3036" s="8"/>
      <c r="E3036" s="8"/>
      <c r="F3036" s="8"/>
    </row>
    <row r="3037" spans="4:6">
      <c r="D3037" s="8"/>
      <c r="E3037" s="8"/>
      <c r="F3037" s="8"/>
    </row>
    <row r="3038" spans="4:6">
      <c r="D3038" s="8"/>
      <c r="E3038" s="8"/>
      <c r="F3038" s="8"/>
    </row>
    <row r="3039" spans="4:6">
      <c r="D3039" s="8"/>
      <c r="E3039" s="8"/>
      <c r="F3039" s="8"/>
    </row>
    <row r="3040" spans="4:6">
      <c r="D3040" s="8"/>
      <c r="E3040" s="8"/>
      <c r="F3040" s="8"/>
    </row>
    <row r="3041" spans="4:6">
      <c r="D3041" s="8"/>
      <c r="E3041" s="8"/>
      <c r="F3041" s="8"/>
    </row>
    <row r="3042" spans="4:6">
      <c r="D3042" s="8"/>
      <c r="E3042" s="8"/>
      <c r="F3042" s="8"/>
    </row>
    <row r="3043" spans="4:6">
      <c r="D3043" s="8"/>
      <c r="E3043" s="8"/>
      <c r="F3043" s="8"/>
    </row>
    <row r="3044" spans="4:6">
      <c r="D3044" s="8"/>
      <c r="E3044" s="8"/>
      <c r="F3044" s="8"/>
    </row>
    <row r="3045" spans="4:6">
      <c r="D3045" s="8"/>
      <c r="E3045" s="8"/>
      <c r="F3045" s="8"/>
    </row>
    <row r="3046" spans="4:6">
      <c r="D3046" s="8"/>
      <c r="E3046" s="8"/>
      <c r="F3046" s="8"/>
    </row>
    <row r="3047" spans="4:6">
      <c r="D3047" s="8"/>
      <c r="E3047" s="8"/>
      <c r="F3047" s="8"/>
    </row>
    <row r="3048" spans="4:6">
      <c r="D3048" s="8"/>
      <c r="E3048" s="8"/>
      <c r="F3048" s="8"/>
    </row>
    <row r="3049" spans="4:6">
      <c r="D3049" s="8"/>
      <c r="E3049" s="8"/>
      <c r="F3049" s="8"/>
    </row>
    <row r="3050" spans="4:6">
      <c r="D3050" s="8"/>
      <c r="E3050" s="8"/>
      <c r="F3050" s="8"/>
    </row>
    <row r="3051" spans="4:6">
      <c r="D3051" s="8"/>
      <c r="E3051" s="8"/>
      <c r="F3051" s="8"/>
    </row>
    <row r="3052" spans="4:6">
      <c r="D3052" s="8"/>
      <c r="E3052" s="8"/>
      <c r="F3052" s="8"/>
    </row>
    <row r="3053" spans="4:6">
      <c r="D3053" s="8"/>
      <c r="E3053" s="8"/>
      <c r="F3053" s="8"/>
    </row>
    <row r="3054" spans="4:6">
      <c r="D3054" s="8"/>
      <c r="E3054" s="8"/>
      <c r="F3054" s="8"/>
    </row>
    <row r="3055" spans="4:6">
      <c r="D3055" s="8"/>
      <c r="E3055" s="8"/>
      <c r="F3055" s="8"/>
    </row>
    <row r="3056" spans="4:6">
      <c r="D3056" s="8"/>
      <c r="E3056" s="8"/>
      <c r="F3056" s="8"/>
    </row>
    <row r="3057" spans="4:6">
      <c r="D3057" s="8"/>
      <c r="E3057" s="8"/>
      <c r="F3057" s="8"/>
    </row>
    <row r="3058" spans="4:6">
      <c r="D3058" s="8"/>
      <c r="E3058" s="8"/>
      <c r="F3058" s="8"/>
    </row>
    <row r="3059" spans="4:6">
      <c r="D3059" s="8"/>
      <c r="E3059" s="8"/>
      <c r="F3059" s="8"/>
    </row>
    <row r="3060" spans="4:6">
      <c r="D3060" s="8"/>
      <c r="E3060" s="8"/>
      <c r="F3060" s="8"/>
    </row>
    <row r="3061" spans="4:6">
      <c r="D3061" s="8"/>
      <c r="E3061" s="8"/>
      <c r="F3061" s="8"/>
    </row>
    <row r="3062" spans="4:6">
      <c r="D3062" s="8"/>
      <c r="E3062" s="8"/>
      <c r="F3062" s="8"/>
    </row>
    <row r="3063" spans="4:6">
      <c r="D3063" s="8"/>
      <c r="E3063" s="8"/>
      <c r="F3063" s="8"/>
    </row>
    <row r="3064" spans="4:6">
      <c r="D3064" s="8"/>
      <c r="E3064" s="8"/>
      <c r="F3064" s="8"/>
    </row>
    <row r="3065" spans="4:6">
      <c r="D3065" s="8"/>
      <c r="E3065" s="8"/>
      <c r="F3065" s="8"/>
    </row>
    <row r="3066" spans="4:6">
      <c r="D3066" s="8"/>
      <c r="E3066" s="8"/>
      <c r="F3066" s="8"/>
    </row>
    <row r="3067" spans="4:6">
      <c r="D3067" s="8"/>
      <c r="E3067" s="8"/>
      <c r="F3067" s="8"/>
    </row>
    <row r="3068" spans="4:6">
      <c r="D3068" s="8"/>
      <c r="E3068" s="8"/>
      <c r="F3068" s="8"/>
    </row>
    <row r="3069" spans="4:6">
      <c r="D3069" s="8"/>
      <c r="E3069" s="8"/>
      <c r="F3069" s="8"/>
    </row>
    <row r="3070" spans="4:6">
      <c r="D3070" s="8"/>
      <c r="E3070" s="8"/>
      <c r="F3070" s="8"/>
    </row>
    <row r="3071" spans="4:6">
      <c r="D3071" s="8"/>
      <c r="E3071" s="8"/>
      <c r="F3071" s="8"/>
    </row>
    <row r="3072" spans="4:6">
      <c r="D3072" s="8"/>
      <c r="E3072" s="8"/>
      <c r="F3072" s="8"/>
    </row>
    <row r="3073" spans="4:6">
      <c r="D3073" s="8"/>
      <c r="E3073" s="8"/>
      <c r="F3073" s="8"/>
    </row>
    <row r="3074" spans="4:6">
      <c r="D3074" s="8"/>
      <c r="E3074" s="8"/>
      <c r="F3074" s="8"/>
    </row>
    <row r="3075" spans="4:6">
      <c r="D3075" s="8"/>
      <c r="E3075" s="8"/>
      <c r="F3075" s="8"/>
    </row>
    <row r="3076" spans="4:6">
      <c r="D3076" s="8"/>
      <c r="E3076" s="8"/>
      <c r="F3076" s="8"/>
    </row>
    <row r="3077" spans="4:6">
      <c r="D3077" s="8"/>
      <c r="E3077" s="8"/>
      <c r="F3077" s="8"/>
    </row>
    <row r="3078" spans="4:6">
      <c r="D3078" s="8"/>
      <c r="E3078" s="8"/>
      <c r="F3078" s="8"/>
    </row>
    <row r="3079" spans="4:6">
      <c r="D3079" s="8"/>
      <c r="E3079" s="8"/>
      <c r="F3079" s="8"/>
    </row>
    <row r="3080" spans="4:6">
      <c r="D3080" s="8"/>
      <c r="E3080" s="8"/>
      <c r="F3080" s="8"/>
    </row>
    <row r="3081" spans="4:6">
      <c r="D3081" s="8"/>
      <c r="E3081" s="8"/>
      <c r="F3081" s="8"/>
    </row>
    <row r="3082" spans="4:6">
      <c r="D3082" s="8"/>
      <c r="E3082" s="8"/>
      <c r="F3082" s="8"/>
    </row>
    <row r="3083" spans="4:6">
      <c r="D3083" s="8"/>
      <c r="E3083" s="8"/>
      <c r="F3083" s="8"/>
    </row>
    <row r="3084" spans="4:6">
      <c r="D3084" s="8"/>
      <c r="E3084" s="8"/>
      <c r="F3084" s="8"/>
    </row>
    <row r="3085" spans="4:6">
      <c r="D3085" s="8"/>
      <c r="E3085" s="8"/>
      <c r="F3085" s="8"/>
    </row>
    <row r="3086" spans="4:6">
      <c r="D3086" s="8"/>
      <c r="E3086" s="8"/>
      <c r="F3086" s="8"/>
    </row>
    <row r="3087" spans="4:6">
      <c r="D3087" s="8"/>
      <c r="E3087" s="8"/>
      <c r="F3087" s="8"/>
    </row>
    <row r="3088" spans="4:6">
      <c r="D3088" s="8"/>
      <c r="E3088" s="8"/>
      <c r="F3088" s="8"/>
    </row>
    <row r="3089" spans="4:6">
      <c r="D3089" s="8"/>
      <c r="E3089" s="8"/>
      <c r="F3089" s="8"/>
    </row>
    <row r="3090" spans="4:6">
      <c r="D3090" s="8"/>
      <c r="E3090" s="8"/>
      <c r="F3090" s="8"/>
    </row>
    <row r="3091" spans="4:6">
      <c r="D3091" s="8"/>
      <c r="E3091" s="8"/>
      <c r="F3091" s="8"/>
    </row>
    <row r="3092" spans="4:6">
      <c r="D3092" s="8"/>
      <c r="E3092" s="8"/>
      <c r="F3092" s="8"/>
    </row>
    <row r="3093" spans="4:6">
      <c r="D3093" s="8"/>
      <c r="E3093" s="8"/>
      <c r="F3093" s="8"/>
    </row>
    <row r="3094" spans="4:6">
      <c r="D3094" s="8"/>
      <c r="E3094" s="8"/>
      <c r="F3094" s="8"/>
    </row>
    <row r="3095" spans="4:6">
      <c r="D3095" s="8"/>
      <c r="E3095" s="8"/>
      <c r="F3095" s="8"/>
    </row>
    <row r="3096" spans="4:6">
      <c r="D3096" s="8"/>
      <c r="E3096" s="8"/>
      <c r="F3096" s="8"/>
    </row>
    <row r="3097" spans="4:6">
      <c r="D3097" s="8"/>
      <c r="E3097" s="8"/>
      <c r="F3097" s="8"/>
    </row>
    <row r="3098" spans="4:6">
      <c r="D3098" s="8"/>
      <c r="E3098" s="8"/>
      <c r="F3098" s="8"/>
    </row>
    <row r="3099" spans="4:6">
      <c r="D3099" s="8"/>
      <c r="E3099" s="8"/>
      <c r="F3099" s="8"/>
    </row>
    <row r="3100" spans="4:6">
      <c r="D3100" s="8"/>
      <c r="E3100" s="8"/>
      <c r="F3100" s="8"/>
    </row>
    <row r="3101" spans="4:6">
      <c r="D3101" s="8"/>
      <c r="E3101" s="8"/>
      <c r="F3101" s="8"/>
    </row>
    <row r="3102" spans="4:6">
      <c r="D3102" s="8"/>
      <c r="E3102" s="8"/>
      <c r="F3102" s="8"/>
    </row>
    <row r="3103" spans="4:6">
      <c r="D3103" s="8"/>
      <c r="E3103" s="8"/>
      <c r="F3103" s="8"/>
    </row>
    <row r="3104" spans="4:6">
      <c r="D3104" s="8"/>
      <c r="E3104" s="8"/>
      <c r="F3104" s="8"/>
    </row>
    <row r="3105" spans="4:6">
      <c r="D3105" s="8"/>
      <c r="E3105" s="8"/>
      <c r="F3105" s="8"/>
    </row>
    <row r="3106" spans="4:6">
      <c r="D3106" s="8"/>
      <c r="E3106" s="8"/>
      <c r="F3106" s="8"/>
    </row>
    <row r="3107" spans="4:6">
      <c r="D3107" s="8"/>
      <c r="E3107" s="8"/>
      <c r="F3107" s="8"/>
    </row>
    <row r="3108" spans="4:6">
      <c r="D3108" s="8"/>
      <c r="E3108" s="8"/>
      <c r="F3108" s="8"/>
    </row>
    <row r="3109" spans="4:6">
      <c r="D3109" s="8"/>
      <c r="E3109" s="8"/>
      <c r="F3109" s="8"/>
    </row>
    <row r="3110" spans="4:6">
      <c r="D3110" s="8"/>
      <c r="E3110" s="8"/>
      <c r="F3110" s="8"/>
    </row>
    <row r="3111" spans="4:6">
      <c r="D3111" s="8"/>
      <c r="E3111" s="8"/>
      <c r="F3111" s="8"/>
    </row>
    <row r="3112" spans="4:6">
      <c r="D3112" s="8"/>
      <c r="E3112" s="8"/>
      <c r="F3112" s="8"/>
    </row>
    <row r="3113" spans="4:6">
      <c r="D3113" s="8"/>
      <c r="E3113" s="8"/>
      <c r="F3113" s="8"/>
    </row>
    <row r="3114" spans="4:6">
      <c r="D3114" s="8"/>
      <c r="E3114" s="8"/>
      <c r="F3114" s="8"/>
    </row>
    <row r="3115" spans="4:6">
      <c r="D3115" s="8"/>
      <c r="E3115" s="8"/>
      <c r="F3115" s="8"/>
    </row>
    <row r="3116" spans="4:6">
      <c r="D3116" s="8"/>
      <c r="E3116" s="8"/>
      <c r="F3116" s="8"/>
    </row>
    <row r="3117" spans="4:6">
      <c r="D3117" s="8"/>
      <c r="E3117" s="8"/>
      <c r="F3117" s="8"/>
    </row>
    <row r="3118" spans="4:6">
      <c r="D3118" s="8"/>
      <c r="E3118" s="8"/>
      <c r="F3118" s="8"/>
    </row>
    <row r="3119" spans="4:6">
      <c r="D3119" s="8"/>
      <c r="E3119" s="8"/>
      <c r="F3119" s="8"/>
    </row>
    <row r="3120" spans="4:6">
      <c r="D3120" s="8"/>
      <c r="E3120" s="8"/>
      <c r="F3120" s="8"/>
    </row>
    <row r="3121" spans="4:6">
      <c r="D3121" s="8"/>
      <c r="E3121" s="8"/>
      <c r="F3121" s="8"/>
    </row>
    <row r="3122" spans="4:6">
      <c r="D3122" s="8"/>
      <c r="E3122" s="8"/>
      <c r="F3122" s="8"/>
    </row>
    <row r="3123" spans="4:6">
      <c r="D3123" s="8"/>
      <c r="E3123" s="8"/>
      <c r="F3123" s="8"/>
    </row>
    <row r="3124" spans="4:6">
      <c r="D3124" s="8"/>
      <c r="E3124" s="8"/>
      <c r="F3124" s="8"/>
    </row>
    <row r="3125" spans="4:6">
      <c r="D3125" s="8"/>
      <c r="E3125" s="8"/>
      <c r="F3125" s="8"/>
    </row>
    <row r="3126" spans="4:6">
      <c r="D3126" s="8"/>
      <c r="E3126" s="8"/>
      <c r="F3126" s="8"/>
    </row>
    <row r="3127" spans="4:6">
      <c r="D3127" s="8"/>
      <c r="E3127" s="8"/>
      <c r="F3127" s="8"/>
    </row>
    <row r="3128" spans="4:6">
      <c r="D3128" s="8"/>
      <c r="E3128" s="8"/>
      <c r="F3128" s="8"/>
    </row>
    <row r="3129" spans="4:6">
      <c r="D3129" s="8"/>
      <c r="E3129" s="8"/>
      <c r="F3129" s="8"/>
    </row>
    <row r="3130" spans="4:6">
      <c r="D3130" s="8"/>
      <c r="E3130" s="8"/>
      <c r="F3130" s="8"/>
    </row>
    <row r="3131" spans="4:6">
      <c r="D3131" s="8"/>
      <c r="E3131" s="8"/>
      <c r="F3131" s="8"/>
    </row>
    <row r="3132" spans="4:6">
      <c r="D3132" s="8"/>
      <c r="E3132" s="8"/>
      <c r="F3132" s="8"/>
    </row>
    <row r="3133" spans="4:6">
      <c r="D3133" s="8"/>
      <c r="E3133" s="8"/>
      <c r="F3133" s="8"/>
    </row>
    <row r="3134" spans="4:6">
      <c r="D3134" s="8"/>
      <c r="E3134" s="8"/>
      <c r="F3134" s="8"/>
    </row>
    <row r="3135" spans="4:6">
      <c r="D3135" s="8"/>
      <c r="E3135" s="8"/>
      <c r="F3135" s="8"/>
    </row>
    <row r="3136" spans="4:6">
      <c r="D3136" s="8"/>
      <c r="E3136" s="8"/>
      <c r="F3136" s="8"/>
    </row>
    <row r="3137" spans="4:6">
      <c r="D3137" s="8"/>
      <c r="E3137" s="8"/>
      <c r="F3137" s="8"/>
    </row>
    <row r="3138" spans="4:6">
      <c r="D3138" s="8"/>
      <c r="E3138" s="8"/>
      <c r="F3138" s="8"/>
    </row>
    <row r="3139" spans="4:6">
      <c r="D3139" s="8"/>
      <c r="E3139" s="8"/>
      <c r="F3139" s="8"/>
    </row>
    <row r="3140" spans="4:6">
      <c r="D3140" s="8"/>
      <c r="E3140" s="8"/>
      <c r="F3140" s="8"/>
    </row>
    <row r="3141" spans="4:6">
      <c r="D3141" s="8"/>
      <c r="E3141" s="8"/>
      <c r="F3141" s="8"/>
    </row>
    <row r="3142" spans="4:6">
      <c r="D3142" s="8"/>
      <c r="E3142" s="8"/>
      <c r="F3142" s="8"/>
    </row>
    <row r="3143" spans="4:6">
      <c r="D3143" s="8"/>
      <c r="E3143" s="8"/>
      <c r="F3143" s="8"/>
    </row>
    <row r="3144" spans="4:6">
      <c r="D3144" s="8"/>
      <c r="E3144" s="8"/>
      <c r="F3144" s="8"/>
    </row>
    <row r="3145" spans="4:6">
      <c r="D3145" s="8"/>
      <c r="E3145" s="8"/>
      <c r="F3145" s="8"/>
    </row>
    <row r="3146" spans="4:6">
      <c r="D3146" s="8"/>
      <c r="E3146" s="8"/>
      <c r="F3146" s="8"/>
    </row>
    <row r="3147" spans="4:6">
      <c r="D3147" s="8"/>
      <c r="E3147" s="8"/>
      <c r="F3147" s="8"/>
    </row>
    <row r="3148" spans="4:6">
      <c r="D3148" s="8"/>
      <c r="E3148" s="8"/>
      <c r="F3148" s="8"/>
    </row>
    <row r="3149" spans="4:6">
      <c r="D3149" s="8"/>
      <c r="E3149" s="8"/>
      <c r="F3149" s="8"/>
    </row>
    <row r="3150" spans="4:6">
      <c r="D3150" s="8"/>
      <c r="E3150" s="8"/>
      <c r="F3150" s="8"/>
    </row>
    <row r="3151" spans="4:6">
      <c r="D3151" s="8"/>
      <c r="E3151" s="8"/>
      <c r="F3151" s="8"/>
    </row>
    <row r="3152" spans="4:6">
      <c r="D3152" s="8"/>
      <c r="E3152" s="8"/>
      <c r="F3152" s="8"/>
    </row>
    <row r="3153" spans="4:6">
      <c r="D3153" s="8"/>
      <c r="E3153" s="8"/>
      <c r="F3153" s="8"/>
    </row>
    <row r="3154" spans="4:6">
      <c r="D3154" s="8"/>
      <c r="E3154" s="8"/>
      <c r="F3154" s="8"/>
    </row>
    <row r="3155" spans="4:6">
      <c r="D3155" s="8"/>
      <c r="E3155" s="8"/>
      <c r="F3155" s="8"/>
    </row>
    <row r="3156" spans="4:6">
      <c r="D3156" s="8"/>
      <c r="E3156" s="8"/>
      <c r="F3156" s="8"/>
    </row>
    <row r="3157" spans="4:6">
      <c r="D3157" s="8"/>
      <c r="E3157" s="8"/>
      <c r="F3157" s="8"/>
    </row>
    <row r="3158" spans="4:6">
      <c r="D3158" s="8"/>
      <c r="E3158" s="8"/>
      <c r="F3158" s="8"/>
    </row>
    <row r="3159" spans="4:6">
      <c r="D3159" s="8"/>
      <c r="E3159" s="8"/>
      <c r="F3159" s="8"/>
    </row>
    <row r="3160" spans="4:6">
      <c r="D3160" s="8"/>
      <c r="E3160" s="8"/>
      <c r="F3160" s="8"/>
    </row>
    <row r="3161" spans="4:6">
      <c r="D3161" s="8"/>
      <c r="E3161" s="8"/>
      <c r="F3161" s="8"/>
    </row>
    <row r="3162" spans="4:6">
      <c r="D3162" s="8"/>
      <c r="E3162" s="8"/>
      <c r="F3162" s="8"/>
    </row>
    <row r="3163" spans="4:6">
      <c r="D3163" s="8"/>
      <c r="E3163" s="8"/>
      <c r="F3163" s="8"/>
    </row>
    <row r="3164" spans="4:6">
      <c r="D3164" s="8"/>
      <c r="E3164" s="8"/>
      <c r="F3164" s="8"/>
    </row>
    <row r="3165" spans="4:6">
      <c r="D3165" s="8"/>
      <c r="E3165" s="8"/>
      <c r="F3165" s="8"/>
    </row>
    <row r="3166" spans="4:6">
      <c r="D3166" s="8"/>
      <c r="E3166" s="8"/>
      <c r="F3166" s="8"/>
    </row>
    <row r="3167" spans="4:6">
      <c r="D3167" s="8"/>
      <c r="E3167" s="8"/>
      <c r="F3167" s="8"/>
    </row>
    <row r="3168" spans="4:6">
      <c r="D3168" s="8"/>
      <c r="E3168" s="8"/>
      <c r="F3168" s="8"/>
    </row>
    <row r="3169" spans="4:6">
      <c r="D3169" s="8"/>
      <c r="E3169" s="8"/>
      <c r="F3169" s="8"/>
    </row>
    <row r="3170" spans="4:6">
      <c r="D3170" s="8"/>
      <c r="E3170" s="8"/>
      <c r="F3170" s="8"/>
    </row>
    <row r="3171" spans="4:6">
      <c r="D3171" s="8"/>
      <c r="E3171" s="8"/>
      <c r="F3171" s="8"/>
    </row>
    <row r="3172" spans="4:6">
      <c r="D3172" s="8"/>
      <c r="E3172" s="8"/>
      <c r="F3172" s="8"/>
    </row>
    <row r="3173" spans="4:6">
      <c r="D3173" s="8"/>
      <c r="E3173" s="8"/>
      <c r="F3173" s="8"/>
    </row>
    <row r="3174" spans="4:6">
      <c r="D3174" s="8"/>
      <c r="E3174" s="8"/>
      <c r="F3174" s="8"/>
    </row>
    <row r="3175" spans="4:6">
      <c r="D3175" s="8"/>
      <c r="E3175" s="8"/>
      <c r="F3175" s="8"/>
    </row>
    <row r="3176" spans="4:6">
      <c r="D3176" s="8"/>
      <c r="E3176" s="8"/>
      <c r="F3176" s="8"/>
    </row>
    <row r="3177" spans="4:6">
      <c r="D3177" s="8"/>
      <c r="E3177" s="8"/>
      <c r="F3177" s="8"/>
    </row>
    <row r="3178" spans="4:6">
      <c r="D3178" s="8"/>
      <c r="E3178" s="8"/>
      <c r="F3178" s="8"/>
    </row>
    <row r="3179" spans="4:6">
      <c r="D3179" s="8"/>
      <c r="E3179" s="8"/>
      <c r="F3179" s="8"/>
    </row>
    <row r="3180" spans="4:6">
      <c r="D3180" s="8"/>
      <c r="E3180" s="8"/>
      <c r="F3180" s="8"/>
    </row>
    <row r="3181" spans="4:6">
      <c r="D3181" s="8"/>
      <c r="E3181" s="8"/>
      <c r="F3181" s="8"/>
    </row>
    <row r="3182" spans="4:6">
      <c r="D3182" s="8"/>
      <c r="E3182" s="8"/>
      <c r="F3182" s="8"/>
    </row>
    <row r="3183" spans="4:6">
      <c r="D3183" s="8"/>
      <c r="E3183" s="8"/>
      <c r="F3183" s="8"/>
    </row>
    <row r="3184" spans="4:6">
      <c r="D3184" s="8"/>
      <c r="E3184" s="8"/>
      <c r="F3184" s="8"/>
    </row>
    <row r="3185" spans="4:6">
      <c r="D3185" s="8"/>
      <c r="E3185" s="8"/>
      <c r="F3185" s="8"/>
    </row>
    <row r="3186" spans="4:6">
      <c r="D3186" s="8"/>
      <c r="E3186" s="8"/>
      <c r="F3186" s="8"/>
    </row>
    <row r="3187" spans="4:6">
      <c r="D3187" s="8"/>
      <c r="E3187" s="8"/>
      <c r="F3187" s="8"/>
    </row>
    <row r="3188" spans="4:6">
      <c r="D3188" s="8"/>
      <c r="E3188" s="8"/>
      <c r="F3188" s="8"/>
    </row>
    <row r="3189" spans="4:6">
      <c r="D3189" s="8"/>
      <c r="E3189" s="8"/>
      <c r="F3189" s="8"/>
    </row>
    <row r="3190" spans="4:6">
      <c r="D3190" s="8"/>
      <c r="E3190" s="8"/>
      <c r="F3190" s="8"/>
    </row>
    <row r="3191" spans="4:6">
      <c r="D3191" s="8"/>
      <c r="E3191" s="8"/>
      <c r="F3191" s="8"/>
    </row>
    <row r="3192" spans="4:6">
      <c r="D3192" s="8"/>
      <c r="E3192" s="8"/>
      <c r="F3192" s="8"/>
    </row>
    <row r="3193" spans="4:6">
      <c r="D3193" s="8"/>
      <c r="E3193" s="8"/>
      <c r="F3193" s="8"/>
    </row>
    <row r="3194" spans="4:6">
      <c r="D3194" s="8"/>
      <c r="E3194" s="8"/>
      <c r="F3194" s="8"/>
    </row>
    <row r="3195" spans="4:6">
      <c r="D3195" s="8"/>
      <c r="E3195" s="8"/>
      <c r="F3195" s="8"/>
    </row>
    <row r="3196" spans="4:6">
      <c r="D3196" s="8"/>
      <c r="E3196" s="8"/>
      <c r="F3196" s="8"/>
    </row>
    <row r="3197" spans="4:6">
      <c r="D3197" s="8"/>
      <c r="E3197" s="8"/>
      <c r="F3197" s="8"/>
    </row>
    <row r="3198" spans="4:6">
      <c r="D3198" s="8"/>
      <c r="E3198" s="8"/>
      <c r="F3198" s="8"/>
    </row>
    <row r="3199" spans="4:6">
      <c r="D3199" s="8"/>
      <c r="E3199" s="8"/>
      <c r="F3199" s="8"/>
    </row>
    <row r="3200" spans="4:6">
      <c r="D3200" s="8"/>
      <c r="E3200" s="8"/>
      <c r="F3200" s="8"/>
    </row>
    <row r="3201" spans="4:6">
      <c r="D3201" s="8"/>
      <c r="E3201" s="8"/>
      <c r="F3201" s="8"/>
    </row>
    <row r="3202" spans="4:6">
      <c r="D3202" s="8"/>
      <c r="E3202" s="8"/>
      <c r="F3202" s="8"/>
    </row>
    <row r="3203" spans="4:6">
      <c r="D3203" s="8"/>
      <c r="E3203" s="8"/>
      <c r="F3203" s="8"/>
    </row>
    <row r="3204" spans="4:6">
      <c r="D3204" s="8"/>
      <c r="E3204" s="8"/>
      <c r="F3204" s="8"/>
    </row>
    <row r="3205" spans="4:6">
      <c r="D3205" s="8"/>
      <c r="E3205" s="8"/>
      <c r="F3205" s="8"/>
    </row>
    <row r="3206" spans="4:6">
      <c r="D3206" s="8"/>
      <c r="E3206" s="8"/>
      <c r="F3206" s="8"/>
    </row>
    <row r="3207" spans="4:6">
      <c r="D3207" s="8"/>
      <c r="E3207" s="8"/>
      <c r="F3207" s="8"/>
    </row>
    <row r="3208" spans="4:6">
      <c r="D3208" s="8"/>
      <c r="E3208" s="8"/>
      <c r="F3208" s="8"/>
    </row>
    <row r="3209" spans="4:6">
      <c r="D3209" s="8"/>
      <c r="E3209" s="8"/>
      <c r="F3209" s="8"/>
    </row>
    <row r="3210" spans="4:6">
      <c r="D3210" s="8"/>
      <c r="E3210" s="8"/>
      <c r="F3210" s="8"/>
    </row>
    <row r="3211" spans="4:6">
      <c r="D3211" s="8"/>
      <c r="E3211" s="8"/>
      <c r="F3211" s="8"/>
    </row>
    <row r="3212" spans="4:6">
      <c r="D3212" s="8"/>
      <c r="E3212" s="8"/>
      <c r="F3212" s="8"/>
    </row>
    <row r="3213" spans="4:6">
      <c r="D3213" s="8"/>
      <c r="E3213" s="8"/>
      <c r="F3213" s="8"/>
    </row>
    <row r="3214" spans="4:6">
      <c r="D3214" s="8"/>
      <c r="E3214" s="8"/>
      <c r="F3214" s="8"/>
    </row>
    <row r="3215" spans="4:6">
      <c r="D3215" s="8"/>
      <c r="E3215" s="8"/>
      <c r="F3215" s="8"/>
    </row>
    <row r="3216" spans="4:6">
      <c r="D3216" s="8"/>
      <c r="E3216" s="8"/>
      <c r="F3216" s="8"/>
    </row>
    <row r="3217" spans="4:6">
      <c r="D3217" s="8"/>
      <c r="E3217" s="8"/>
      <c r="F3217" s="8"/>
    </row>
    <row r="3218" spans="4:6">
      <c r="D3218" s="8"/>
      <c r="E3218" s="8"/>
      <c r="F3218" s="8"/>
    </row>
    <row r="3219" spans="4:6">
      <c r="D3219" s="8"/>
      <c r="E3219" s="8"/>
      <c r="F3219" s="8"/>
    </row>
    <row r="3220" spans="4:6">
      <c r="D3220" s="8"/>
      <c r="E3220" s="8"/>
      <c r="F3220" s="8"/>
    </row>
    <row r="3221" spans="4:6">
      <c r="D3221" s="8"/>
      <c r="E3221" s="8"/>
      <c r="F3221" s="8"/>
    </row>
    <row r="3222" spans="4:6">
      <c r="D3222" s="8"/>
      <c r="E3222" s="8"/>
      <c r="F3222" s="8"/>
    </row>
    <row r="3223" spans="4:6">
      <c r="D3223" s="8"/>
      <c r="E3223" s="8"/>
      <c r="F3223" s="8"/>
    </row>
    <row r="3224" spans="4:6">
      <c r="D3224" s="8"/>
      <c r="E3224" s="8"/>
      <c r="F3224" s="8"/>
    </row>
    <row r="3225" spans="4:6">
      <c r="D3225" s="8"/>
      <c r="E3225" s="8"/>
      <c r="F3225" s="8"/>
    </row>
    <row r="3226" spans="4:6">
      <c r="D3226" s="8"/>
      <c r="E3226" s="8"/>
      <c r="F3226" s="8"/>
    </row>
    <row r="3227" spans="4:6">
      <c r="D3227" s="8"/>
      <c r="E3227" s="8"/>
      <c r="F3227" s="8"/>
    </row>
    <row r="3228" spans="4:6">
      <c r="D3228" s="8"/>
      <c r="E3228" s="8"/>
      <c r="F3228" s="8"/>
    </row>
    <row r="3229" spans="4:6">
      <c r="D3229" s="8"/>
      <c r="E3229" s="8"/>
      <c r="F3229" s="8"/>
    </row>
    <row r="3230" spans="4:6">
      <c r="D3230" s="8"/>
      <c r="E3230" s="8"/>
      <c r="F3230" s="8"/>
    </row>
    <row r="3231" spans="4:6">
      <c r="D3231" s="8"/>
      <c r="E3231" s="8"/>
      <c r="F3231" s="8"/>
    </row>
    <row r="3232" spans="4:6">
      <c r="D3232" s="8"/>
      <c r="E3232" s="8"/>
      <c r="F3232" s="8"/>
    </row>
    <row r="3233" spans="4:6">
      <c r="D3233" s="8"/>
      <c r="E3233" s="8"/>
      <c r="F3233" s="8"/>
    </row>
    <row r="3234" spans="4:6">
      <c r="D3234" s="8"/>
      <c r="E3234" s="8"/>
      <c r="F3234" s="8"/>
    </row>
    <row r="3235" spans="4:6">
      <c r="D3235" s="8"/>
      <c r="E3235" s="8"/>
      <c r="F3235" s="8"/>
    </row>
    <row r="3236" spans="4:6">
      <c r="D3236" s="8"/>
      <c r="E3236" s="8"/>
      <c r="F3236" s="8"/>
    </row>
    <row r="3237" spans="4:6">
      <c r="D3237" s="8"/>
      <c r="E3237" s="8"/>
      <c r="F3237" s="8"/>
    </row>
    <row r="3238" spans="4:6">
      <c r="D3238" s="8"/>
      <c r="E3238" s="8"/>
      <c r="F3238" s="8"/>
    </row>
    <row r="3239" spans="4:6">
      <c r="D3239" s="8"/>
      <c r="E3239" s="8"/>
      <c r="F3239" s="8"/>
    </row>
    <row r="3240" spans="4:6">
      <c r="D3240" s="8"/>
      <c r="E3240" s="8"/>
      <c r="F3240" s="8"/>
    </row>
    <row r="3241" spans="4:6">
      <c r="D3241" s="8"/>
      <c r="E3241" s="8"/>
      <c r="F3241" s="8"/>
    </row>
    <row r="3242" spans="4:6">
      <c r="D3242" s="8"/>
      <c r="E3242" s="8"/>
      <c r="F3242" s="8"/>
    </row>
    <row r="3243" spans="4:6">
      <c r="D3243" s="8"/>
      <c r="E3243" s="8"/>
      <c r="F3243" s="8"/>
    </row>
    <row r="3244" spans="4:6">
      <c r="D3244" s="8"/>
      <c r="E3244" s="8"/>
      <c r="F3244" s="8"/>
    </row>
    <row r="3245" spans="4:6">
      <c r="D3245" s="8"/>
      <c r="E3245" s="8"/>
      <c r="F3245" s="8"/>
    </row>
    <row r="3246" spans="4:6">
      <c r="D3246" s="8"/>
      <c r="E3246" s="8"/>
      <c r="F3246" s="8"/>
    </row>
    <row r="3247" spans="4:6">
      <c r="D3247" s="8"/>
      <c r="E3247" s="8"/>
      <c r="F3247" s="8"/>
    </row>
    <row r="3248" spans="4:6">
      <c r="D3248" s="8"/>
      <c r="E3248" s="8"/>
      <c r="F3248" s="8"/>
    </row>
    <row r="3249" spans="4:6">
      <c r="D3249" s="8"/>
      <c r="E3249" s="8"/>
      <c r="F3249" s="8"/>
    </row>
    <row r="3250" spans="4:6">
      <c r="D3250" s="8"/>
      <c r="E3250" s="8"/>
      <c r="F3250" s="8"/>
    </row>
    <row r="3251" spans="4:6">
      <c r="D3251" s="8"/>
      <c r="E3251" s="8"/>
      <c r="F3251" s="8"/>
    </row>
    <row r="3252" spans="4:6">
      <c r="D3252" s="8"/>
      <c r="E3252" s="8"/>
      <c r="F3252" s="8"/>
    </row>
    <row r="3253" spans="4:6">
      <c r="D3253" s="8"/>
      <c r="E3253" s="8"/>
      <c r="F3253" s="8"/>
    </row>
    <row r="3254" spans="4:6">
      <c r="D3254" s="8"/>
      <c r="E3254" s="8"/>
      <c r="F3254" s="8"/>
    </row>
    <row r="3255" spans="4:6">
      <c r="D3255" s="8"/>
      <c r="E3255" s="8"/>
      <c r="F3255" s="8"/>
    </row>
    <row r="3256" spans="4:6">
      <c r="D3256" s="8"/>
      <c r="E3256" s="8"/>
      <c r="F3256" s="8"/>
    </row>
    <row r="3257" spans="4:6">
      <c r="D3257" s="8"/>
      <c r="E3257" s="8"/>
      <c r="F3257" s="8"/>
    </row>
    <row r="3258" spans="4:6">
      <c r="D3258" s="8"/>
      <c r="E3258" s="8"/>
      <c r="F3258" s="8"/>
    </row>
    <row r="3259" spans="4:6">
      <c r="D3259" s="8"/>
      <c r="E3259" s="8"/>
      <c r="F3259" s="8"/>
    </row>
    <row r="3260" spans="4:6">
      <c r="D3260" s="8"/>
      <c r="E3260" s="8"/>
      <c r="F3260" s="8"/>
    </row>
    <row r="3261" spans="4:6">
      <c r="D3261" s="8"/>
      <c r="E3261" s="8"/>
      <c r="F3261" s="8"/>
    </row>
    <row r="3262" spans="4:6">
      <c r="D3262" s="8"/>
      <c r="E3262" s="8"/>
      <c r="F3262" s="8"/>
    </row>
    <row r="3263" spans="4:6">
      <c r="D3263" s="8"/>
      <c r="E3263" s="8"/>
      <c r="F3263" s="8"/>
    </row>
    <row r="3264" spans="4:6">
      <c r="D3264" s="8"/>
      <c r="E3264" s="8"/>
      <c r="F3264" s="8"/>
    </row>
    <row r="3265" spans="4:6">
      <c r="D3265" s="8"/>
      <c r="E3265" s="8"/>
      <c r="F3265" s="8"/>
    </row>
    <row r="3266" spans="4:6">
      <c r="D3266" s="8"/>
      <c r="E3266" s="8"/>
      <c r="F3266" s="8"/>
    </row>
    <row r="3267" spans="4:6">
      <c r="D3267" s="8"/>
      <c r="E3267" s="8"/>
      <c r="F3267" s="8"/>
    </row>
    <row r="3268" spans="4:6">
      <c r="D3268" s="8"/>
      <c r="E3268" s="8"/>
      <c r="F3268" s="8"/>
    </row>
    <row r="3269" spans="4:6">
      <c r="D3269" s="8"/>
      <c r="E3269" s="8"/>
      <c r="F3269" s="8"/>
    </row>
    <row r="3270" spans="4:6">
      <c r="D3270" s="8"/>
      <c r="E3270" s="8"/>
      <c r="F3270" s="8"/>
    </row>
    <row r="3271" spans="4:6">
      <c r="D3271" s="8"/>
      <c r="E3271" s="8"/>
      <c r="F3271" s="8"/>
    </row>
    <row r="3272" spans="4:6">
      <c r="D3272" s="8"/>
      <c r="E3272" s="8"/>
      <c r="F3272" s="8"/>
    </row>
    <row r="3273" spans="4:6">
      <c r="D3273" s="8"/>
      <c r="E3273" s="8"/>
      <c r="F3273" s="8"/>
    </row>
    <row r="3274" spans="4:6">
      <c r="D3274" s="8"/>
      <c r="E3274" s="8"/>
      <c r="F3274" s="8"/>
    </row>
    <row r="3275" spans="4:6">
      <c r="D3275" s="8"/>
      <c r="E3275" s="8"/>
      <c r="F3275" s="8"/>
    </row>
    <row r="3276" spans="4:6">
      <c r="D3276" s="8"/>
      <c r="E3276" s="8"/>
      <c r="F3276" s="8"/>
    </row>
    <row r="3277" spans="4:6">
      <c r="D3277" s="8"/>
      <c r="E3277" s="8"/>
      <c r="F3277" s="8"/>
    </row>
    <row r="3278" spans="4:6">
      <c r="D3278" s="8"/>
      <c r="E3278" s="8"/>
      <c r="F3278" s="8"/>
    </row>
    <row r="3279" spans="4:6">
      <c r="D3279" s="8"/>
      <c r="E3279" s="8"/>
      <c r="F3279" s="8"/>
    </row>
    <row r="3280" spans="4:6">
      <c r="D3280" s="8"/>
      <c r="E3280" s="8"/>
      <c r="F3280" s="8"/>
    </row>
    <row r="3281" spans="4:6">
      <c r="D3281" s="8"/>
      <c r="E3281" s="8"/>
      <c r="F3281" s="8"/>
    </row>
    <row r="3282" spans="4:6">
      <c r="D3282" s="8"/>
      <c r="E3282" s="8"/>
      <c r="F3282" s="8"/>
    </row>
    <row r="3283" spans="4:6">
      <c r="D3283" s="8"/>
      <c r="E3283" s="8"/>
      <c r="F3283" s="8"/>
    </row>
    <row r="3284" spans="4:6">
      <c r="D3284" s="8"/>
      <c r="E3284" s="8"/>
      <c r="F3284" s="8"/>
    </row>
    <row r="3285" spans="4:6">
      <c r="D3285" s="8"/>
      <c r="E3285" s="8"/>
      <c r="F3285" s="8"/>
    </row>
    <row r="3286" spans="4:6">
      <c r="D3286" s="8"/>
      <c r="E3286" s="8"/>
      <c r="F3286" s="8"/>
    </row>
    <row r="3287" spans="4:6">
      <c r="D3287" s="8"/>
      <c r="E3287" s="8"/>
      <c r="F3287" s="8"/>
    </row>
    <row r="3288" spans="4:6">
      <c r="D3288" s="8"/>
      <c r="E3288" s="8"/>
      <c r="F3288" s="8"/>
    </row>
    <row r="3289" spans="4:6">
      <c r="D3289" s="8"/>
      <c r="E3289" s="8"/>
      <c r="F3289" s="8"/>
    </row>
    <row r="3290" spans="4:6">
      <c r="D3290" s="8"/>
      <c r="E3290" s="8"/>
      <c r="F3290" s="8"/>
    </row>
    <row r="3291" spans="4:6">
      <c r="D3291" s="8"/>
      <c r="E3291" s="8"/>
      <c r="F3291" s="8"/>
    </row>
    <row r="3292" spans="4:6">
      <c r="D3292" s="8"/>
      <c r="E3292" s="8"/>
      <c r="F3292" s="8"/>
    </row>
    <row r="3293" spans="4:6">
      <c r="D3293" s="8"/>
      <c r="E3293" s="8"/>
      <c r="F3293" s="8"/>
    </row>
    <row r="3294" spans="4:6">
      <c r="D3294" s="8"/>
      <c r="E3294" s="8"/>
      <c r="F3294" s="8"/>
    </row>
    <row r="3295" spans="4:6">
      <c r="D3295" s="8"/>
      <c r="E3295" s="8"/>
      <c r="F3295" s="8"/>
    </row>
    <row r="3296" spans="4:6">
      <c r="D3296" s="8"/>
      <c r="E3296" s="8"/>
      <c r="F3296" s="8"/>
    </row>
    <row r="3297" spans="4:6">
      <c r="D3297" s="8"/>
      <c r="E3297" s="8"/>
      <c r="F3297" s="8"/>
    </row>
    <row r="3298" spans="4:6">
      <c r="D3298" s="8"/>
      <c r="E3298" s="8"/>
      <c r="F3298" s="8"/>
    </row>
    <row r="3299" spans="4:6">
      <c r="D3299" s="8"/>
      <c r="E3299" s="8"/>
      <c r="F3299" s="8"/>
    </row>
    <row r="3300" spans="4:6">
      <c r="D3300" s="8"/>
      <c r="E3300" s="8"/>
      <c r="F3300" s="8"/>
    </row>
    <row r="3301" spans="4:6">
      <c r="D3301" s="8"/>
      <c r="E3301" s="8"/>
      <c r="F3301" s="8"/>
    </row>
    <row r="3302" spans="4:6">
      <c r="D3302" s="8"/>
      <c r="E3302" s="8"/>
      <c r="F3302" s="8"/>
    </row>
    <row r="3303" spans="4:6">
      <c r="D3303" s="8"/>
      <c r="E3303" s="8"/>
      <c r="F3303" s="8"/>
    </row>
    <row r="3304" spans="4:6">
      <c r="D3304" s="8"/>
      <c r="E3304" s="8"/>
      <c r="F3304" s="8"/>
    </row>
    <row r="3305" spans="4:6">
      <c r="D3305" s="8"/>
      <c r="E3305" s="8"/>
      <c r="F3305" s="8"/>
    </row>
    <row r="3306" spans="4:6">
      <c r="D3306" s="8"/>
      <c r="E3306" s="8"/>
      <c r="F3306" s="8"/>
    </row>
    <row r="3307" spans="4:6">
      <c r="D3307" s="8"/>
      <c r="E3307" s="8"/>
      <c r="F3307" s="8"/>
    </row>
    <row r="3308" spans="4:6">
      <c r="D3308" s="8"/>
      <c r="E3308" s="8"/>
      <c r="F3308" s="8"/>
    </row>
    <row r="3309" spans="4:6">
      <c r="D3309" s="8"/>
      <c r="E3309" s="8"/>
      <c r="F3309" s="8"/>
    </row>
    <row r="3310" spans="4:6">
      <c r="D3310" s="8"/>
      <c r="E3310" s="8"/>
      <c r="F3310" s="8"/>
    </row>
    <row r="3311" spans="4:6">
      <c r="D3311" s="8"/>
      <c r="E3311" s="8"/>
      <c r="F3311" s="8"/>
    </row>
    <row r="3312" spans="4:6">
      <c r="D3312" s="8"/>
      <c r="E3312" s="8"/>
      <c r="F3312" s="8"/>
    </row>
    <row r="3313" spans="4:6">
      <c r="D3313" s="8"/>
      <c r="E3313" s="8"/>
      <c r="F3313" s="8"/>
    </row>
    <row r="3314" spans="4:6">
      <c r="D3314" s="8"/>
      <c r="E3314" s="8"/>
      <c r="F3314" s="8"/>
    </row>
    <row r="3315" spans="4:6">
      <c r="D3315" s="8"/>
      <c r="E3315" s="8"/>
      <c r="F3315" s="8"/>
    </row>
    <row r="3316" spans="4:6">
      <c r="D3316" s="8"/>
      <c r="E3316" s="8"/>
      <c r="F3316" s="8"/>
    </row>
    <row r="3317" spans="4:6">
      <c r="D3317" s="8"/>
      <c r="E3317" s="8"/>
      <c r="F3317" s="8"/>
    </row>
    <row r="3318" spans="4:6">
      <c r="D3318" s="8"/>
      <c r="E3318" s="8"/>
      <c r="F3318" s="8"/>
    </row>
    <row r="3319" spans="4:6">
      <c r="D3319" s="8"/>
      <c r="E3319" s="8"/>
      <c r="F3319" s="8"/>
    </row>
    <row r="3320" spans="4:6">
      <c r="D3320" s="8"/>
      <c r="E3320" s="8"/>
      <c r="F3320" s="8"/>
    </row>
    <row r="3321" spans="4:6">
      <c r="D3321" s="8"/>
      <c r="E3321" s="8"/>
      <c r="F3321" s="8"/>
    </row>
    <row r="3322" spans="4:6">
      <c r="D3322" s="8"/>
      <c r="E3322" s="8"/>
      <c r="F3322" s="8"/>
    </row>
    <row r="3323" spans="4:6">
      <c r="D3323" s="8"/>
      <c r="E3323" s="8"/>
      <c r="F3323" s="8"/>
    </row>
    <row r="3324" spans="4:6">
      <c r="D3324" s="8"/>
      <c r="E3324" s="8"/>
      <c r="F3324" s="8"/>
    </row>
    <row r="3325" spans="4:6">
      <c r="D3325" s="8"/>
      <c r="E3325" s="8"/>
      <c r="F3325" s="8"/>
    </row>
    <row r="3326" spans="4:6">
      <c r="D3326" s="8"/>
      <c r="E3326" s="8"/>
      <c r="F3326" s="8"/>
    </row>
    <row r="3327" spans="4:6">
      <c r="D3327" s="8"/>
      <c r="E3327" s="8"/>
      <c r="F3327" s="8"/>
    </row>
    <row r="3328" spans="4:6">
      <c r="D3328" s="8"/>
      <c r="E3328" s="8"/>
      <c r="F3328" s="8"/>
    </row>
    <row r="3329" spans="4:6">
      <c r="D3329" s="8"/>
      <c r="E3329" s="8"/>
      <c r="F3329" s="8"/>
    </row>
    <row r="3330" spans="4:6">
      <c r="D3330" s="8"/>
      <c r="E3330" s="8"/>
      <c r="F3330" s="8"/>
    </row>
    <row r="3331" spans="4:6">
      <c r="D3331" s="8"/>
      <c r="E3331" s="8"/>
      <c r="F3331" s="8"/>
    </row>
    <row r="3332" spans="4:6">
      <c r="D3332" s="8"/>
      <c r="E3332" s="8"/>
      <c r="F3332" s="8"/>
    </row>
    <row r="3333" spans="4:6">
      <c r="D3333" s="8"/>
      <c r="E3333" s="8"/>
      <c r="F3333" s="8"/>
    </row>
    <row r="3334" spans="4:6">
      <c r="D3334" s="8"/>
      <c r="E3334" s="8"/>
      <c r="F3334" s="8"/>
    </row>
    <row r="3335" spans="4:6">
      <c r="D3335" s="8"/>
      <c r="E3335" s="8"/>
      <c r="F3335" s="8"/>
    </row>
    <row r="3336" spans="4:6">
      <c r="D3336" s="8"/>
      <c r="E3336" s="8"/>
      <c r="F3336" s="8"/>
    </row>
    <row r="3337" spans="4:6">
      <c r="D3337" s="8"/>
      <c r="E3337" s="8"/>
      <c r="F3337" s="8"/>
    </row>
    <row r="3338" spans="4:6">
      <c r="D3338" s="8"/>
      <c r="E3338" s="8"/>
      <c r="F3338" s="8"/>
    </row>
    <row r="3339" spans="4:6">
      <c r="D3339" s="8"/>
      <c r="E3339" s="8"/>
      <c r="F3339" s="8"/>
    </row>
    <row r="3340" spans="4:6">
      <c r="D3340" s="8"/>
      <c r="E3340" s="8"/>
      <c r="F3340" s="8"/>
    </row>
    <row r="3341" spans="4:6">
      <c r="D3341" s="8"/>
      <c r="E3341" s="8"/>
      <c r="F3341" s="8"/>
    </row>
    <row r="3342" spans="4:6">
      <c r="D3342" s="8"/>
      <c r="E3342" s="8"/>
      <c r="F3342" s="8"/>
    </row>
    <row r="3343" spans="4:6">
      <c r="D3343" s="8"/>
      <c r="E3343" s="8"/>
      <c r="F3343" s="8"/>
    </row>
    <row r="3344" spans="4:6">
      <c r="D3344" s="8"/>
      <c r="E3344" s="8"/>
      <c r="F3344" s="8"/>
    </row>
    <row r="3345" spans="4:6">
      <c r="D3345" s="8"/>
      <c r="E3345" s="8"/>
      <c r="F3345" s="8"/>
    </row>
    <row r="3346" spans="4:6">
      <c r="D3346" s="8"/>
      <c r="E3346" s="8"/>
      <c r="F3346" s="8"/>
    </row>
    <row r="3347" spans="4:6">
      <c r="D3347" s="8"/>
      <c r="E3347" s="8"/>
      <c r="F3347" s="8"/>
    </row>
    <row r="3348" spans="4:6">
      <c r="D3348" s="8"/>
      <c r="E3348" s="8"/>
      <c r="F3348" s="8"/>
    </row>
    <row r="3349" spans="4:6">
      <c r="D3349" s="8"/>
      <c r="E3349" s="8"/>
      <c r="F3349" s="8"/>
    </row>
    <row r="3350" spans="4:6">
      <c r="D3350" s="8"/>
      <c r="E3350" s="8"/>
      <c r="F3350" s="8"/>
    </row>
    <row r="3351" spans="4:6">
      <c r="D3351" s="8"/>
      <c r="E3351" s="8"/>
      <c r="F3351" s="8"/>
    </row>
    <row r="3352" spans="4:6">
      <c r="D3352" s="8"/>
      <c r="E3352" s="8"/>
      <c r="F3352" s="8"/>
    </row>
    <row r="3353" spans="4:6">
      <c r="D3353" s="8"/>
      <c r="E3353" s="8"/>
      <c r="F3353" s="8"/>
    </row>
    <row r="3354" spans="4:6">
      <c r="D3354" s="8"/>
      <c r="E3354" s="8"/>
      <c r="F3354" s="8"/>
    </row>
    <row r="3355" spans="4:6">
      <c r="D3355" s="8"/>
      <c r="E3355" s="8"/>
      <c r="F3355" s="8"/>
    </row>
    <row r="3356" spans="4:6">
      <c r="D3356" s="8"/>
      <c r="E3356" s="8"/>
      <c r="F3356" s="8"/>
    </row>
    <row r="3357" spans="4:6">
      <c r="D3357" s="8"/>
      <c r="E3357" s="8"/>
      <c r="F3357" s="8"/>
    </row>
    <row r="3358" spans="4:6">
      <c r="D3358" s="8"/>
      <c r="E3358" s="8"/>
      <c r="F3358" s="8"/>
    </row>
    <row r="3359" spans="4:6">
      <c r="D3359" s="8"/>
      <c r="E3359" s="8"/>
      <c r="F3359" s="8"/>
    </row>
    <row r="3360" spans="4:6">
      <c r="D3360" s="8"/>
      <c r="E3360" s="8"/>
      <c r="F3360" s="8"/>
    </row>
    <row r="3361" spans="4:6">
      <c r="D3361" s="8"/>
      <c r="E3361" s="8"/>
      <c r="F3361" s="8"/>
    </row>
    <row r="3362" spans="4:6">
      <c r="D3362" s="8"/>
      <c r="E3362" s="8"/>
      <c r="F3362" s="8"/>
    </row>
    <row r="3363" spans="4:6">
      <c r="D3363" s="8"/>
      <c r="E3363" s="8"/>
      <c r="F3363" s="8"/>
    </row>
    <row r="3364" spans="4:6">
      <c r="D3364" s="8"/>
      <c r="E3364" s="8"/>
      <c r="F3364" s="8"/>
    </row>
    <row r="3365" spans="4:6">
      <c r="D3365" s="8"/>
      <c r="E3365" s="8"/>
      <c r="F3365" s="8"/>
    </row>
    <row r="3366" spans="4:6">
      <c r="D3366" s="8"/>
      <c r="E3366" s="8"/>
      <c r="F3366" s="8"/>
    </row>
    <row r="3367" spans="4:6">
      <c r="D3367" s="8"/>
      <c r="E3367" s="8"/>
      <c r="F3367" s="8"/>
    </row>
    <row r="3368" spans="4:6">
      <c r="D3368" s="8"/>
      <c r="E3368" s="8"/>
      <c r="F3368" s="8"/>
    </row>
    <row r="3369" spans="4:6">
      <c r="D3369" s="8"/>
      <c r="E3369" s="8"/>
      <c r="F3369" s="8"/>
    </row>
    <row r="3370" spans="4:6">
      <c r="D3370" s="8"/>
      <c r="E3370" s="8"/>
      <c r="F3370" s="8"/>
    </row>
    <row r="3371" spans="4:6">
      <c r="D3371" s="8"/>
      <c r="E3371" s="8"/>
      <c r="F3371" s="8"/>
    </row>
    <row r="3372" spans="4:6">
      <c r="D3372" s="8"/>
      <c r="E3372" s="8"/>
      <c r="F3372" s="8"/>
    </row>
    <row r="3373" spans="4:6">
      <c r="D3373" s="8"/>
      <c r="E3373" s="8"/>
      <c r="F3373" s="8"/>
    </row>
    <row r="3374" spans="4:6">
      <c r="D3374" s="8"/>
      <c r="E3374" s="8"/>
      <c r="F3374" s="8"/>
    </row>
    <row r="3375" spans="4:6">
      <c r="D3375" s="8"/>
      <c r="E3375" s="8"/>
      <c r="F3375" s="8"/>
    </row>
    <row r="3376" spans="4:6">
      <c r="D3376" s="8"/>
      <c r="E3376" s="8"/>
      <c r="F3376" s="8"/>
    </row>
    <row r="3377" spans="4:6">
      <c r="D3377" s="8"/>
      <c r="E3377" s="8"/>
      <c r="F3377" s="8"/>
    </row>
    <row r="3378" spans="4:6">
      <c r="D3378" s="8"/>
      <c r="E3378" s="8"/>
      <c r="F3378" s="8"/>
    </row>
    <row r="3379" spans="4:6">
      <c r="D3379" s="8"/>
      <c r="E3379" s="8"/>
      <c r="F3379" s="8"/>
    </row>
    <row r="3380" spans="4:6">
      <c r="D3380" s="8"/>
      <c r="E3380" s="8"/>
      <c r="F3380" s="8"/>
    </row>
    <row r="3381" spans="4:6">
      <c r="D3381" s="8"/>
      <c r="E3381" s="8"/>
      <c r="F3381" s="8"/>
    </row>
    <row r="3382" spans="4:6">
      <c r="D3382" s="8"/>
      <c r="E3382" s="8"/>
      <c r="F3382" s="8"/>
    </row>
    <row r="3383" spans="4:6">
      <c r="D3383" s="8"/>
      <c r="E3383" s="8"/>
      <c r="F3383" s="8"/>
    </row>
    <row r="3384" spans="4:6">
      <c r="D3384" s="8"/>
      <c r="E3384" s="8"/>
      <c r="F3384" s="8"/>
    </row>
    <row r="3385" spans="4:6">
      <c r="D3385" s="8"/>
      <c r="E3385" s="8"/>
      <c r="F3385" s="8"/>
    </row>
    <row r="3386" spans="4:6">
      <c r="D3386" s="8"/>
      <c r="E3386" s="8"/>
      <c r="F3386" s="8"/>
    </row>
    <row r="3387" spans="4:6">
      <c r="D3387" s="8"/>
      <c r="E3387" s="8"/>
      <c r="F3387" s="8"/>
    </row>
    <row r="3388" spans="4:6">
      <c r="D3388" s="8"/>
      <c r="E3388" s="8"/>
      <c r="F3388" s="8"/>
    </row>
    <row r="3389" spans="4:6">
      <c r="D3389" s="8"/>
      <c r="E3389" s="8"/>
      <c r="F3389" s="8"/>
    </row>
    <row r="3390" spans="4:6">
      <c r="D3390" s="8"/>
      <c r="E3390" s="8"/>
      <c r="F3390" s="8"/>
    </row>
    <row r="3391" spans="4:6">
      <c r="D3391" s="8"/>
      <c r="E3391" s="8"/>
      <c r="F3391" s="8"/>
    </row>
    <row r="3392" spans="4:6">
      <c r="D3392" s="8"/>
      <c r="E3392" s="8"/>
      <c r="F3392" s="8"/>
    </row>
    <row r="3393" spans="4:6">
      <c r="D3393" s="8"/>
      <c r="E3393" s="8"/>
      <c r="F3393" s="8"/>
    </row>
    <row r="3394" spans="4:6">
      <c r="D3394" s="8"/>
      <c r="E3394" s="8"/>
      <c r="F3394" s="8"/>
    </row>
    <row r="3395" spans="4:6">
      <c r="D3395" s="8"/>
      <c r="E3395" s="8"/>
      <c r="F3395" s="8"/>
    </row>
    <row r="3396" spans="4:6">
      <c r="D3396" s="8"/>
      <c r="E3396" s="8"/>
      <c r="F3396" s="8"/>
    </row>
    <row r="3397" spans="4:6">
      <c r="D3397" s="8"/>
      <c r="E3397" s="8"/>
      <c r="F3397" s="8"/>
    </row>
    <row r="3398" spans="4:6">
      <c r="D3398" s="8"/>
      <c r="E3398" s="8"/>
      <c r="F3398" s="8"/>
    </row>
    <row r="3399" spans="4:6">
      <c r="D3399" s="8"/>
      <c r="E3399" s="8"/>
      <c r="F3399" s="8"/>
    </row>
    <row r="3400" spans="4:6">
      <c r="D3400" s="8"/>
      <c r="E3400" s="8"/>
      <c r="F3400" s="8"/>
    </row>
    <row r="3401" spans="4:6">
      <c r="D3401" s="8"/>
      <c r="E3401" s="8"/>
      <c r="F3401" s="8"/>
    </row>
    <row r="3402" spans="4:6">
      <c r="D3402" s="8"/>
      <c r="E3402" s="8"/>
      <c r="F3402" s="8"/>
    </row>
    <row r="3403" spans="4:6">
      <c r="D3403" s="8"/>
      <c r="E3403" s="8"/>
      <c r="F3403" s="8"/>
    </row>
    <row r="3404" spans="4:6">
      <c r="D3404" s="8"/>
      <c r="E3404" s="8"/>
      <c r="F3404" s="8"/>
    </row>
    <row r="3405" spans="4:6">
      <c r="D3405" s="8"/>
      <c r="E3405" s="8"/>
      <c r="F3405" s="8"/>
    </row>
    <row r="3406" spans="4:6">
      <c r="D3406" s="8"/>
      <c r="E3406" s="8"/>
      <c r="F3406" s="8"/>
    </row>
    <row r="3407" spans="4:6">
      <c r="D3407" s="8"/>
      <c r="E3407" s="8"/>
      <c r="F3407" s="8"/>
    </row>
    <row r="3408" spans="4:6">
      <c r="D3408" s="8"/>
      <c r="E3408" s="8"/>
      <c r="F3408" s="8"/>
    </row>
    <row r="3409" spans="4:6">
      <c r="D3409" s="8"/>
      <c r="E3409" s="8"/>
      <c r="F3409" s="8"/>
    </row>
    <row r="3410" spans="4:6">
      <c r="D3410" s="8"/>
      <c r="E3410" s="8"/>
      <c r="F3410" s="8"/>
    </row>
    <row r="3411" spans="4:6">
      <c r="D3411" s="8"/>
      <c r="E3411" s="8"/>
      <c r="F3411" s="8"/>
    </row>
    <row r="3412" spans="4:6">
      <c r="D3412" s="8"/>
      <c r="E3412" s="8"/>
      <c r="F3412" s="8"/>
    </row>
    <row r="3413" spans="4:6">
      <c r="D3413" s="8"/>
      <c r="E3413" s="8"/>
      <c r="F3413" s="8"/>
    </row>
    <row r="3414" spans="4:6">
      <c r="D3414" s="8"/>
      <c r="E3414" s="8"/>
      <c r="F3414" s="8"/>
    </row>
    <row r="3415" spans="4:6">
      <c r="D3415" s="8"/>
      <c r="E3415" s="8"/>
      <c r="F3415" s="8"/>
    </row>
    <row r="3416" spans="4:6">
      <c r="D3416" s="8"/>
      <c r="E3416" s="8"/>
      <c r="F3416" s="8"/>
    </row>
    <row r="3417" spans="4:6">
      <c r="D3417" s="8"/>
      <c r="E3417" s="8"/>
      <c r="F3417" s="8"/>
    </row>
    <row r="3418" spans="4:6">
      <c r="D3418" s="8"/>
      <c r="E3418" s="8"/>
      <c r="F3418" s="8"/>
    </row>
    <row r="3419" spans="4:6">
      <c r="D3419" s="8"/>
      <c r="E3419" s="8"/>
      <c r="F3419" s="8"/>
    </row>
    <row r="3420" spans="4:6">
      <c r="D3420" s="8"/>
      <c r="E3420" s="8"/>
      <c r="F3420" s="8"/>
    </row>
    <row r="3421" spans="4:6">
      <c r="D3421" s="8"/>
      <c r="E3421" s="8"/>
      <c r="F3421" s="8"/>
    </row>
    <row r="3422" spans="4:6">
      <c r="D3422" s="8"/>
      <c r="E3422" s="8"/>
      <c r="F3422" s="8"/>
    </row>
    <row r="3423" spans="4:6">
      <c r="D3423" s="8"/>
      <c r="E3423" s="8"/>
      <c r="F3423" s="8"/>
    </row>
    <row r="3424" spans="4:6">
      <c r="D3424" s="8"/>
      <c r="E3424" s="8"/>
      <c r="F3424" s="8"/>
    </row>
    <row r="3425" spans="4:6">
      <c r="D3425" s="8"/>
      <c r="E3425" s="8"/>
      <c r="F3425" s="8"/>
    </row>
    <row r="3426" spans="4:6">
      <c r="D3426" s="8"/>
      <c r="E3426" s="8"/>
      <c r="F3426" s="8"/>
    </row>
    <row r="3427" spans="4:6">
      <c r="D3427" s="8"/>
      <c r="E3427" s="8"/>
      <c r="F3427" s="8"/>
    </row>
    <row r="3428" spans="4:6">
      <c r="D3428" s="8"/>
      <c r="E3428" s="8"/>
      <c r="F3428" s="8"/>
    </row>
    <row r="3429" spans="4:6">
      <c r="D3429" s="8"/>
      <c r="E3429" s="8"/>
      <c r="F3429" s="8"/>
    </row>
    <row r="3430" spans="4:6">
      <c r="D3430" s="8"/>
      <c r="E3430" s="8"/>
      <c r="F3430" s="8"/>
    </row>
    <row r="3431" spans="4:6">
      <c r="D3431" s="8"/>
      <c r="E3431" s="8"/>
      <c r="F3431" s="8"/>
    </row>
    <row r="3432" spans="4:6">
      <c r="D3432" s="8"/>
      <c r="E3432" s="8"/>
      <c r="F3432" s="8"/>
    </row>
    <row r="3433" spans="4:6">
      <c r="D3433" s="8"/>
      <c r="E3433" s="8"/>
      <c r="F3433" s="8"/>
    </row>
    <row r="3434" spans="4:6">
      <c r="D3434" s="8"/>
      <c r="E3434" s="8"/>
      <c r="F3434" s="8"/>
    </row>
    <row r="3435" spans="4:6">
      <c r="D3435" s="8"/>
      <c r="E3435" s="8"/>
      <c r="F3435" s="8"/>
    </row>
    <row r="3436" spans="4:6">
      <c r="D3436" s="8"/>
      <c r="E3436" s="8"/>
      <c r="F3436" s="8"/>
    </row>
    <row r="3437" spans="4:6">
      <c r="D3437" s="8"/>
      <c r="E3437" s="8"/>
      <c r="F3437" s="8"/>
    </row>
    <row r="3438" spans="4:6">
      <c r="D3438" s="8"/>
      <c r="E3438" s="8"/>
      <c r="F3438" s="8"/>
    </row>
    <row r="3439" spans="4:6">
      <c r="D3439" s="8"/>
      <c r="E3439" s="8"/>
      <c r="F3439" s="8"/>
    </row>
    <row r="3440" spans="4:6">
      <c r="D3440" s="8"/>
      <c r="E3440" s="8"/>
      <c r="F3440" s="8"/>
    </row>
    <row r="3441" spans="4:6">
      <c r="D3441" s="8"/>
      <c r="E3441" s="8"/>
      <c r="F3441" s="8"/>
    </row>
    <row r="3442" spans="4:6">
      <c r="D3442" s="8"/>
      <c r="E3442" s="8"/>
      <c r="F3442" s="8"/>
    </row>
    <row r="3443" spans="4:6">
      <c r="D3443" s="8"/>
      <c r="E3443" s="8"/>
      <c r="F3443" s="8"/>
    </row>
    <row r="3444" spans="4:6">
      <c r="D3444" s="8"/>
      <c r="E3444" s="8"/>
      <c r="F3444" s="8"/>
    </row>
    <row r="3445" spans="4:6">
      <c r="D3445" s="8"/>
      <c r="E3445" s="8"/>
      <c r="F3445" s="8"/>
    </row>
    <row r="3446" spans="4:6">
      <c r="D3446" s="8"/>
      <c r="E3446" s="8"/>
      <c r="F3446" s="8"/>
    </row>
    <row r="3447" spans="4:6">
      <c r="D3447" s="8"/>
      <c r="E3447" s="8"/>
      <c r="F3447" s="8"/>
    </row>
    <row r="3448" spans="4:6">
      <c r="D3448" s="8"/>
      <c r="E3448" s="8"/>
      <c r="F3448" s="8"/>
    </row>
    <row r="3449" spans="4:6">
      <c r="D3449" s="8"/>
      <c r="E3449" s="8"/>
      <c r="F3449" s="8"/>
    </row>
    <row r="3450" spans="4:6">
      <c r="D3450" s="8"/>
      <c r="E3450" s="8"/>
      <c r="F3450" s="8"/>
    </row>
    <row r="3451" spans="4:6">
      <c r="D3451" s="8"/>
      <c r="E3451" s="8"/>
      <c r="F3451" s="8"/>
    </row>
    <row r="3452" spans="4:6">
      <c r="D3452" s="8"/>
      <c r="E3452" s="8"/>
      <c r="F3452" s="8"/>
    </row>
    <row r="3453" spans="4:6">
      <c r="D3453" s="8"/>
      <c r="E3453" s="8"/>
      <c r="F3453" s="8"/>
    </row>
    <row r="3454" spans="4:6">
      <c r="D3454" s="8"/>
      <c r="E3454" s="8"/>
      <c r="F3454" s="8"/>
    </row>
    <row r="3455" spans="4:6">
      <c r="D3455" s="8"/>
      <c r="E3455" s="8"/>
      <c r="F3455" s="8"/>
    </row>
    <row r="3456" spans="4:6">
      <c r="D3456" s="8"/>
      <c r="E3456" s="8"/>
      <c r="F3456" s="8"/>
    </row>
    <row r="3457" spans="4:6">
      <c r="D3457" s="8"/>
      <c r="E3457" s="8"/>
      <c r="F3457" s="8"/>
    </row>
    <row r="3458" spans="4:6">
      <c r="D3458" s="8"/>
      <c r="E3458" s="8"/>
      <c r="F3458" s="8"/>
    </row>
    <row r="3459" spans="4:6">
      <c r="D3459" s="8"/>
      <c r="E3459" s="8"/>
      <c r="F3459" s="8"/>
    </row>
    <row r="3460" spans="4:6">
      <c r="D3460" s="8"/>
      <c r="E3460" s="8"/>
      <c r="F3460" s="8"/>
    </row>
    <row r="3461" spans="4:6">
      <c r="D3461" s="8"/>
      <c r="E3461" s="8"/>
      <c r="F3461" s="8"/>
    </row>
    <row r="3462" spans="4:6">
      <c r="D3462" s="8"/>
      <c r="E3462" s="8"/>
      <c r="F3462" s="8"/>
    </row>
    <row r="3463" spans="4:6">
      <c r="D3463" s="8"/>
      <c r="E3463" s="8"/>
      <c r="F3463" s="8"/>
    </row>
    <row r="3464" spans="4:6">
      <c r="D3464" s="8"/>
      <c r="E3464" s="8"/>
      <c r="F3464" s="8"/>
    </row>
    <row r="3465" spans="4:6">
      <c r="D3465" s="8"/>
      <c r="E3465" s="8"/>
      <c r="F3465" s="8"/>
    </row>
    <row r="3466" spans="4:6">
      <c r="D3466" s="8"/>
      <c r="E3466" s="8"/>
      <c r="F3466" s="8"/>
    </row>
    <row r="3467" spans="4:6">
      <c r="D3467" s="8"/>
      <c r="E3467" s="8"/>
      <c r="F3467" s="8"/>
    </row>
    <row r="3468" spans="4:6">
      <c r="D3468" s="8"/>
      <c r="E3468" s="8"/>
      <c r="F3468" s="8"/>
    </row>
    <row r="3469" spans="4:6">
      <c r="D3469" s="8"/>
      <c r="E3469" s="8"/>
      <c r="F3469" s="8"/>
    </row>
    <row r="3470" spans="4:6">
      <c r="D3470" s="8"/>
      <c r="E3470" s="8"/>
      <c r="F3470" s="8"/>
    </row>
    <row r="3471" spans="4:6">
      <c r="D3471" s="8"/>
      <c r="E3471" s="8"/>
      <c r="F3471" s="8"/>
    </row>
    <row r="3472" spans="4:6">
      <c r="D3472" s="8"/>
      <c r="E3472" s="8"/>
      <c r="F3472" s="8"/>
    </row>
    <row r="3473" spans="4:6">
      <c r="D3473" s="8"/>
      <c r="E3473" s="8"/>
      <c r="F3473" s="8"/>
    </row>
    <row r="3474" spans="4:6">
      <c r="D3474" s="8"/>
      <c r="E3474" s="8"/>
      <c r="F3474" s="8"/>
    </row>
    <row r="3475" spans="4:6">
      <c r="D3475" s="8"/>
      <c r="E3475" s="8"/>
      <c r="F3475" s="8"/>
    </row>
    <row r="3476" spans="4:6">
      <c r="D3476" s="8"/>
      <c r="E3476" s="8"/>
      <c r="F3476" s="8"/>
    </row>
    <row r="3477" spans="4:6">
      <c r="D3477" s="8"/>
      <c r="E3477" s="8"/>
      <c r="F3477" s="8"/>
    </row>
    <row r="3478" spans="4:6">
      <c r="D3478" s="8"/>
      <c r="E3478" s="8"/>
      <c r="F3478" s="8"/>
    </row>
    <row r="3479" spans="4:6">
      <c r="D3479" s="8"/>
      <c r="E3479" s="8"/>
      <c r="F3479" s="8"/>
    </row>
    <row r="3480" spans="4:6">
      <c r="D3480" s="8"/>
      <c r="E3480" s="8"/>
      <c r="F3480" s="8"/>
    </row>
    <row r="3481" spans="4:6">
      <c r="D3481" s="8"/>
      <c r="E3481" s="8"/>
      <c r="F3481" s="8"/>
    </row>
    <row r="3482" spans="4:6">
      <c r="D3482" s="8"/>
      <c r="E3482" s="8"/>
      <c r="F3482" s="8"/>
    </row>
    <row r="3483" spans="4:6">
      <c r="D3483" s="8"/>
      <c r="E3483" s="8"/>
      <c r="F3483" s="8"/>
    </row>
    <row r="3484" spans="4:6">
      <c r="D3484" s="8"/>
      <c r="E3484" s="8"/>
      <c r="F3484" s="8"/>
    </row>
    <row r="3485" spans="4:6">
      <c r="D3485" s="8"/>
      <c r="E3485" s="8"/>
      <c r="F3485" s="8"/>
    </row>
    <row r="3486" spans="4:6">
      <c r="D3486" s="8"/>
      <c r="E3486" s="8"/>
      <c r="F3486" s="8"/>
    </row>
    <row r="3487" spans="4:6">
      <c r="D3487" s="8"/>
      <c r="E3487" s="8"/>
      <c r="F3487" s="8"/>
    </row>
    <row r="3488" spans="4:6">
      <c r="D3488" s="8"/>
      <c r="E3488" s="8"/>
      <c r="F3488" s="8"/>
    </row>
    <row r="3489" spans="4:6">
      <c r="D3489" s="8"/>
      <c r="E3489" s="8"/>
      <c r="F3489" s="8"/>
    </row>
    <row r="3490" spans="4:6">
      <c r="D3490" s="8"/>
      <c r="E3490" s="8"/>
      <c r="F3490" s="8"/>
    </row>
    <row r="3491" spans="4:6">
      <c r="D3491" s="8"/>
      <c r="E3491" s="8"/>
      <c r="F3491" s="8"/>
    </row>
    <row r="3492" spans="4:6">
      <c r="D3492" s="8"/>
      <c r="E3492" s="8"/>
      <c r="F3492" s="8"/>
    </row>
    <row r="3493" spans="4:6">
      <c r="D3493" s="8"/>
      <c r="E3493" s="8"/>
      <c r="F3493" s="8"/>
    </row>
    <row r="3494" spans="4:6">
      <c r="D3494" s="8"/>
      <c r="E3494" s="8"/>
      <c r="F3494" s="8"/>
    </row>
    <row r="3495" spans="4:6">
      <c r="D3495" s="8"/>
      <c r="E3495" s="8"/>
      <c r="F3495" s="8"/>
    </row>
    <row r="3496" spans="4:6">
      <c r="D3496" s="8"/>
      <c r="E3496" s="8"/>
      <c r="F3496" s="8"/>
    </row>
    <row r="3497" spans="4:6">
      <c r="D3497" s="8"/>
      <c r="E3497" s="8"/>
      <c r="F3497" s="8"/>
    </row>
    <row r="3498" spans="4:6">
      <c r="D3498" s="8"/>
      <c r="E3498" s="8"/>
      <c r="F3498" s="8"/>
    </row>
    <row r="3499" spans="4:6">
      <c r="D3499" s="8"/>
      <c r="E3499" s="8"/>
      <c r="F3499" s="8"/>
    </row>
    <row r="3500" spans="4:6">
      <c r="D3500" s="8"/>
      <c r="E3500" s="8"/>
      <c r="F3500" s="8"/>
    </row>
    <row r="3501" spans="4:6">
      <c r="D3501" s="8"/>
      <c r="E3501" s="8"/>
      <c r="F3501" s="8"/>
    </row>
    <row r="3502" spans="4:6">
      <c r="D3502" s="8"/>
      <c r="E3502" s="8"/>
      <c r="F3502" s="8"/>
    </row>
    <row r="3503" spans="4:6">
      <c r="D3503" s="8"/>
      <c r="E3503" s="8"/>
      <c r="F3503" s="8"/>
    </row>
    <row r="3504" spans="4:6">
      <c r="D3504" s="8"/>
      <c r="E3504" s="8"/>
      <c r="F3504" s="8"/>
    </row>
    <row r="3505" spans="4:6">
      <c r="D3505" s="8"/>
      <c r="E3505" s="8"/>
      <c r="F3505" s="8"/>
    </row>
    <row r="3506" spans="4:6">
      <c r="D3506" s="8"/>
      <c r="E3506" s="8"/>
      <c r="F3506" s="8"/>
    </row>
    <row r="3507" spans="4:6">
      <c r="D3507" s="8"/>
      <c r="E3507" s="8"/>
      <c r="F3507" s="8"/>
    </row>
    <row r="3508" spans="4:6">
      <c r="D3508" s="8"/>
      <c r="E3508" s="8"/>
      <c r="F3508" s="8"/>
    </row>
    <row r="3509" spans="4:6">
      <c r="D3509" s="8"/>
      <c r="E3509" s="8"/>
      <c r="F3509" s="8"/>
    </row>
    <row r="3510" spans="4:6">
      <c r="D3510" s="8"/>
      <c r="E3510" s="8"/>
      <c r="F3510" s="8"/>
    </row>
    <row r="3511" spans="4:6">
      <c r="D3511" s="8"/>
      <c r="E3511" s="8"/>
      <c r="F3511" s="8"/>
    </row>
    <row r="3512" spans="4:6">
      <c r="D3512" s="8"/>
      <c r="E3512" s="8"/>
      <c r="F3512" s="8"/>
    </row>
    <row r="3513" spans="4:6">
      <c r="D3513" s="8"/>
      <c r="E3513" s="8"/>
      <c r="F3513" s="8"/>
    </row>
    <row r="3514" spans="4:6">
      <c r="D3514" s="8"/>
      <c r="E3514" s="8"/>
      <c r="F3514" s="8"/>
    </row>
    <row r="3515" spans="4:6">
      <c r="D3515" s="8"/>
      <c r="E3515" s="8"/>
      <c r="F3515" s="8"/>
    </row>
    <row r="3516" spans="4:6">
      <c r="D3516" s="8"/>
      <c r="E3516" s="8"/>
      <c r="F3516" s="8"/>
    </row>
    <row r="3517" spans="4:6">
      <c r="D3517" s="8"/>
      <c r="E3517" s="8"/>
      <c r="F3517" s="8"/>
    </row>
    <row r="3518" spans="4:6">
      <c r="D3518" s="8"/>
      <c r="E3518" s="8"/>
      <c r="F3518" s="8"/>
    </row>
    <row r="3519" spans="4:6">
      <c r="D3519" s="8"/>
      <c r="E3519" s="8"/>
      <c r="F3519" s="8"/>
    </row>
    <row r="3520" spans="4:6">
      <c r="D3520" s="8"/>
      <c r="E3520" s="8"/>
      <c r="F3520" s="8"/>
    </row>
    <row r="3521" spans="4:6">
      <c r="D3521" s="8"/>
      <c r="E3521" s="8"/>
      <c r="F3521" s="8"/>
    </row>
    <row r="3522" spans="4:6">
      <c r="D3522" s="8"/>
      <c r="E3522" s="8"/>
      <c r="F3522" s="8"/>
    </row>
    <row r="3523" spans="4:6">
      <c r="D3523" s="8"/>
      <c r="E3523" s="8"/>
      <c r="F3523" s="8"/>
    </row>
    <row r="3524" spans="4:6">
      <c r="D3524" s="8"/>
      <c r="E3524" s="8"/>
      <c r="F3524" s="8"/>
    </row>
    <row r="3525" spans="4:6">
      <c r="D3525" s="8"/>
      <c r="E3525" s="8"/>
      <c r="F3525" s="8"/>
    </row>
    <row r="3526" spans="4:6">
      <c r="D3526" s="8"/>
      <c r="E3526" s="8"/>
      <c r="F3526" s="8"/>
    </row>
    <row r="3527" spans="4:6">
      <c r="D3527" s="8"/>
      <c r="E3527" s="8"/>
      <c r="F3527" s="8"/>
    </row>
    <row r="3528" spans="4:6">
      <c r="D3528" s="8"/>
      <c r="E3528" s="8"/>
      <c r="F3528" s="8"/>
    </row>
    <row r="3529" spans="4:6">
      <c r="D3529" s="8"/>
      <c r="E3529" s="8"/>
      <c r="F3529" s="8"/>
    </row>
    <row r="3530" spans="4:6">
      <c r="D3530" s="8"/>
      <c r="E3530" s="8"/>
      <c r="F3530" s="8"/>
    </row>
    <row r="3531" spans="4:6">
      <c r="D3531" s="8"/>
      <c r="E3531" s="8"/>
      <c r="F3531" s="8"/>
    </row>
    <row r="3532" spans="4:6">
      <c r="D3532" s="8"/>
      <c r="E3532" s="8"/>
      <c r="F3532" s="8"/>
    </row>
    <row r="3533" spans="4:6">
      <c r="D3533" s="8"/>
      <c r="E3533" s="8"/>
      <c r="F3533" s="8"/>
    </row>
    <row r="3534" spans="4:6">
      <c r="D3534" s="8"/>
      <c r="E3534" s="8"/>
      <c r="F3534" s="8"/>
    </row>
    <row r="3535" spans="4:6">
      <c r="D3535" s="8"/>
      <c r="E3535" s="8"/>
      <c r="F3535" s="8"/>
    </row>
    <row r="3536" spans="4:6">
      <c r="D3536" s="8"/>
      <c r="E3536" s="8"/>
      <c r="F3536" s="8"/>
    </row>
    <row r="3537" spans="4:6">
      <c r="D3537" s="8"/>
      <c r="E3537" s="8"/>
      <c r="F3537" s="8"/>
    </row>
    <row r="3538" spans="4:6">
      <c r="D3538" s="8"/>
      <c r="E3538" s="8"/>
      <c r="F3538" s="8"/>
    </row>
    <row r="3539" spans="4:6">
      <c r="D3539" s="8"/>
      <c r="E3539" s="8"/>
      <c r="F3539" s="8"/>
    </row>
    <row r="3540" spans="4:6">
      <c r="D3540" s="8"/>
      <c r="E3540" s="8"/>
      <c r="F3540" s="8"/>
    </row>
    <row r="3541" spans="4:6">
      <c r="D3541" s="8"/>
      <c r="E3541" s="8"/>
      <c r="F3541" s="8"/>
    </row>
    <row r="3542" spans="4:6">
      <c r="D3542" s="8"/>
      <c r="E3542" s="8"/>
      <c r="F3542" s="8"/>
    </row>
    <row r="3543" spans="4:6">
      <c r="D3543" s="8"/>
      <c r="E3543" s="8"/>
      <c r="F3543" s="8"/>
    </row>
    <row r="3544" spans="4:6">
      <c r="D3544" s="8"/>
      <c r="E3544" s="8"/>
      <c r="F3544" s="8"/>
    </row>
    <row r="3545" spans="4:6">
      <c r="D3545" s="8"/>
      <c r="E3545" s="8"/>
      <c r="F3545" s="8"/>
    </row>
    <row r="3546" spans="4:6">
      <c r="D3546" s="8"/>
      <c r="E3546" s="8"/>
      <c r="F3546" s="8"/>
    </row>
    <row r="3547" spans="4:6">
      <c r="D3547" s="8"/>
      <c r="E3547" s="8"/>
      <c r="F3547" s="8"/>
    </row>
    <row r="3548" spans="4:6">
      <c r="D3548" s="8"/>
      <c r="E3548" s="8"/>
      <c r="F3548" s="8"/>
    </row>
    <row r="3549" spans="4:6">
      <c r="D3549" s="8"/>
      <c r="E3549" s="8"/>
      <c r="F3549" s="8"/>
    </row>
    <row r="3550" spans="4:6">
      <c r="D3550" s="8"/>
      <c r="E3550" s="8"/>
      <c r="F3550" s="8"/>
    </row>
    <row r="3551" spans="4:6">
      <c r="D3551" s="8"/>
      <c r="E3551" s="8"/>
      <c r="F3551" s="8"/>
    </row>
    <row r="3552" spans="4:6">
      <c r="D3552" s="8"/>
      <c r="E3552" s="8"/>
      <c r="F3552" s="8"/>
    </row>
    <row r="3553" spans="4:6">
      <c r="D3553" s="8"/>
      <c r="E3553" s="8"/>
      <c r="F3553" s="8"/>
    </row>
    <row r="3554" spans="4:6">
      <c r="D3554" s="8"/>
      <c r="E3554" s="8"/>
      <c r="F3554" s="8"/>
    </row>
    <row r="3555" spans="4:6">
      <c r="D3555" s="8"/>
      <c r="E3555" s="8"/>
      <c r="F3555" s="8"/>
    </row>
    <row r="3556" spans="4:6">
      <c r="D3556" s="8"/>
      <c r="E3556" s="8"/>
      <c r="F3556" s="8"/>
    </row>
    <row r="3557" spans="4:6">
      <c r="D3557" s="8"/>
      <c r="E3557" s="8"/>
      <c r="F3557" s="8"/>
    </row>
    <row r="3558" spans="4:6">
      <c r="D3558" s="8"/>
      <c r="E3558" s="8"/>
      <c r="F3558" s="8"/>
    </row>
    <row r="3559" spans="4:6">
      <c r="D3559" s="8"/>
      <c r="E3559" s="8"/>
      <c r="F3559" s="8"/>
    </row>
    <row r="3560" spans="4:6">
      <c r="D3560" s="8"/>
      <c r="E3560" s="8"/>
      <c r="F3560" s="8"/>
    </row>
    <row r="3561" spans="4:6">
      <c r="D3561" s="8"/>
      <c r="E3561" s="8"/>
      <c r="F3561" s="8"/>
    </row>
    <row r="3562" spans="4:6">
      <c r="D3562" s="8"/>
      <c r="E3562" s="8"/>
      <c r="F3562" s="8"/>
    </row>
    <row r="3563" spans="4:6">
      <c r="D3563" s="8"/>
      <c r="E3563" s="8"/>
      <c r="F3563" s="8"/>
    </row>
    <row r="3564" spans="4:6">
      <c r="D3564" s="8"/>
      <c r="E3564" s="8"/>
      <c r="F3564" s="8"/>
    </row>
    <row r="3565" spans="4:6">
      <c r="D3565" s="8"/>
      <c r="E3565" s="8"/>
      <c r="F3565" s="8"/>
    </row>
    <row r="3566" spans="4:6">
      <c r="D3566" s="8"/>
      <c r="E3566" s="8"/>
      <c r="F3566" s="8"/>
    </row>
    <row r="3567" spans="4:6">
      <c r="D3567" s="8"/>
      <c r="E3567" s="8"/>
      <c r="F3567" s="8"/>
    </row>
    <row r="3568" spans="4:6">
      <c r="D3568" s="8"/>
      <c r="E3568" s="8"/>
      <c r="F3568" s="8"/>
    </row>
    <row r="3569" spans="4:6">
      <c r="D3569" s="8"/>
      <c r="E3569" s="8"/>
      <c r="F3569" s="8"/>
    </row>
    <row r="3570" spans="4:6">
      <c r="D3570" s="8"/>
      <c r="E3570" s="8"/>
      <c r="F3570" s="8"/>
    </row>
    <row r="3571" spans="4:6">
      <c r="D3571" s="8"/>
      <c r="E3571" s="8"/>
      <c r="F3571" s="8"/>
    </row>
    <row r="3572" spans="4:6">
      <c r="D3572" s="8"/>
      <c r="E3572" s="8"/>
      <c r="F3572" s="8"/>
    </row>
    <row r="3573" spans="4:6">
      <c r="D3573" s="8"/>
      <c r="E3573" s="8"/>
      <c r="F3573" s="8"/>
    </row>
    <row r="3574" spans="4:6">
      <c r="D3574" s="8"/>
      <c r="E3574" s="8"/>
      <c r="F3574" s="8"/>
    </row>
    <row r="3575" spans="4:6">
      <c r="D3575" s="8"/>
      <c r="E3575" s="8"/>
      <c r="F3575" s="8"/>
    </row>
    <row r="3576" spans="4:6">
      <c r="D3576" s="8"/>
      <c r="E3576" s="8"/>
      <c r="F3576" s="8"/>
    </row>
    <row r="3577" spans="4:6">
      <c r="D3577" s="8"/>
      <c r="E3577" s="8"/>
      <c r="F3577" s="8"/>
    </row>
    <row r="3578" spans="4:6">
      <c r="D3578" s="8"/>
      <c r="E3578" s="8"/>
      <c r="F3578" s="8"/>
    </row>
    <row r="3579" spans="4:6">
      <c r="D3579" s="8"/>
      <c r="E3579" s="8"/>
      <c r="F3579" s="8"/>
    </row>
    <row r="3580" spans="4:6">
      <c r="D3580" s="8"/>
      <c r="E3580" s="8"/>
      <c r="F3580" s="8"/>
    </row>
    <row r="3581" spans="4:6">
      <c r="D3581" s="8"/>
      <c r="E3581" s="8"/>
      <c r="F3581" s="8"/>
    </row>
    <row r="3582" spans="4:6">
      <c r="D3582" s="8"/>
      <c r="E3582" s="8"/>
      <c r="F3582" s="8"/>
    </row>
    <row r="3583" spans="4:6">
      <c r="D3583" s="8"/>
      <c r="E3583" s="8"/>
      <c r="F3583" s="8"/>
    </row>
    <row r="3584" spans="4:6">
      <c r="D3584" s="8"/>
      <c r="E3584" s="8"/>
      <c r="F3584" s="8"/>
    </row>
    <row r="3585" spans="4:6">
      <c r="D3585" s="8"/>
      <c r="E3585" s="8"/>
      <c r="F3585" s="8"/>
    </row>
    <row r="3586" spans="4:6">
      <c r="D3586" s="8"/>
      <c r="E3586" s="8"/>
      <c r="F3586" s="8"/>
    </row>
    <row r="3587" spans="4:6">
      <c r="D3587" s="8"/>
      <c r="E3587" s="8"/>
      <c r="F3587" s="8"/>
    </row>
    <row r="3588" spans="4:6">
      <c r="D3588" s="8"/>
      <c r="E3588" s="8"/>
      <c r="F3588" s="8"/>
    </row>
    <row r="3589" spans="4:6">
      <c r="D3589" s="8"/>
      <c r="E3589" s="8"/>
      <c r="F3589" s="8"/>
    </row>
    <row r="3590" spans="4:6">
      <c r="D3590" s="8"/>
      <c r="E3590" s="8"/>
      <c r="F3590" s="8"/>
    </row>
    <row r="3591" spans="4:6">
      <c r="D3591" s="8"/>
      <c r="E3591" s="8"/>
      <c r="F3591" s="8"/>
    </row>
    <row r="3592" spans="4:6">
      <c r="D3592" s="8"/>
      <c r="E3592" s="8"/>
      <c r="F3592" s="8"/>
    </row>
    <row r="3593" spans="4:6">
      <c r="D3593" s="8"/>
      <c r="E3593" s="8"/>
      <c r="F3593" s="8"/>
    </row>
    <row r="3594" spans="4:6">
      <c r="D3594" s="8"/>
      <c r="E3594" s="8"/>
      <c r="F3594" s="8"/>
    </row>
    <row r="3595" spans="4:6">
      <c r="D3595" s="8"/>
      <c r="E3595" s="8"/>
      <c r="F3595" s="8"/>
    </row>
    <row r="3596" spans="4:6">
      <c r="D3596" s="8"/>
      <c r="E3596" s="8"/>
      <c r="F3596" s="8"/>
    </row>
    <row r="3597" spans="4:6">
      <c r="D3597" s="8"/>
      <c r="E3597" s="8"/>
      <c r="F3597" s="8"/>
    </row>
    <row r="3598" spans="4:6">
      <c r="D3598" s="8"/>
      <c r="E3598" s="8"/>
      <c r="F3598" s="8"/>
    </row>
    <row r="3599" spans="4:6">
      <c r="D3599" s="8"/>
      <c r="E3599" s="8"/>
      <c r="F3599" s="8"/>
    </row>
    <row r="3600" spans="4:6">
      <c r="D3600" s="8"/>
      <c r="E3600" s="8"/>
      <c r="F3600" s="8"/>
    </row>
    <row r="3601" spans="4:6">
      <c r="D3601" s="8"/>
      <c r="E3601" s="8"/>
      <c r="F3601" s="8"/>
    </row>
    <row r="3602" spans="4:6">
      <c r="D3602" s="8"/>
      <c r="E3602" s="8"/>
      <c r="F3602" s="8"/>
    </row>
    <row r="3603" spans="4:6">
      <c r="D3603" s="8"/>
      <c r="E3603" s="8"/>
      <c r="F3603" s="8"/>
    </row>
    <row r="3604" spans="4:6">
      <c r="D3604" s="8"/>
      <c r="E3604" s="8"/>
      <c r="F3604" s="8"/>
    </row>
    <row r="3605" spans="4:6">
      <c r="D3605" s="8"/>
      <c r="E3605" s="8"/>
      <c r="F3605" s="8"/>
    </row>
    <row r="3606" spans="4:6">
      <c r="D3606" s="8"/>
      <c r="E3606" s="8"/>
      <c r="F3606" s="8"/>
    </row>
    <row r="3607" spans="4:6">
      <c r="D3607" s="8"/>
      <c r="E3607" s="8"/>
      <c r="F3607" s="8"/>
    </row>
    <row r="3608" spans="4:6">
      <c r="D3608" s="8"/>
      <c r="E3608" s="8"/>
      <c r="F3608" s="8"/>
    </row>
    <row r="3609" spans="4:6">
      <c r="D3609" s="8"/>
      <c r="E3609" s="8"/>
      <c r="F3609" s="8"/>
    </row>
    <row r="3610" spans="4:6">
      <c r="D3610" s="8"/>
      <c r="E3610" s="8"/>
      <c r="F3610" s="8"/>
    </row>
    <row r="3611" spans="4:6">
      <c r="D3611" s="8"/>
      <c r="E3611" s="8"/>
      <c r="F3611" s="8"/>
    </row>
    <row r="3612" spans="4:6">
      <c r="D3612" s="8"/>
      <c r="E3612" s="8"/>
      <c r="F3612" s="8"/>
    </row>
    <row r="3613" spans="4:6">
      <c r="D3613" s="8"/>
      <c r="E3613" s="8"/>
      <c r="F3613" s="8"/>
    </row>
    <row r="3614" spans="4:6">
      <c r="D3614" s="8"/>
      <c r="E3614" s="8"/>
      <c r="F3614" s="8"/>
    </row>
    <row r="3615" spans="4:6">
      <c r="D3615" s="8"/>
      <c r="E3615" s="8"/>
      <c r="F3615" s="8"/>
    </row>
    <row r="3616" spans="4:6">
      <c r="D3616" s="8"/>
      <c r="E3616" s="8"/>
      <c r="F3616" s="8"/>
    </row>
    <row r="3617" spans="4:6">
      <c r="D3617" s="8"/>
      <c r="E3617" s="8"/>
      <c r="F3617" s="8"/>
    </row>
    <row r="3618" spans="4:6">
      <c r="D3618" s="8"/>
      <c r="E3618" s="8"/>
      <c r="F3618" s="8"/>
    </row>
    <row r="3619" spans="4:6">
      <c r="D3619" s="8"/>
      <c r="E3619" s="8"/>
      <c r="F3619" s="8"/>
    </row>
    <row r="3620" spans="4:6">
      <c r="D3620" s="8"/>
      <c r="E3620" s="8"/>
      <c r="F3620" s="8"/>
    </row>
    <row r="3621" spans="4:6">
      <c r="D3621" s="8"/>
      <c r="E3621" s="8"/>
      <c r="F3621" s="8"/>
    </row>
    <row r="3622" spans="4:6">
      <c r="D3622" s="8"/>
      <c r="E3622" s="8"/>
      <c r="F3622" s="8"/>
    </row>
    <row r="3623" spans="4:6">
      <c r="D3623" s="8"/>
      <c r="E3623" s="8"/>
      <c r="F3623" s="8"/>
    </row>
    <row r="3624" spans="4:6">
      <c r="D3624" s="8"/>
      <c r="E3624" s="8"/>
      <c r="F3624" s="8"/>
    </row>
    <row r="3625" spans="4:6">
      <c r="D3625" s="8"/>
      <c r="E3625" s="8"/>
      <c r="F3625" s="8"/>
    </row>
    <row r="3626" spans="4:6">
      <c r="D3626" s="8"/>
      <c r="E3626" s="8"/>
      <c r="F3626" s="8"/>
    </row>
    <row r="3627" spans="4:6">
      <c r="D3627" s="8"/>
      <c r="E3627" s="8"/>
      <c r="F3627" s="8"/>
    </row>
    <row r="3628" spans="4:6">
      <c r="D3628" s="8"/>
      <c r="E3628" s="8"/>
      <c r="F3628" s="8"/>
    </row>
    <row r="3629" spans="4:6">
      <c r="D3629" s="8"/>
      <c r="E3629" s="8"/>
      <c r="F3629" s="8"/>
    </row>
    <row r="3630" spans="4:6">
      <c r="D3630" s="8"/>
      <c r="E3630" s="8"/>
      <c r="F3630" s="8"/>
    </row>
    <row r="3631" spans="4:6">
      <c r="D3631" s="8"/>
      <c r="E3631" s="8"/>
      <c r="F3631" s="8"/>
    </row>
    <row r="3632" spans="4:6">
      <c r="D3632" s="8"/>
      <c r="E3632" s="8"/>
      <c r="F3632" s="8"/>
    </row>
    <row r="3633" spans="4:6">
      <c r="D3633" s="8"/>
      <c r="E3633" s="8"/>
      <c r="F3633" s="8"/>
    </row>
    <row r="3634" spans="4:6">
      <c r="D3634" s="8"/>
      <c r="E3634" s="8"/>
      <c r="F3634" s="8"/>
    </row>
    <row r="3635" spans="4:6">
      <c r="D3635" s="8"/>
      <c r="E3635" s="8"/>
      <c r="F3635" s="8"/>
    </row>
    <row r="3636" spans="4:6">
      <c r="D3636" s="8"/>
      <c r="E3636" s="8"/>
      <c r="F3636" s="8"/>
    </row>
    <row r="3637" spans="4:6">
      <c r="D3637" s="8"/>
      <c r="E3637" s="8"/>
      <c r="F3637" s="8"/>
    </row>
    <row r="3638" spans="4:6">
      <c r="D3638" s="8"/>
      <c r="E3638" s="8"/>
      <c r="F3638" s="8"/>
    </row>
    <row r="3639" spans="4:6">
      <c r="D3639" s="8"/>
      <c r="E3639" s="8"/>
      <c r="F3639" s="8"/>
    </row>
    <row r="3640" spans="4:6">
      <c r="D3640" s="8"/>
      <c r="E3640" s="8"/>
      <c r="F3640" s="8"/>
    </row>
    <row r="3641" spans="4:6">
      <c r="D3641" s="8"/>
      <c r="E3641" s="8"/>
      <c r="F3641" s="8"/>
    </row>
    <row r="3642" spans="4:6">
      <c r="D3642" s="8"/>
      <c r="E3642" s="8"/>
      <c r="F3642" s="8"/>
    </row>
    <row r="3643" spans="4:6">
      <c r="D3643" s="8"/>
      <c r="E3643" s="8"/>
      <c r="F3643" s="8"/>
    </row>
    <row r="3644" spans="4:6">
      <c r="D3644" s="8"/>
      <c r="E3644" s="8"/>
      <c r="F3644" s="8"/>
    </row>
    <row r="3645" spans="4:6">
      <c r="D3645" s="8"/>
      <c r="E3645" s="8"/>
      <c r="F3645" s="8"/>
    </row>
    <row r="3646" spans="4:6">
      <c r="D3646" s="8"/>
      <c r="E3646" s="8"/>
      <c r="F3646" s="8"/>
    </row>
    <row r="3647" spans="4:6">
      <c r="D3647" s="8"/>
      <c r="E3647" s="8"/>
      <c r="F3647" s="8"/>
    </row>
    <row r="3648" spans="4:6">
      <c r="D3648" s="8"/>
      <c r="E3648" s="8"/>
      <c r="F3648" s="8"/>
    </row>
    <row r="3649" spans="4:6">
      <c r="D3649" s="8"/>
      <c r="E3649" s="8"/>
      <c r="F3649" s="8"/>
    </row>
    <row r="3650" spans="4:6">
      <c r="D3650" s="8"/>
      <c r="E3650" s="8"/>
      <c r="F3650" s="8"/>
    </row>
    <row r="3651" spans="4:6">
      <c r="D3651" s="8"/>
      <c r="E3651" s="8"/>
      <c r="F3651" s="8"/>
    </row>
    <row r="3652" spans="4:6">
      <c r="D3652" s="8"/>
      <c r="E3652" s="8"/>
      <c r="F3652" s="8"/>
    </row>
    <row r="3653" spans="4:6">
      <c r="D3653" s="8"/>
      <c r="E3653" s="8"/>
      <c r="F3653" s="8"/>
    </row>
    <row r="3654" spans="4:6">
      <c r="D3654" s="8"/>
      <c r="E3654" s="8"/>
      <c r="F3654" s="8"/>
    </row>
    <row r="3655" spans="4:6">
      <c r="D3655" s="8"/>
      <c r="E3655" s="8"/>
      <c r="F3655" s="8"/>
    </row>
    <row r="3656" spans="4:6">
      <c r="D3656" s="8"/>
      <c r="E3656" s="8"/>
      <c r="F3656" s="8"/>
    </row>
    <row r="3657" spans="4:6">
      <c r="D3657" s="8"/>
      <c r="E3657" s="8"/>
      <c r="F3657" s="8"/>
    </row>
    <row r="3658" spans="4:6">
      <c r="D3658" s="8"/>
      <c r="E3658" s="8"/>
      <c r="F3658" s="8"/>
    </row>
    <row r="3659" spans="4:6">
      <c r="D3659" s="8"/>
      <c r="E3659" s="8"/>
      <c r="F3659" s="8"/>
    </row>
    <row r="3660" spans="4:6">
      <c r="D3660" s="8"/>
      <c r="E3660" s="8"/>
      <c r="F3660" s="8"/>
    </row>
    <row r="3661" spans="4:6">
      <c r="D3661" s="8"/>
      <c r="E3661" s="8"/>
      <c r="F3661" s="8"/>
    </row>
    <row r="3662" spans="4:6">
      <c r="D3662" s="8"/>
      <c r="E3662" s="8"/>
      <c r="F3662" s="8"/>
    </row>
    <row r="3663" spans="4:6">
      <c r="D3663" s="8"/>
      <c r="E3663" s="8"/>
      <c r="F3663" s="8"/>
    </row>
    <row r="3664" spans="4:6">
      <c r="D3664" s="8"/>
      <c r="E3664" s="8"/>
      <c r="F3664" s="8"/>
    </row>
    <row r="3665" spans="4:6">
      <c r="D3665" s="8"/>
      <c r="E3665" s="8"/>
      <c r="F3665" s="8"/>
    </row>
    <row r="3666" spans="4:6">
      <c r="D3666" s="8"/>
      <c r="E3666" s="8"/>
      <c r="F3666" s="8"/>
    </row>
    <row r="3667" spans="4:6">
      <c r="D3667" s="8"/>
      <c r="E3667" s="8"/>
      <c r="F3667" s="8"/>
    </row>
    <row r="3668" spans="4:6">
      <c r="D3668" s="8"/>
      <c r="E3668" s="8"/>
      <c r="F3668" s="8"/>
    </row>
    <row r="3669" spans="4:6">
      <c r="D3669" s="8"/>
      <c r="E3669" s="8"/>
      <c r="F3669" s="8"/>
    </row>
    <row r="3670" spans="4:6">
      <c r="D3670" s="8"/>
      <c r="E3670" s="8"/>
      <c r="F3670" s="8"/>
    </row>
    <row r="3671" spans="4:6">
      <c r="D3671" s="8"/>
      <c r="E3671" s="8"/>
      <c r="F3671" s="8"/>
    </row>
    <row r="3672" spans="4:6">
      <c r="D3672" s="8"/>
      <c r="E3672" s="8"/>
      <c r="F3672" s="8"/>
    </row>
    <row r="3673" spans="4:6">
      <c r="D3673" s="8"/>
      <c r="E3673" s="8"/>
      <c r="F3673" s="8"/>
    </row>
    <row r="3674" spans="4:6">
      <c r="D3674" s="8"/>
      <c r="E3674" s="8"/>
      <c r="F3674" s="8"/>
    </row>
    <row r="3675" spans="4:6">
      <c r="D3675" s="8"/>
      <c r="E3675" s="8"/>
      <c r="F3675" s="8"/>
    </row>
    <row r="3676" spans="4:6">
      <c r="D3676" s="8"/>
      <c r="E3676" s="8"/>
      <c r="F3676" s="8"/>
    </row>
    <row r="3677" spans="4:6">
      <c r="D3677" s="8"/>
      <c r="E3677" s="8"/>
      <c r="F3677" s="8"/>
    </row>
    <row r="3678" spans="4:6">
      <c r="D3678" s="8"/>
      <c r="E3678" s="8"/>
      <c r="F3678" s="8"/>
    </row>
    <row r="3679" spans="4:6">
      <c r="D3679" s="8"/>
      <c r="E3679" s="8"/>
      <c r="F3679" s="8"/>
    </row>
    <row r="3680" spans="4:6">
      <c r="D3680" s="8"/>
      <c r="E3680" s="8"/>
      <c r="F3680" s="8"/>
    </row>
    <row r="3681" spans="4:6">
      <c r="D3681" s="8"/>
      <c r="E3681" s="8"/>
      <c r="F3681" s="8"/>
    </row>
    <row r="3682" spans="4:6">
      <c r="D3682" s="8"/>
      <c r="E3682" s="8"/>
      <c r="F3682" s="8"/>
    </row>
    <row r="3683" spans="4:6">
      <c r="D3683" s="8"/>
      <c r="E3683" s="8"/>
      <c r="F3683" s="8"/>
    </row>
    <row r="3684" spans="4:6">
      <c r="D3684" s="8"/>
      <c r="E3684" s="8"/>
      <c r="F3684" s="8"/>
    </row>
    <row r="3685" spans="4:6">
      <c r="D3685" s="8"/>
      <c r="E3685" s="8"/>
      <c r="F3685" s="8"/>
    </row>
    <row r="3686" spans="4:6">
      <c r="D3686" s="8"/>
      <c r="E3686" s="8"/>
      <c r="F3686" s="8"/>
    </row>
    <row r="3687" spans="4:6">
      <c r="D3687" s="8"/>
      <c r="E3687" s="8"/>
      <c r="F3687" s="8"/>
    </row>
    <row r="3688" spans="4:6">
      <c r="D3688" s="8"/>
      <c r="E3688" s="8"/>
      <c r="F3688" s="8"/>
    </row>
    <row r="3689" spans="4:6">
      <c r="D3689" s="8"/>
      <c r="E3689" s="8"/>
      <c r="F3689" s="8"/>
    </row>
    <row r="3690" spans="4:6">
      <c r="D3690" s="8"/>
      <c r="E3690" s="8"/>
      <c r="F3690" s="8"/>
    </row>
    <row r="3691" spans="4:6">
      <c r="D3691" s="8"/>
      <c r="E3691" s="8"/>
      <c r="F3691" s="8"/>
    </row>
    <row r="3692" spans="4:6">
      <c r="D3692" s="8"/>
      <c r="E3692" s="8"/>
      <c r="F3692" s="8"/>
    </row>
    <row r="3693" spans="4:6">
      <c r="D3693" s="8"/>
      <c r="E3693" s="8"/>
      <c r="F3693" s="8"/>
    </row>
    <row r="3694" spans="4:6">
      <c r="D3694" s="8"/>
      <c r="E3694" s="8"/>
      <c r="F3694" s="8"/>
    </row>
    <row r="3695" spans="4:6">
      <c r="D3695" s="8"/>
      <c r="E3695" s="8"/>
      <c r="F3695" s="8"/>
    </row>
    <row r="3696" spans="4:6">
      <c r="D3696" s="8"/>
      <c r="E3696" s="8"/>
      <c r="F3696" s="8"/>
    </row>
    <row r="3697" spans="4:6">
      <c r="D3697" s="8"/>
      <c r="E3697" s="8"/>
      <c r="F3697" s="8"/>
    </row>
    <row r="3698" spans="4:6">
      <c r="D3698" s="8"/>
      <c r="E3698" s="8"/>
      <c r="F3698" s="8"/>
    </row>
    <row r="3699" spans="4:6">
      <c r="D3699" s="8"/>
      <c r="E3699" s="8"/>
      <c r="F3699" s="8"/>
    </row>
    <row r="3700" spans="4:6">
      <c r="D3700" s="8"/>
      <c r="E3700" s="8"/>
      <c r="F3700" s="8"/>
    </row>
    <row r="3701" spans="4:6">
      <c r="D3701" s="8"/>
      <c r="E3701" s="8"/>
      <c r="F3701" s="8"/>
    </row>
    <row r="3702" spans="4:6">
      <c r="D3702" s="8"/>
      <c r="E3702" s="8"/>
      <c r="F3702" s="8"/>
    </row>
    <row r="3703" spans="4:6">
      <c r="D3703" s="8"/>
      <c r="E3703" s="8"/>
      <c r="F3703" s="8"/>
    </row>
    <row r="3704" spans="4:6">
      <c r="D3704" s="8"/>
      <c r="E3704" s="8"/>
      <c r="F3704" s="8"/>
    </row>
    <row r="3705" spans="4:6">
      <c r="D3705" s="8"/>
      <c r="E3705" s="8"/>
      <c r="F3705" s="8"/>
    </row>
    <row r="3706" spans="4:6">
      <c r="D3706" s="8"/>
      <c r="E3706" s="8"/>
      <c r="F3706" s="8"/>
    </row>
    <row r="3707" spans="4:6">
      <c r="D3707" s="8"/>
      <c r="E3707" s="8"/>
      <c r="F3707" s="8"/>
    </row>
    <row r="3708" spans="4:6">
      <c r="D3708" s="8"/>
      <c r="E3708" s="8"/>
      <c r="F3708" s="8"/>
    </row>
    <row r="3709" spans="4:6">
      <c r="D3709" s="8"/>
      <c r="E3709" s="8"/>
      <c r="F3709" s="8"/>
    </row>
    <row r="3710" spans="4:6">
      <c r="D3710" s="8"/>
      <c r="E3710" s="8"/>
      <c r="F3710" s="8"/>
    </row>
    <row r="3711" spans="4:6">
      <c r="D3711" s="8"/>
      <c r="E3711" s="8"/>
      <c r="F3711" s="8"/>
    </row>
    <row r="3712" spans="4:6">
      <c r="D3712" s="8"/>
      <c r="E3712" s="8"/>
      <c r="F3712" s="8"/>
    </row>
    <row r="3713" spans="4:6">
      <c r="D3713" s="8"/>
      <c r="E3713" s="8"/>
      <c r="F3713" s="8"/>
    </row>
    <row r="3714" spans="4:6">
      <c r="D3714" s="8"/>
      <c r="E3714" s="8"/>
      <c r="F3714" s="8"/>
    </row>
    <row r="3715" spans="4:6">
      <c r="D3715" s="8"/>
      <c r="E3715" s="8"/>
      <c r="F3715" s="8"/>
    </row>
    <row r="3716" spans="4:6">
      <c r="D3716" s="8"/>
      <c r="E3716" s="8"/>
      <c r="F3716" s="8"/>
    </row>
    <row r="3717" spans="4:6">
      <c r="D3717" s="8"/>
      <c r="E3717" s="8"/>
      <c r="F3717" s="8"/>
    </row>
    <row r="3718" spans="4:6">
      <c r="D3718" s="8"/>
      <c r="E3718" s="8"/>
      <c r="F3718" s="8"/>
    </row>
    <row r="3719" spans="4:6">
      <c r="D3719" s="8"/>
      <c r="E3719" s="8"/>
      <c r="F3719" s="8"/>
    </row>
    <row r="3720" spans="4:6">
      <c r="D3720" s="8"/>
      <c r="E3720" s="8"/>
      <c r="F3720" s="8"/>
    </row>
    <row r="3721" spans="4:6">
      <c r="D3721" s="8"/>
      <c r="E3721" s="8"/>
      <c r="F3721" s="8"/>
    </row>
    <row r="3722" spans="4:6">
      <c r="D3722" s="8"/>
      <c r="E3722" s="8"/>
      <c r="F3722" s="8"/>
    </row>
    <row r="3723" spans="4:6">
      <c r="D3723" s="8"/>
      <c r="E3723" s="8"/>
      <c r="F3723" s="8"/>
    </row>
    <row r="3724" spans="4:6">
      <c r="D3724" s="8"/>
      <c r="E3724" s="8"/>
      <c r="F3724" s="8"/>
    </row>
    <row r="3725" spans="4:6">
      <c r="D3725" s="8"/>
      <c r="E3725" s="8"/>
      <c r="F3725" s="8"/>
    </row>
    <row r="3726" spans="4:6">
      <c r="D3726" s="8"/>
      <c r="E3726" s="8"/>
      <c r="F3726" s="8"/>
    </row>
    <row r="3727" spans="4:6">
      <c r="D3727" s="8"/>
      <c r="E3727" s="8"/>
      <c r="F3727" s="8"/>
    </row>
    <row r="3728" spans="4:6">
      <c r="D3728" s="8"/>
      <c r="E3728" s="8"/>
      <c r="F3728" s="8"/>
    </row>
    <row r="3729" spans="4:6">
      <c r="D3729" s="8"/>
      <c r="E3729" s="8"/>
      <c r="F3729" s="8"/>
    </row>
    <row r="3730" spans="4:6">
      <c r="D3730" s="8"/>
      <c r="E3730" s="8"/>
      <c r="F3730" s="8"/>
    </row>
    <row r="3731" spans="4:6">
      <c r="D3731" s="8"/>
      <c r="E3731" s="8"/>
      <c r="F3731" s="8"/>
    </row>
    <row r="3732" spans="4:6">
      <c r="D3732" s="8"/>
      <c r="E3732" s="8"/>
      <c r="F3732" s="8"/>
    </row>
    <row r="3733" spans="4:6">
      <c r="D3733" s="8"/>
      <c r="E3733" s="8"/>
      <c r="F3733" s="8"/>
    </row>
    <row r="3734" spans="4:6">
      <c r="D3734" s="8"/>
      <c r="E3734" s="8"/>
      <c r="F3734" s="8"/>
    </row>
    <row r="3735" spans="4:6">
      <c r="D3735" s="8"/>
      <c r="E3735" s="8"/>
      <c r="F3735" s="8"/>
    </row>
    <row r="3736" spans="4:6">
      <c r="D3736" s="8"/>
      <c r="E3736" s="8"/>
      <c r="F3736" s="8"/>
    </row>
    <row r="3737" spans="4:6">
      <c r="D3737" s="8"/>
      <c r="E3737" s="8"/>
      <c r="F3737" s="8"/>
    </row>
    <row r="3738" spans="4:6">
      <c r="D3738" s="8"/>
      <c r="E3738" s="8"/>
      <c r="F3738" s="8"/>
    </row>
    <row r="3739" spans="4:6">
      <c r="D3739" s="8"/>
      <c r="E3739" s="8"/>
      <c r="F3739" s="8"/>
    </row>
    <row r="3740" spans="4:6">
      <c r="D3740" s="8"/>
      <c r="E3740" s="8"/>
      <c r="F3740" s="8"/>
    </row>
    <row r="3741" spans="4:6">
      <c r="D3741" s="8"/>
      <c r="E3741" s="8"/>
      <c r="F3741" s="8"/>
    </row>
    <row r="3742" spans="4:6">
      <c r="D3742" s="8"/>
      <c r="E3742" s="8"/>
      <c r="F3742" s="8"/>
    </row>
    <row r="3743" spans="4:6">
      <c r="D3743" s="8"/>
      <c r="E3743" s="8"/>
      <c r="F3743" s="8"/>
    </row>
    <row r="3744" spans="4:6">
      <c r="D3744" s="8"/>
      <c r="E3744" s="8"/>
      <c r="F3744" s="8"/>
    </row>
    <row r="3745" spans="4:6">
      <c r="D3745" s="8"/>
      <c r="E3745" s="8"/>
      <c r="F3745" s="8"/>
    </row>
    <row r="3746" spans="4:6">
      <c r="D3746" s="8"/>
      <c r="E3746" s="8"/>
      <c r="F3746" s="8"/>
    </row>
    <row r="3747" spans="4:6">
      <c r="D3747" s="8"/>
      <c r="E3747" s="8"/>
      <c r="F3747" s="8"/>
    </row>
    <row r="3748" spans="4:6">
      <c r="D3748" s="8"/>
      <c r="E3748" s="8"/>
      <c r="F3748" s="8"/>
    </row>
    <row r="3749" spans="4:6">
      <c r="D3749" s="8"/>
      <c r="E3749" s="8"/>
      <c r="F3749" s="8"/>
    </row>
    <row r="3750" spans="4:6">
      <c r="D3750" s="8"/>
      <c r="E3750" s="8"/>
      <c r="F3750" s="8"/>
    </row>
    <row r="3751" spans="4:6">
      <c r="D3751" s="8"/>
      <c r="E3751" s="8"/>
      <c r="F3751" s="8"/>
    </row>
    <row r="3752" spans="4:6">
      <c r="D3752" s="8"/>
      <c r="E3752" s="8"/>
      <c r="F3752" s="8"/>
    </row>
    <row r="3753" spans="4:6">
      <c r="D3753" s="8"/>
      <c r="E3753" s="8"/>
      <c r="F3753" s="8"/>
    </row>
    <row r="3754" spans="4:6">
      <c r="D3754" s="8"/>
      <c r="E3754" s="8"/>
      <c r="F3754" s="8"/>
    </row>
    <row r="3755" spans="4:6">
      <c r="D3755" s="8"/>
      <c r="E3755" s="8"/>
      <c r="F3755" s="8"/>
    </row>
    <row r="3756" spans="4:6">
      <c r="D3756" s="8"/>
      <c r="E3756" s="8"/>
      <c r="F3756" s="8"/>
    </row>
    <row r="3757" spans="4:6">
      <c r="D3757" s="8"/>
      <c r="E3757" s="8"/>
      <c r="F3757" s="8"/>
    </row>
    <row r="3758" spans="4:6">
      <c r="D3758" s="8"/>
      <c r="E3758" s="8"/>
      <c r="F3758" s="8"/>
    </row>
    <row r="3759" spans="4:6">
      <c r="D3759" s="8"/>
      <c r="E3759" s="8"/>
      <c r="F3759" s="8"/>
    </row>
    <row r="3760" spans="4:6">
      <c r="D3760" s="8"/>
      <c r="E3760" s="8"/>
      <c r="F3760" s="8"/>
    </row>
    <row r="3761" spans="4:6">
      <c r="D3761" s="8"/>
      <c r="E3761" s="8"/>
      <c r="F3761" s="8"/>
    </row>
    <row r="3762" spans="4:6">
      <c r="D3762" s="8"/>
      <c r="E3762" s="8"/>
      <c r="F3762" s="8"/>
    </row>
    <row r="3763" spans="4:6">
      <c r="D3763" s="8"/>
      <c r="E3763" s="8"/>
      <c r="F3763" s="8"/>
    </row>
    <row r="3764" spans="4:6">
      <c r="D3764" s="8"/>
      <c r="E3764" s="8"/>
      <c r="F3764" s="8"/>
    </row>
    <row r="3765" spans="4:6">
      <c r="D3765" s="8"/>
      <c r="E3765" s="8"/>
      <c r="F3765" s="8"/>
    </row>
    <row r="3766" spans="4:6">
      <c r="D3766" s="8"/>
      <c r="E3766" s="8"/>
      <c r="F3766" s="8"/>
    </row>
    <row r="3767" spans="4:6">
      <c r="D3767" s="8"/>
      <c r="E3767" s="8"/>
      <c r="F3767" s="8"/>
    </row>
    <row r="3768" spans="4:6">
      <c r="D3768" s="8"/>
      <c r="E3768" s="8"/>
      <c r="F3768" s="8"/>
    </row>
    <row r="3769" spans="4:6">
      <c r="D3769" s="8"/>
      <c r="E3769" s="8"/>
      <c r="F3769" s="8"/>
    </row>
    <row r="3770" spans="4:6">
      <c r="D3770" s="8"/>
      <c r="E3770" s="8"/>
      <c r="F3770" s="8"/>
    </row>
    <row r="3771" spans="4:6">
      <c r="D3771" s="8"/>
      <c r="E3771" s="8"/>
      <c r="F3771" s="8"/>
    </row>
    <row r="3772" spans="4:6">
      <c r="D3772" s="8"/>
      <c r="E3772" s="8"/>
      <c r="F3772" s="8"/>
    </row>
    <row r="3773" spans="4:6">
      <c r="D3773" s="8"/>
      <c r="E3773" s="8"/>
      <c r="F3773" s="8"/>
    </row>
    <row r="3774" spans="4:6">
      <c r="D3774" s="8"/>
      <c r="E3774" s="8"/>
      <c r="F3774" s="8"/>
    </row>
    <row r="3775" spans="4:6">
      <c r="D3775" s="8"/>
      <c r="E3775" s="8"/>
      <c r="F3775" s="8"/>
    </row>
    <row r="3776" spans="4:6">
      <c r="D3776" s="8"/>
      <c r="E3776" s="8"/>
      <c r="F3776" s="8"/>
    </row>
    <row r="3777" spans="4:6">
      <c r="D3777" s="8"/>
      <c r="E3777" s="8"/>
      <c r="F3777" s="8"/>
    </row>
    <row r="3778" spans="4:6">
      <c r="D3778" s="8"/>
      <c r="E3778" s="8"/>
      <c r="F3778" s="8"/>
    </row>
    <row r="3779" spans="4:6">
      <c r="D3779" s="8"/>
      <c r="E3779" s="8"/>
      <c r="F3779" s="8"/>
    </row>
    <row r="3780" spans="4:6">
      <c r="D3780" s="8"/>
      <c r="E3780" s="8"/>
      <c r="F3780" s="8"/>
    </row>
    <row r="3781" spans="4:6">
      <c r="D3781" s="8"/>
      <c r="E3781" s="8"/>
      <c r="F3781" s="8"/>
    </row>
    <row r="3782" spans="4:6">
      <c r="D3782" s="8"/>
      <c r="E3782" s="8"/>
      <c r="F3782" s="8"/>
    </row>
    <row r="3783" spans="4:6">
      <c r="D3783" s="8"/>
      <c r="E3783" s="8"/>
      <c r="F3783" s="8"/>
    </row>
    <row r="3784" spans="4:6">
      <c r="D3784" s="8"/>
      <c r="E3784" s="8"/>
      <c r="F3784" s="8"/>
    </row>
    <row r="3785" spans="4:6">
      <c r="D3785" s="8"/>
      <c r="E3785" s="8"/>
      <c r="F3785" s="8"/>
    </row>
    <row r="3786" spans="4:6">
      <c r="D3786" s="8"/>
      <c r="E3786" s="8"/>
      <c r="F3786" s="8"/>
    </row>
    <row r="3787" spans="4:6">
      <c r="D3787" s="8"/>
      <c r="E3787" s="8"/>
      <c r="F3787" s="8"/>
    </row>
    <row r="3788" spans="4:6">
      <c r="D3788" s="8"/>
      <c r="E3788" s="8"/>
      <c r="F3788" s="8"/>
    </row>
    <row r="3789" spans="4:6">
      <c r="D3789" s="8"/>
      <c r="E3789" s="8"/>
      <c r="F3789" s="8"/>
    </row>
    <row r="3790" spans="4:6">
      <c r="D3790" s="8"/>
      <c r="E3790" s="8"/>
      <c r="F3790" s="8"/>
    </row>
    <row r="3791" spans="4:6">
      <c r="D3791" s="8"/>
      <c r="E3791" s="8"/>
      <c r="F3791" s="8"/>
    </row>
    <row r="3792" spans="4:6">
      <c r="D3792" s="8"/>
      <c r="E3792" s="8"/>
      <c r="F3792" s="8"/>
    </row>
    <row r="3793" spans="4:6">
      <c r="D3793" s="8"/>
      <c r="E3793" s="8"/>
      <c r="F3793" s="8"/>
    </row>
    <row r="3794" spans="4:6">
      <c r="D3794" s="8"/>
      <c r="E3794" s="8"/>
      <c r="F3794" s="8"/>
    </row>
    <row r="3795" spans="4:6">
      <c r="D3795" s="8"/>
      <c r="E3795" s="8"/>
      <c r="F3795" s="8"/>
    </row>
    <row r="3796" spans="4:6">
      <c r="D3796" s="8"/>
      <c r="E3796" s="8"/>
      <c r="F3796" s="8"/>
    </row>
    <row r="3797" spans="4:6">
      <c r="D3797" s="8"/>
      <c r="E3797" s="8"/>
      <c r="F3797" s="8"/>
    </row>
    <row r="3798" spans="4:6">
      <c r="D3798" s="8"/>
      <c r="E3798" s="8"/>
      <c r="F3798" s="8"/>
    </row>
    <row r="3799" spans="4:6">
      <c r="D3799" s="8"/>
      <c r="E3799" s="8"/>
      <c r="F3799" s="8"/>
    </row>
    <row r="3800" spans="4:6">
      <c r="D3800" s="8"/>
      <c r="E3800" s="8"/>
      <c r="F3800" s="8"/>
    </row>
    <row r="3801" spans="4:6">
      <c r="D3801" s="8"/>
      <c r="E3801" s="8"/>
      <c r="F3801" s="8"/>
    </row>
    <row r="3802" spans="4:6">
      <c r="D3802" s="8"/>
      <c r="E3802" s="8"/>
      <c r="F3802" s="8"/>
    </row>
    <row r="3803" spans="4:6">
      <c r="D3803" s="8"/>
      <c r="E3803" s="8"/>
      <c r="F3803" s="8"/>
    </row>
    <row r="3804" spans="4:6">
      <c r="D3804" s="8"/>
      <c r="E3804" s="8"/>
      <c r="F3804" s="8"/>
    </row>
    <row r="3805" spans="4:6">
      <c r="D3805" s="8"/>
      <c r="E3805" s="8"/>
      <c r="F3805" s="8"/>
    </row>
    <row r="3806" spans="4:6">
      <c r="D3806" s="8"/>
      <c r="E3806" s="8"/>
      <c r="F3806" s="8"/>
    </row>
    <row r="3807" spans="4:6">
      <c r="D3807" s="8"/>
      <c r="E3807" s="8"/>
      <c r="F3807" s="8"/>
    </row>
    <row r="3808" spans="4:6">
      <c r="D3808" s="8"/>
      <c r="E3808" s="8"/>
      <c r="F3808" s="8"/>
    </row>
    <row r="3809" spans="4:6">
      <c r="D3809" s="8"/>
      <c r="E3809" s="8"/>
      <c r="F3809" s="8"/>
    </row>
    <row r="3810" spans="4:6">
      <c r="D3810" s="8"/>
      <c r="E3810" s="8"/>
      <c r="F3810" s="8"/>
    </row>
    <row r="3811" spans="4:6">
      <c r="D3811" s="8"/>
      <c r="E3811" s="8"/>
      <c r="F3811" s="8"/>
    </row>
    <row r="3812" spans="4:6">
      <c r="D3812" s="8"/>
      <c r="E3812" s="8"/>
      <c r="F3812" s="8"/>
    </row>
    <row r="3813" spans="4:6">
      <c r="D3813" s="8"/>
      <c r="E3813" s="8"/>
      <c r="F3813" s="8"/>
    </row>
    <row r="3814" spans="4:6">
      <c r="D3814" s="8"/>
      <c r="E3814" s="8"/>
      <c r="F3814" s="8"/>
    </row>
    <row r="3815" spans="4:6">
      <c r="D3815" s="8"/>
      <c r="E3815" s="8"/>
      <c r="F3815" s="8"/>
    </row>
    <row r="3816" spans="4:6">
      <c r="D3816" s="8"/>
      <c r="E3816" s="8"/>
      <c r="F3816" s="8"/>
    </row>
    <row r="3817" spans="4:6">
      <c r="D3817" s="8"/>
      <c r="E3817" s="8"/>
      <c r="F3817" s="8"/>
    </row>
    <row r="3818" spans="4:6">
      <c r="D3818" s="8"/>
      <c r="E3818" s="8"/>
      <c r="F3818" s="8"/>
    </row>
    <row r="3819" spans="4:6">
      <c r="D3819" s="8"/>
      <c r="E3819" s="8"/>
      <c r="F3819" s="8"/>
    </row>
    <row r="3820" spans="4:6">
      <c r="D3820" s="8"/>
      <c r="E3820" s="8"/>
      <c r="F3820" s="8"/>
    </row>
    <row r="3821" spans="4:6">
      <c r="D3821" s="8"/>
      <c r="E3821" s="8"/>
      <c r="F3821" s="8"/>
    </row>
    <row r="3822" spans="4:6">
      <c r="D3822" s="8"/>
      <c r="E3822" s="8"/>
      <c r="F3822" s="8"/>
    </row>
    <row r="3823" spans="4:6">
      <c r="D3823" s="8"/>
      <c r="E3823" s="8"/>
      <c r="F3823" s="8"/>
    </row>
    <row r="3824" spans="4:6">
      <c r="D3824" s="8"/>
      <c r="E3824" s="8"/>
      <c r="F3824" s="8"/>
    </row>
    <row r="3825" spans="4:6">
      <c r="D3825" s="8"/>
      <c r="E3825" s="8"/>
      <c r="F3825" s="8"/>
    </row>
    <row r="3826" spans="4:6">
      <c r="D3826" s="8"/>
      <c r="E3826" s="8"/>
      <c r="F3826" s="8"/>
    </row>
    <row r="3827" spans="4:6">
      <c r="D3827" s="8"/>
      <c r="E3827" s="8"/>
      <c r="F3827" s="8"/>
    </row>
    <row r="3828" spans="4:6">
      <c r="D3828" s="8"/>
      <c r="E3828" s="8"/>
      <c r="F3828" s="8"/>
    </row>
    <row r="3829" spans="4:6">
      <c r="D3829" s="8"/>
      <c r="E3829" s="8"/>
      <c r="F3829" s="8"/>
    </row>
    <row r="3830" spans="4:6">
      <c r="D3830" s="8"/>
      <c r="E3830" s="8"/>
      <c r="F3830" s="8"/>
    </row>
    <row r="3831" spans="4:6">
      <c r="D3831" s="8"/>
      <c r="E3831" s="8"/>
      <c r="F3831" s="8"/>
    </row>
    <row r="3832" spans="4:6">
      <c r="D3832" s="8"/>
      <c r="E3832" s="8"/>
      <c r="F3832" s="8"/>
    </row>
    <row r="3833" spans="4:6">
      <c r="D3833" s="8"/>
      <c r="E3833" s="8"/>
      <c r="F3833" s="8"/>
    </row>
    <row r="3834" spans="4:6">
      <c r="D3834" s="8"/>
      <c r="E3834" s="8"/>
      <c r="F3834" s="8"/>
    </row>
    <row r="3835" spans="4:6">
      <c r="D3835" s="8"/>
      <c r="E3835" s="8"/>
      <c r="F3835" s="8"/>
    </row>
    <row r="3836" spans="4:6">
      <c r="D3836" s="8"/>
      <c r="E3836" s="8"/>
      <c r="F3836" s="8"/>
    </row>
    <row r="3837" spans="4:6">
      <c r="D3837" s="8"/>
      <c r="E3837" s="8"/>
      <c r="F3837" s="8"/>
    </row>
    <row r="3838" spans="4:6">
      <c r="D3838" s="8"/>
      <c r="E3838" s="8"/>
      <c r="F3838" s="8"/>
    </row>
    <row r="3839" spans="4:6">
      <c r="D3839" s="8"/>
      <c r="E3839" s="8"/>
      <c r="F3839" s="8"/>
    </row>
    <row r="3840" spans="4:6">
      <c r="D3840" s="8"/>
      <c r="E3840" s="8"/>
      <c r="F3840" s="8"/>
    </row>
    <row r="3841" spans="4:6">
      <c r="D3841" s="8"/>
      <c r="E3841" s="8"/>
      <c r="F3841" s="8"/>
    </row>
    <row r="3842" spans="4:6">
      <c r="D3842" s="8"/>
      <c r="E3842" s="8"/>
      <c r="F3842" s="8"/>
    </row>
    <row r="3843" spans="4:6">
      <c r="D3843" s="8"/>
      <c r="E3843" s="8"/>
      <c r="F3843" s="8"/>
    </row>
    <row r="3844" spans="4:6">
      <c r="D3844" s="8"/>
      <c r="E3844" s="8"/>
      <c r="F3844" s="8"/>
    </row>
    <row r="3845" spans="4:6">
      <c r="D3845" s="8"/>
      <c r="E3845" s="8"/>
      <c r="F3845" s="8"/>
    </row>
    <row r="3846" spans="4:6">
      <c r="D3846" s="8"/>
      <c r="E3846" s="8"/>
      <c r="F3846" s="8"/>
    </row>
    <row r="3847" spans="4:6">
      <c r="D3847" s="8"/>
      <c r="E3847" s="8"/>
      <c r="F3847" s="8"/>
    </row>
    <row r="3848" spans="4:6">
      <c r="D3848" s="8"/>
      <c r="E3848" s="8"/>
      <c r="F3848" s="8"/>
    </row>
    <row r="3849" spans="4:6">
      <c r="D3849" s="8"/>
      <c r="E3849" s="8"/>
      <c r="F3849" s="8"/>
    </row>
    <row r="3850" spans="4:6">
      <c r="D3850" s="8"/>
      <c r="E3850" s="8"/>
      <c r="F3850" s="8"/>
    </row>
    <row r="3851" spans="4:6">
      <c r="D3851" s="8"/>
      <c r="E3851" s="8"/>
      <c r="F3851" s="8"/>
    </row>
    <row r="3852" spans="4:6">
      <c r="D3852" s="8"/>
      <c r="E3852" s="8"/>
      <c r="F3852" s="8"/>
    </row>
    <row r="3853" spans="4:6">
      <c r="D3853" s="8"/>
      <c r="E3853" s="8"/>
      <c r="F3853" s="8"/>
    </row>
    <row r="3854" spans="4:6">
      <c r="D3854" s="8"/>
      <c r="E3854" s="8"/>
      <c r="F3854" s="8"/>
    </row>
    <row r="3855" spans="4:6">
      <c r="D3855" s="8"/>
      <c r="E3855" s="8"/>
      <c r="F3855" s="8"/>
    </row>
    <row r="3856" spans="4:6">
      <c r="D3856" s="8"/>
      <c r="E3856" s="8"/>
      <c r="F3856" s="8"/>
    </row>
    <row r="3857" spans="4:6">
      <c r="D3857" s="8"/>
      <c r="E3857" s="8"/>
      <c r="F3857" s="8"/>
    </row>
    <row r="3858" spans="4:6">
      <c r="D3858" s="8"/>
      <c r="E3858" s="8"/>
      <c r="F3858" s="8"/>
    </row>
    <row r="3859" spans="4:6">
      <c r="D3859" s="8"/>
      <c r="E3859" s="8"/>
      <c r="F3859" s="8"/>
    </row>
    <row r="3860" spans="4:6">
      <c r="D3860" s="8"/>
      <c r="E3860" s="8"/>
      <c r="F3860" s="8"/>
    </row>
    <row r="3861" spans="4:6">
      <c r="D3861" s="8"/>
      <c r="E3861" s="8"/>
      <c r="F3861" s="8"/>
    </row>
    <row r="3862" spans="4:6">
      <c r="D3862" s="8"/>
      <c r="E3862" s="8"/>
      <c r="F3862" s="8"/>
    </row>
    <row r="3863" spans="4:6">
      <c r="D3863" s="8"/>
      <c r="E3863" s="8"/>
      <c r="F3863" s="8"/>
    </row>
    <row r="3864" spans="4:6">
      <c r="D3864" s="8"/>
      <c r="E3864" s="8"/>
      <c r="F3864" s="8"/>
    </row>
    <row r="3865" spans="4:6">
      <c r="D3865" s="8"/>
      <c r="E3865" s="8"/>
      <c r="F3865" s="8"/>
    </row>
    <row r="3866" spans="4:6">
      <c r="D3866" s="8"/>
      <c r="E3866" s="8"/>
      <c r="F3866" s="8"/>
    </row>
    <row r="3867" spans="4:6">
      <c r="D3867" s="8"/>
      <c r="E3867" s="8"/>
      <c r="F3867" s="8"/>
    </row>
    <row r="3868" spans="4:6">
      <c r="D3868" s="8"/>
      <c r="E3868" s="8"/>
      <c r="F3868" s="8"/>
    </row>
    <row r="3869" spans="4:6">
      <c r="D3869" s="8"/>
      <c r="E3869" s="8"/>
      <c r="F3869" s="8"/>
    </row>
    <row r="3870" spans="4:6">
      <c r="D3870" s="8"/>
      <c r="E3870" s="8"/>
      <c r="F3870" s="8"/>
    </row>
    <row r="3871" spans="4:6">
      <c r="D3871" s="8"/>
      <c r="E3871" s="8"/>
      <c r="F3871" s="8"/>
    </row>
    <row r="3872" spans="4:6">
      <c r="D3872" s="8"/>
      <c r="E3872" s="8"/>
      <c r="F3872" s="8"/>
    </row>
    <row r="3873" spans="4:6">
      <c r="D3873" s="8"/>
      <c r="E3873" s="8"/>
      <c r="F3873" s="8"/>
    </row>
    <row r="3874" spans="4:6">
      <c r="D3874" s="8"/>
      <c r="E3874" s="8"/>
      <c r="F3874" s="8"/>
    </row>
    <row r="3875" spans="4:6">
      <c r="D3875" s="8"/>
      <c r="E3875" s="8"/>
      <c r="F3875" s="8"/>
    </row>
    <row r="3876" spans="4:6">
      <c r="D3876" s="8"/>
      <c r="E3876" s="8"/>
      <c r="F3876" s="8"/>
    </row>
    <row r="3877" spans="4:6">
      <c r="D3877" s="8"/>
      <c r="E3877" s="8"/>
      <c r="F3877" s="8"/>
    </row>
    <row r="3878" spans="4:6">
      <c r="D3878" s="8"/>
      <c r="E3878" s="8"/>
      <c r="F3878" s="8"/>
    </row>
    <row r="3879" spans="4:6">
      <c r="D3879" s="8"/>
      <c r="E3879" s="8"/>
      <c r="F3879" s="8"/>
    </row>
    <row r="3880" spans="4:6">
      <c r="D3880" s="8"/>
      <c r="E3880" s="8"/>
      <c r="F3880" s="8"/>
    </row>
    <row r="3881" spans="4:6">
      <c r="D3881" s="8"/>
      <c r="E3881" s="8"/>
      <c r="F3881" s="8"/>
    </row>
    <row r="3882" spans="4:6">
      <c r="D3882" s="8"/>
      <c r="E3882" s="8"/>
      <c r="F3882" s="8"/>
    </row>
    <row r="3883" spans="4:6">
      <c r="D3883" s="8"/>
      <c r="E3883" s="8"/>
      <c r="F3883" s="8"/>
    </row>
    <row r="3884" spans="4:6">
      <c r="D3884" s="8"/>
      <c r="E3884" s="8"/>
      <c r="F3884" s="8"/>
    </row>
    <row r="3885" spans="4:6">
      <c r="D3885" s="8"/>
      <c r="E3885" s="8"/>
      <c r="F3885" s="8"/>
    </row>
    <row r="3886" spans="4:6">
      <c r="D3886" s="8"/>
      <c r="E3886" s="8"/>
      <c r="F3886" s="8"/>
    </row>
    <row r="3887" spans="4:6">
      <c r="D3887" s="8"/>
      <c r="E3887" s="8"/>
      <c r="F3887" s="8"/>
    </row>
    <row r="3888" spans="4:6">
      <c r="D3888" s="8"/>
      <c r="E3888" s="8"/>
      <c r="F3888" s="8"/>
    </row>
    <row r="3889" spans="4:6">
      <c r="D3889" s="8"/>
      <c r="E3889" s="8"/>
      <c r="F3889" s="8"/>
    </row>
    <row r="3890" spans="4:6">
      <c r="D3890" s="8"/>
      <c r="E3890" s="8"/>
      <c r="F3890" s="8"/>
    </row>
    <row r="3891" spans="4:6">
      <c r="D3891" s="8"/>
      <c r="E3891" s="8"/>
      <c r="F3891" s="8"/>
    </row>
    <row r="3892" spans="4:6">
      <c r="D3892" s="8"/>
      <c r="E3892" s="8"/>
      <c r="F3892" s="8"/>
    </row>
    <row r="3893" spans="4:6">
      <c r="D3893" s="8"/>
      <c r="E3893" s="8"/>
      <c r="F3893" s="8"/>
    </row>
    <row r="3894" spans="4:6">
      <c r="D3894" s="8"/>
      <c r="E3894" s="8"/>
      <c r="F3894" s="8"/>
    </row>
    <row r="3895" spans="4:6">
      <c r="D3895" s="8"/>
      <c r="E3895" s="8"/>
      <c r="F3895" s="8"/>
    </row>
    <row r="3896" spans="4:6">
      <c r="D3896" s="8"/>
      <c r="E3896" s="8"/>
      <c r="F3896" s="8"/>
    </row>
    <row r="3897" spans="4:6">
      <c r="D3897" s="8"/>
      <c r="E3897" s="8"/>
      <c r="F3897" s="8"/>
    </row>
    <row r="3898" spans="4:6">
      <c r="D3898" s="8"/>
      <c r="E3898" s="8"/>
      <c r="F3898" s="8"/>
    </row>
    <row r="3899" spans="4:6">
      <c r="D3899" s="8"/>
      <c r="E3899" s="8"/>
      <c r="F3899" s="8"/>
    </row>
    <row r="3900" spans="4:6">
      <c r="D3900" s="8"/>
      <c r="E3900" s="8"/>
      <c r="F3900" s="8"/>
    </row>
    <row r="3901" spans="4:6">
      <c r="D3901" s="8"/>
      <c r="E3901" s="8"/>
      <c r="F3901" s="8"/>
    </row>
    <row r="3902" spans="4:6">
      <c r="D3902" s="8"/>
      <c r="E3902" s="8"/>
      <c r="F3902" s="8"/>
    </row>
    <row r="3903" spans="4:6">
      <c r="D3903" s="8"/>
      <c r="E3903" s="8"/>
      <c r="F3903" s="8"/>
    </row>
    <row r="3904" spans="4:6">
      <c r="D3904" s="8"/>
      <c r="E3904" s="8"/>
      <c r="F3904" s="8"/>
    </row>
    <row r="3905" spans="4:6">
      <c r="D3905" s="8"/>
      <c r="E3905" s="8"/>
      <c r="F3905" s="8"/>
    </row>
    <row r="3906" spans="4:6">
      <c r="D3906" s="8"/>
      <c r="E3906" s="8"/>
      <c r="F3906" s="8"/>
    </row>
    <row r="3907" spans="4:6">
      <c r="D3907" s="8"/>
      <c r="E3907" s="8"/>
      <c r="F3907" s="8"/>
    </row>
    <row r="3908" spans="4:6">
      <c r="D3908" s="8"/>
      <c r="E3908" s="8"/>
      <c r="F3908" s="8"/>
    </row>
    <row r="3909" spans="4:6">
      <c r="D3909" s="8"/>
      <c r="E3909" s="8"/>
      <c r="F3909" s="8"/>
    </row>
    <row r="3910" spans="4:6">
      <c r="D3910" s="8"/>
      <c r="E3910" s="8"/>
      <c r="F3910" s="8"/>
    </row>
    <row r="3911" spans="4:6">
      <c r="D3911" s="8"/>
      <c r="E3911" s="8"/>
      <c r="F3911" s="8"/>
    </row>
    <row r="3912" spans="4:6">
      <c r="D3912" s="8"/>
      <c r="E3912" s="8"/>
      <c r="F3912" s="8"/>
    </row>
    <row r="3913" spans="4:6">
      <c r="D3913" s="8"/>
      <c r="E3913" s="8"/>
      <c r="F3913" s="8"/>
    </row>
    <row r="3914" spans="4:6">
      <c r="D3914" s="8"/>
      <c r="E3914" s="8"/>
      <c r="F3914" s="8"/>
    </row>
    <row r="3915" spans="4:6">
      <c r="D3915" s="8"/>
      <c r="E3915" s="8"/>
      <c r="F3915" s="8"/>
    </row>
    <row r="3916" spans="4:6">
      <c r="D3916" s="8"/>
      <c r="E3916" s="8"/>
      <c r="F3916" s="8"/>
    </row>
    <row r="3917" spans="4:6">
      <c r="D3917" s="8"/>
      <c r="E3917" s="8"/>
      <c r="F3917" s="8"/>
    </row>
    <row r="3918" spans="4:6">
      <c r="D3918" s="8"/>
      <c r="E3918" s="8"/>
      <c r="F3918" s="8"/>
    </row>
    <row r="3919" spans="4:6">
      <c r="D3919" s="8"/>
      <c r="E3919" s="8"/>
      <c r="F3919" s="8"/>
    </row>
    <row r="3920" spans="4:6">
      <c r="D3920" s="8"/>
      <c r="E3920" s="8"/>
      <c r="F3920" s="8"/>
    </row>
    <row r="3921" spans="4:6">
      <c r="D3921" s="8"/>
      <c r="E3921" s="8"/>
      <c r="F3921" s="8"/>
    </row>
    <row r="3922" spans="4:6">
      <c r="D3922" s="8"/>
      <c r="E3922" s="8"/>
      <c r="F3922" s="8"/>
    </row>
    <row r="3923" spans="4:6">
      <c r="D3923" s="8"/>
      <c r="E3923" s="8"/>
      <c r="F3923" s="8"/>
    </row>
    <row r="3924" spans="4:6">
      <c r="D3924" s="8"/>
      <c r="E3924" s="8"/>
      <c r="F3924" s="8"/>
    </row>
    <row r="3925" spans="4:6">
      <c r="D3925" s="8"/>
      <c r="E3925" s="8"/>
      <c r="F3925" s="8"/>
    </row>
    <row r="3926" spans="4:6">
      <c r="D3926" s="8"/>
      <c r="E3926" s="8"/>
      <c r="F3926" s="8"/>
    </row>
    <row r="3927" spans="4:6">
      <c r="D3927" s="8"/>
      <c r="E3927" s="8"/>
      <c r="F3927" s="8"/>
    </row>
    <row r="3928" spans="4:6">
      <c r="D3928" s="8"/>
      <c r="E3928" s="8"/>
      <c r="F3928" s="8"/>
    </row>
    <row r="3929" spans="4:6">
      <c r="D3929" s="8"/>
      <c r="E3929" s="8"/>
      <c r="F3929" s="8"/>
    </row>
    <row r="3930" spans="4:6">
      <c r="D3930" s="8"/>
      <c r="E3930" s="8"/>
      <c r="F3930" s="8"/>
    </row>
    <row r="3931" spans="4:6">
      <c r="D3931" s="8"/>
      <c r="E3931" s="8"/>
      <c r="F3931" s="8"/>
    </row>
    <row r="3932" spans="4:6">
      <c r="D3932" s="8"/>
      <c r="E3932" s="8"/>
      <c r="F3932" s="8"/>
    </row>
    <row r="3933" spans="4:6">
      <c r="D3933" s="8"/>
      <c r="E3933" s="8"/>
      <c r="F3933" s="8"/>
    </row>
    <row r="3934" spans="4:6">
      <c r="D3934" s="8"/>
      <c r="E3934" s="8"/>
      <c r="F3934" s="8"/>
    </row>
    <row r="3935" spans="4:6">
      <c r="D3935" s="8"/>
      <c r="E3935" s="8"/>
      <c r="F3935" s="8"/>
    </row>
    <row r="3936" spans="4:6">
      <c r="D3936" s="8"/>
      <c r="E3936" s="8"/>
      <c r="F3936" s="8"/>
    </row>
    <row r="3937" spans="4:6">
      <c r="D3937" s="8"/>
      <c r="E3937" s="8"/>
      <c r="F3937" s="8"/>
    </row>
    <row r="3938" spans="4:6">
      <c r="D3938" s="8"/>
      <c r="E3938" s="8"/>
      <c r="F3938" s="8"/>
    </row>
    <row r="3939" spans="4:6">
      <c r="D3939" s="8"/>
      <c r="E3939" s="8"/>
      <c r="F3939" s="8"/>
    </row>
    <row r="3940" spans="4:6">
      <c r="D3940" s="8"/>
      <c r="E3940" s="8"/>
      <c r="F3940" s="8"/>
    </row>
    <row r="3941" spans="4:6">
      <c r="D3941" s="8"/>
      <c r="E3941" s="8"/>
      <c r="F3941" s="8"/>
    </row>
    <row r="3942" spans="4:6">
      <c r="D3942" s="8"/>
      <c r="E3942" s="8"/>
      <c r="F3942" s="8"/>
    </row>
    <row r="3943" spans="4:6">
      <c r="D3943" s="8"/>
      <c r="E3943" s="8"/>
      <c r="F3943" s="8"/>
    </row>
    <row r="3944" spans="4:6">
      <c r="D3944" s="8"/>
      <c r="E3944" s="8"/>
      <c r="F3944" s="8"/>
    </row>
    <row r="3945" spans="4:6">
      <c r="D3945" s="8"/>
      <c r="E3945" s="8"/>
      <c r="F3945" s="8"/>
    </row>
    <row r="3946" spans="4:6">
      <c r="D3946" s="8"/>
      <c r="E3946" s="8"/>
      <c r="F3946" s="8"/>
    </row>
    <row r="3947" spans="4:6">
      <c r="D3947" s="8"/>
      <c r="E3947" s="8"/>
      <c r="F3947" s="8"/>
    </row>
    <row r="3948" spans="4:6">
      <c r="D3948" s="8"/>
      <c r="E3948" s="8"/>
      <c r="F3948" s="8"/>
    </row>
    <row r="3949" spans="4:6">
      <c r="D3949" s="8"/>
      <c r="E3949" s="8"/>
      <c r="F3949" s="8"/>
    </row>
    <row r="3950" spans="4:6">
      <c r="D3950" s="8"/>
      <c r="E3950" s="8"/>
      <c r="F3950" s="8"/>
    </row>
    <row r="3951" spans="4:6">
      <c r="D3951" s="8"/>
      <c r="E3951" s="8"/>
      <c r="F3951" s="8"/>
    </row>
    <row r="3952" spans="4:6">
      <c r="D3952" s="8"/>
      <c r="E3952" s="8"/>
      <c r="F3952" s="8"/>
    </row>
    <row r="3953" spans="4:6">
      <c r="D3953" s="8"/>
      <c r="E3953" s="8"/>
      <c r="F3953" s="8"/>
    </row>
    <row r="3954" spans="4:6">
      <c r="D3954" s="8"/>
      <c r="E3954" s="8"/>
      <c r="F3954" s="8"/>
    </row>
    <row r="3955" spans="4:6">
      <c r="D3955" s="8"/>
      <c r="E3955" s="8"/>
      <c r="F3955" s="8"/>
    </row>
    <row r="3956" spans="4:6">
      <c r="D3956" s="8"/>
      <c r="E3956" s="8"/>
      <c r="F3956" s="8"/>
    </row>
    <row r="3957" spans="4:6">
      <c r="D3957" s="8"/>
      <c r="E3957" s="8"/>
      <c r="F3957" s="8"/>
    </row>
    <row r="3958" spans="4:6">
      <c r="D3958" s="8"/>
      <c r="E3958" s="8"/>
      <c r="F3958" s="8"/>
    </row>
    <row r="3959" spans="4:6">
      <c r="D3959" s="8"/>
      <c r="E3959" s="8"/>
      <c r="F3959" s="8"/>
    </row>
    <row r="3960" spans="4:6">
      <c r="D3960" s="8"/>
      <c r="E3960" s="8"/>
      <c r="F3960" s="8"/>
    </row>
    <row r="3961" spans="4:6">
      <c r="D3961" s="8"/>
      <c r="E3961" s="8"/>
      <c r="F3961" s="8"/>
    </row>
    <row r="3962" spans="4:6">
      <c r="D3962" s="8"/>
      <c r="E3962" s="8"/>
      <c r="F3962" s="8"/>
    </row>
    <row r="3963" spans="4:6">
      <c r="D3963" s="8"/>
      <c r="E3963" s="8"/>
      <c r="F3963" s="8"/>
    </row>
    <row r="3964" spans="4:6">
      <c r="D3964" s="8"/>
      <c r="E3964" s="8"/>
      <c r="F3964" s="8"/>
    </row>
    <row r="3965" spans="4:6">
      <c r="D3965" s="8"/>
      <c r="E3965" s="8"/>
      <c r="F3965" s="8"/>
    </row>
    <row r="3966" spans="4:6">
      <c r="D3966" s="8"/>
      <c r="E3966" s="8"/>
      <c r="F3966" s="8"/>
    </row>
    <row r="3967" spans="4:6">
      <c r="D3967" s="8"/>
      <c r="E3967" s="8"/>
      <c r="F3967" s="8"/>
    </row>
    <row r="3968" spans="4:6">
      <c r="D3968" s="8"/>
      <c r="E3968" s="8"/>
      <c r="F3968" s="8"/>
    </row>
    <row r="3969" spans="4:6">
      <c r="D3969" s="8"/>
      <c r="E3969" s="8"/>
      <c r="F3969" s="8"/>
    </row>
    <row r="3970" spans="4:6">
      <c r="D3970" s="8"/>
      <c r="E3970" s="8"/>
      <c r="F3970" s="8"/>
    </row>
    <row r="3971" spans="4:6">
      <c r="D3971" s="8"/>
      <c r="E3971" s="8"/>
      <c r="F3971" s="8"/>
    </row>
    <row r="3972" spans="4:6">
      <c r="D3972" s="8"/>
      <c r="E3972" s="8"/>
      <c r="F3972" s="8"/>
    </row>
    <row r="3973" spans="4:6">
      <c r="D3973" s="8"/>
      <c r="E3973" s="8"/>
      <c r="F3973" s="8"/>
    </row>
    <row r="3974" spans="4:6">
      <c r="D3974" s="8"/>
      <c r="E3974" s="8"/>
      <c r="F3974" s="8"/>
    </row>
    <row r="3975" spans="4:6">
      <c r="D3975" s="8"/>
      <c r="E3975" s="8"/>
      <c r="F3975" s="8"/>
    </row>
    <row r="3976" spans="4:6">
      <c r="D3976" s="8"/>
      <c r="E3976" s="8"/>
      <c r="F3976" s="8"/>
    </row>
    <row r="3977" spans="4:6">
      <c r="D3977" s="8"/>
      <c r="E3977" s="8"/>
      <c r="F3977" s="8"/>
    </row>
    <row r="3978" spans="4:6">
      <c r="D3978" s="8"/>
      <c r="E3978" s="8"/>
      <c r="F3978" s="8"/>
    </row>
    <row r="3979" spans="4:6">
      <c r="D3979" s="8"/>
      <c r="E3979" s="8"/>
      <c r="F3979" s="8"/>
    </row>
    <row r="3980" spans="4:6">
      <c r="D3980" s="8"/>
      <c r="E3980" s="8"/>
      <c r="F3980" s="8"/>
    </row>
    <row r="3981" spans="4:6">
      <c r="D3981" s="8"/>
      <c r="E3981" s="8"/>
      <c r="F3981" s="8"/>
    </row>
    <row r="3982" spans="4:6">
      <c r="D3982" s="8"/>
      <c r="E3982" s="8"/>
      <c r="F3982" s="8"/>
    </row>
    <row r="3983" spans="4:6">
      <c r="D3983" s="8"/>
      <c r="E3983" s="8"/>
      <c r="F3983" s="8"/>
    </row>
    <row r="3984" spans="4:6">
      <c r="D3984" s="8"/>
      <c r="E3984" s="8"/>
      <c r="F3984" s="8"/>
    </row>
    <row r="3985" spans="4:6">
      <c r="D3985" s="8"/>
      <c r="E3985" s="8"/>
      <c r="F3985" s="8"/>
    </row>
    <row r="3986" spans="4:6">
      <c r="D3986" s="8"/>
      <c r="E3986" s="8"/>
      <c r="F3986" s="8"/>
    </row>
    <row r="3987" spans="4:6">
      <c r="D3987" s="8"/>
      <c r="E3987" s="8"/>
      <c r="F3987" s="8"/>
    </row>
    <row r="3988" spans="4:6">
      <c r="D3988" s="8"/>
      <c r="E3988" s="8"/>
      <c r="F3988" s="8"/>
    </row>
    <row r="3989" spans="4:6">
      <c r="D3989" s="8"/>
      <c r="E3989" s="8"/>
      <c r="F3989" s="8"/>
    </row>
    <row r="3990" spans="4:6">
      <c r="D3990" s="8"/>
      <c r="E3990" s="8"/>
      <c r="F3990" s="8"/>
    </row>
    <row r="3991" spans="4:6">
      <c r="D3991" s="8"/>
      <c r="E3991" s="8"/>
      <c r="F3991" s="8"/>
    </row>
    <row r="3992" spans="4:6">
      <c r="D3992" s="8"/>
      <c r="E3992" s="8"/>
      <c r="F3992" s="8"/>
    </row>
    <row r="3993" spans="4:6">
      <c r="D3993" s="8"/>
      <c r="E3993" s="8"/>
      <c r="F3993" s="8"/>
    </row>
    <row r="3994" spans="4:6">
      <c r="D3994" s="8"/>
      <c r="E3994" s="8"/>
      <c r="F3994" s="8"/>
    </row>
    <row r="3995" spans="4:6">
      <c r="D3995" s="8"/>
      <c r="E3995" s="8"/>
      <c r="F3995" s="8"/>
    </row>
    <row r="3996" spans="4:6">
      <c r="D3996" s="8"/>
      <c r="E3996" s="8"/>
      <c r="F3996" s="8"/>
    </row>
    <row r="3997" spans="4:6">
      <c r="D3997" s="8"/>
      <c r="E3997" s="8"/>
      <c r="F3997" s="8"/>
    </row>
    <row r="3998" spans="4:6">
      <c r="D3998" s="8"/>
      <c r="E3998" s="8"/>
      <c r="F3998" s="8"/>
    </row>
    <row r="3999" spans="4:6">
      <c r="D3999" s="8"/>
      <c r="E3999" s="8"/>
      <c r="F3999" s="8"/>
    </row>
    <row r="4000" spans="4:6">
      <c r="D4000" s="8"/>
      <c r="E4000" s="8"/>
      <c r="F4000" s="8"/>
    </row>
    <row r="4001" spans="4:6">
      <c r="D4001" s="8"/>
      <c r="E4001" s="8"/>
      <c r="F4001" s="8"/>
    </row>
    <row r="4002" spans="4:6">
      <c r="D4002" s="8"/>
      <c r="E4002" s="8"/>
      <c r="F4002" s="8"/>
    </row>
    <row r="4003" spans="4:6">
      <c r="D4003" s="8"/>
      <c r="E4003" s="8"/>
      <c r="F4003" s="8"/>
    </row>
    <row r="4004" spans="4:6">
      <c r="D4004" s="8"/>
      <c r="E4004" s="8"/>
      <c r="F4004" s="8"/>
    </row>
    <row r="4005" spans="4:6">
      <c r="D4005" s="8"/>
      <c r="E4005" s="8"/>
      <c r="F4005" s="8"/>
    </row>
    <row r="4006" spans="4:6">
      <c r="D4006" s="8"/>
      <c r="E4006" s="8"/>
      <c r="F4006" s="8"/>
    </row>
    <row r="4007" spans="4:6">
      <c r="D4007" s="8"/>
      <c r="E4007" s="8"/>
      <c r="F4007" s="8"/>
    </row>
    <row r="4008" spans="4:6">
      <c r="D4008" s="8"/>
      <c r="E4008" s="8"/>
      <c r="F4008" s="8"/>
    </row>
    <row r="4009" spans="4:6">
      <c r="D4009" s="8"/>
      <c r="E4009" s="8"/>
      <c r="F4009" s="8"/>
    </row>
    <row r="4010" spans="4:6">
      <c r="D4010" s="8"/>
      <c r="E4010" s="8"/>
      <c r="F4010" s="8"/>
    </row>
    <row r="4011" spans="4:6">
      <c r="D4011" s="8"/>
      <c r="E4011" s="8"/>
      <c r="F4011" s="8"/>
    </row>
    <row r="4012" spans="4:6">
      <c r="D4012" s="8"/>
      <c r="E4012" s="8"/>
      <c r="F4012" s="8"/>
    </row>
    <row r="4013" spans="4:6">
      <c r="D4013" s="8"/>
      <c r="E4013" s="8"/>
      <c r="F4013" s="8"/>
    </row>
    <row r="4014" spans="4:6">
      <c r="D4014" s="8"/>
      <c r="E4014" s="8"/>
      <c r="F4014" s="8"/>
    </row>
    <row r="4015" spans="4:6">
      <c r="D4015" s="8"/>
      <c r="E4015" s="8"/>
      <c r="F4015" s="8"/>
    </row>
    <row r="4016" spans="4:6">
      <c r="D4016" s="8"/>
      <c r="E4016" s="8"/>
      <c r="F4016" s="8"/>
    </row>
    <row r="4017" spans="4:6">
      <c r="D4017" s="8"/>
      <c r="E4017" s="8"/>
      <c r="F4017" s="8"/>
    </row>
    <row r="4018" spans="4:6">
      <c r="D4018" s="8"/>
      <c r="E4018" s="8"/>
      <c r="F4018" s="8"/>
    </row>
    <row r="4019" spans="4:6">
      <c r="D4019" s="8"/>
      <c r="E4019" s="8"/>
      <c r="F4019" s="8"/>
    </row>
    <row r="4020" spans="4:6">
      <c r="D4020" s="8"/>
      <c r="E4020" s="8"/>
      <c r="F4020" s="8"/>
    </row>
    <row r="4021" spans="4:6">
      <c r="D4021" s="8"/>
      <c r="E4021" s="8"/>
      <c r="F4021" s="8"/>
    </row>
    <row r="4022" spans="4:6">
      <c r="D4022" s="8"/>
      <c r="E4022" s="8"/>
      <c r="F4022" s="8"/>
    </row>
    <row r="4023" spans="4:6">
      <c r="D4023" s="8"/>
      <c r="E4023" s="8"/>
      <c r="F4023" s="8"/>
    </row>
    <row r="4024" spans="4:6">
      <c r="D4024" s="8"/>
      <c r="E4024" s="8"/>
      <c r="F4024" s="8"/>
    </row>
    <row r="4025" spans="4:6">
      <c r="D4025" s="8"/>
      <c r="E4025" s="8"/>
      <c r="F4025" s="8"/>
    </row>
    <row r="4026" spans="4:6">
      <c r="D4026" s="8"/>
      <c r="E4026" s="8"/>
      <c r="F4026" s="8"/>
    </row>
    <row r="4027" spans="4:6">
      <c r="D4027" s="8"/>
      <c r="E4027" s="8"/>
      <c r="F4027" s="8"/>
    </row>
    <row r="4028" spans="4:6">
      <c r="D4028" s="8"/>
      <c r="E4028" s="8"/>
      <c r="F4028" s="8"/>
    </row>
    <row r="4029" spans="4:6">
      <c r="D4029" s="8"/>
      <c r="E4029" s="8"/>
      <c r="F4029" s="8"/>
    </row>
    <row r="4030" spans="4:6">
      <c r="D4030" s="8"/>
      <c r="E4030" s="8"/>
      <c r="F4030" s="8"/>
    </row>
    <row r="4031" spans="4:6">
      <c r="D4031" s="8"/>
      <c r="E4031" s="8"/>
      <c r="F4031" s="8"/>
    </row>
    <row r="4032" spans="4:6">
      <c r="D4032" s="8"/>
      <c r="E4032" s="8"/>
      <c r="F4032" s="8"/>
    </row>
    <row r="4033" spans="4:6">
      <c r="D4033" s="8"/>
      <c r="E4033" s="8"/>
      <c r="F4033" s="8"/>
    </row>
    <row r="4034" spans="4:6">
      <c r="D4034" s="8"/>
      <c r="E4034" s="8"/>
      <c r="F4034" s="8"/>
    </row>
    <row r="4035" spans="4:6">
      <c r="D4035" s="8"/>
      <c r="E4035" s="8"/>
      <c r="F4035" s="8"/>
    </row>
    <row r="4036" spans="4:6">
      <c r="D4036" s="8"/>
      <c r="E4036" s="8"/>
      <c r="F4036" s="8"/>
    </row>
    <row r="4037" spans="4:6">
      <c r="D4037" s="8"/>
      <c r="E4037" s="8"/>
      <c r="F4037" s="8"/>
    </row>
    <row r="4038" spans="4:6">
      <c r="D4038" s="8"/>
      <c r="E4038" s="8"/>
      <c r="F4038" s="8"/>
    </row>
    <row r="4039" spans="4:6">
      <c r="D4039" s="8"/>
      <c r="E4039" s="8"/>
      <c r="F4039" s="8"/>
    </row>
    <row r="4040" spans="4:6">
      <c r="D4040" s="8"/>
      <c r="E4040" s="8"/>
      <c r="F4040" s="8"/>
    </row>
    <row r="4041" spans="4:6">
      <c r="D4041" s="8"/>
      <c r="E4041" s="8"/>
      <c r="F4041" s="8"/>
    </row>
    <row r="4042" spans="4:6">
      <c r="D4042" s="8"/>
      <c r="E4042" s="8"/>
      <c r="F4042" s="8"/>
    </row>
    <row r="4043" spans="4:6">
      <c r="D4043" s="8"/>
      <c r="E4043" s="8"/>
      <c r="F4043" s="8"/>
    </row>
    <row r="4044" spans="4:6">
      <c r="D4044" s="8"/>
      <c r="E4044" s="8"/>
      <c r="F4044" s="8"/>
    </row>
    <row r="4045" spans="4:6">
      <c r="D4045" s="8"/>
      <c r="E4045" s="8"/>
      <c r="F4045" s="8"/>
    </row>
    <row r="4046" spans="4:6">
      <c r="D4046" s="8"/>
      <c r="E4046" s="8"/>
      <c r="F4046" s="8"/>
    </row>
    <row r="4047" spans="4:6">
      <c r="D4047" s="8"/>
      <c r="E4047" s="8"/>
      <c r="F4047" s="8"/>
    </row>
    <row r="4048" spans="4:6">
      <c r="D4048" s="8"/>
      <c r="E4048" s="8"/>
      <c r="F4048" s="8"/>
    </row>
    <row r="4049" spans="4:6">
      <c r="D4049" s="8"/>
      <c r="E4049" s="8"/>
      <c r="F4049" s="8"/>
    </row>
    <row r="4050" spans="4:6">
      <c r="D4050" s="8"/>
      <c r="E4050" s="8"/>
      <c r="F4050" s="8"/>
    </row>
    <row r="4051" spans="4:6">
      <c r="D4051" s="8"/>
      <c r="E4051" s="8"/>
      <c r="F4051" s="8"/>
    </row>
    <row r="4052" spans="4:6">
      <c r="D4052" s="8"/>
      <c r="E4052" s="8"/>
      <c r="F4052" s="8"/>
    </row>
    <row r="4053" spans="4:6">
      <c r="D4053" s="8"/>
      <c r="E4053" s="8"/>
      <c r="F4053" s="8"/>
    </row>
    <row r="4054" spans="4:6">
      <c r="D4054" s="8"/>
      <c r="E4054" s="8"/>
      <c r="F4054" s="8"/>
    </row>
    <row r="4055" spans="4:6">
      <c r="D4055" s="8"/>
      <c r="E4055" s="8"/>
      <c r="F4055" s="8"/>
    </row>
    <row r="4056" spans="4:6">
      <c r="D4056" s="8"/>
      <c r="E4056" s="8"/>
      <c r="F4056" s="8"/>
    </row>
    <row r="4057" spans="4:6">
      <c r="D4057" s="8"/>
      <c r="E4057" s="8"/>
      <c r="F4057" s="8"/>
    </row>
    <row r="4058" spans="4:6">
      <c r="D4058" s="8"/>
      <c r="E4058" s="8"/>
      <c r="F4058" s="8"/>
    </row>
    <row r="4059" spans="4:6">
      <c r="D4059" s="8"/>
      <c r="E4059" s="8"/>
      <c r="F4059" s="8"/>
    </row>
    <row r="4060" spans="4:6">
      <c r="D4060" s="8"/>
      <c r="E4060" s="8"/>
      <c r="F4060" s="8"/>
    </row>
    <row r="4061" spans="4:6">
      <c r="D4061" s="8"/>
      <c r="E4061" s="8"/>
      <c r="F4061" s="8"/>
    </row>
    <row r="4062" spans="4:6">
      <c r="D4062" s="8"/>
      <c r="E4062" s="8"/>
      <c r="F4062" s="8"/>
    </row>
    <row r="4063" spans="4:6">
      <c r="D4063" s="8"/>
      <c r="E4063" s="8"/>
      <c r="F4063" s="8"/>
    </row>
    <row r="4064" spans="4:6">
      <c r="D4064" s="8"/>
      <c r="E4064" s="8"/>
      <c r="F4064" s="8"/>
    </row>
    <row r="4065" spans="4:6">
      <c r="D4065" s="8"/>
      <c r="E4065" s="8"/>
      <c r="F4065" s="8"/>
    </row>
    <row r="4066" spans="4:6">
      <c r="D4066" s="8"/>
      <c r="E4066" s="8"/>
      <c r="F4066" s="8"/>
    </row>
    <row r="4067" spans="4:6">
      <c r="D4067" s="8"/>
      <c r="E4067" s="8"/>
      <c r="F4067" s="8"/>
    </row>
    <row r="4068" spans="4:6">
      <c r="D4068" s="8"/>
      <c r="E4068" s="8"/>
      <c r="F4068" s="8"/>
    </row>
    <row r="4069" spans="4:6">
      <c r="D4069" s="8"/>
      <c r="E4069" s="8"/>
      <c r="F4069" s="8"/>
    </row>
    <row r="4070" spans="4:6">
      <c r="D4070" s="8"/>
      <c r="E4070" s="8"/>
      <c r="F4070" s="8"/>
    </row>
    <row r="4071" spans="4:6">
      <c r="D4071" s="8"/>
      <c r="E4071" s="8"/>
      <c r="F4071" s="8"/>
    </row>
    <row r="4072" spans="4:6">
      <c r="D4072" s="8"/>
      <c r="E4072" s="8"/>
      <c r="F4072" s="8"/>
    </row>
    <row r="4073" spans="4:6">
      <c r="D4073" s="8"/>
      <c r="E4073" s="8"/>
      <c r="F4073" s="8"/>
    </row>
    <row r="4074" spans="4:6">
      <c r="D4074" s="8"/>
      <c r="E4074" s="8"/>
      <c r="F4074" s="8"/>
    </row>
    <row r="4075" spans="4:6">
      <c r="D4075" s="8"/>
      <c r="E4075" s="8"/>
      <c r="F4075" s="8"/>
    </row>
    <row r="4076" spans="4:6">
      <c r="D4076" s="8"/>
      <c r="E4076" s="8"/>
      <c r="F4076" s="8"/>
    </row>
    <row r="4077" spans="4:6">
      <c r="D4077" s="8"/>
      <c r="E4077" s="8"/>
      <c r="F4077" s="8"/>
    </row>
    <row r="4078" spans="4:6">
      <c r="D4078" s="8"/>
      <c r="E4078" s="8"/>
      <c r="F4078" s="8"/>
    </row>
    <row r="4079" spans="4:6">
      <c r="D4079" s="8"/>
      <c r="E4079" s="8"/>
      <c r="F4079" s="8"/>
    </row>
    <row r="4080" spans="4:6">
      <c r="D4080" s="8"/>
      <c r="E4080" s="8"/>
      <c r="F4080" s="8"/>
    </row>
    <row r="4081" spans="4:6">
      <c r="D4081" s="8"/>
      <c r="E4081" s="8"/>
      <c r="F4081" s="8"/>
    </row>
    <row r="4082" spans="4:6">
      <c r="D4082" s="8"/>
      <c r="E4082" s="8"/>
      <c r="F4082" s="8"/>
    </row>
    <row r="4083" spans="4:6">
      <c r="D4083" s="8"/>
      <c r="E4083" s="8"/>
      <c r="F4083" s="8"/>
    </row>
    <row r="4084" spans="4:6">
      <c r="D4084" s="8"/>
      <c r="E4084" s="8"/>
      <c r="F4084" s="8"/>
    </row>
    <row r="4085" spans="4:6">
      <c r="D4085" s="8"/>
      <c r="E4085" s="8"/>
      <c r="F4085" s="8"/>
    </row>
    <row r="4086" spans="4:6">
      <c r="D4086" s="8"/>
      <c r="E4086" s="8"/>
      <c r="F4086" s="8"/>
    </row>
    <row r="4087" spans="4:6">
      <c r="D4087" s="8"/>
      <c r="E4087" s="8"/>
      <c r="F4087" s="8"/>
    </row>
    <row r="4088" spans="4:6">
      <c r="D4088" s="8"/>
      <c r="E4088" s="8"/>
      <c r="F4088" s="8"/>
    </row>
    <row r="4089" spans="4:6">
      <c r="D4089" s="8"/>
      <c r="E4089" s="8"/>
      <c r="F4089" s="8"/>
    </row>
    <row r="4090" spans="4:6">
      <c r="D4090" s="8"/>
      <c r="E4090" s="8"/>
      <c r="F4090" s="8"/>
    </row>
    <row r="4091" spans="4:6">
      <c r="D4091" s="8"/>
      <c r="E4091" s="8"/>
      <c r="F4091" s="8"/>
    </row>
    <row r="4092" spans="4:6">
      <c r="D4092" s="8"/>
      <c r="E4092" s="8"/>
      <c r="F4092" s="8"/>
    </row>
    <row r="4093" spans="4:6">
      <c r="D4093" s="8"/>
      <c r="E4093" s="8"/>
      <c r="F4093" s="8"/>
    </row>
    <row r="4094" spans="4:6">
      <c r="D4094" s="8"/>
      <c r="E4094" s="8"/>
      <c r="F4094" s="8"/>
    </row>
    <row r="4095" spans="4:6">
      <c r="D4095" s="8"/>
      <c r="E4095" s="8"/>
      <c r="F4095" s="8"/>
    </row>
    <row r="4096" spans="4:6">
      <c r="D4096" s="8"/>
      <c r="E4096" s="8"/>
      <c r="F4096" s="8"/>
    </row>
    <row r="4097" spans="4:6">
      <c r="D4097" s="8"/>
      <c r="E4097" s="8"/>
      <c r="F4097" s="8"/>
    </row>
    <row r="4098" spans="4:6">
      <c r="D4098" s="8"/>
      <c r="E4098" s="8"/>
      <c r="F4098" s="8"/>
    </row>
    <row r="4099" spans="4:6">
      <c r="D4099" s="8"/>
      <c r="E4099" s="8"/>
      <c r="F4099" s="8"/>
    </row>
    <row r="4100" spans="4:6">
      <c r="D4100" s="8"/>
      <c r="E4100" s="8"/>
      <c r="F4100" s="8"/>
    </row>
    <row r="4101" spans="4:6">
      <c r="D4101" s="8"/>
      <c r="E4101" s="8"/>
      <c r="F4101" s="8"/>
    </row>
    <row r="4102" spans="4:6">
      <c r="D4102" s="8"/>
      <c r="E4102" s="8"/>
      <c r="F4102" s="8"/>
    </row>
    <row r="4103" spans="4:6">
      <c r="D4103" s="8"/>
      <c r="E4103" s="8"/>
      <c r="F4103" s="8"/>
    </row>
    <row r="4104" spans="4:6">
      <c r="D4104" s="8"/>
      <c r="E4104" s="8"/>
      <c r="F4104" s="8"/>
    </row>
    <row r="4105" spans="4:6">
      <c r="D4105" s="8"/>
      <c r="E4105" s="8"/>
      <c r="F4105" s="8"/>
    </row>
    <row r="4106" spans="4:6">
      <c r="D4106" s="8"/>
      <c r="E4106" s="8"/>
      <c r="F4106" s="8"/>
    </row>
    <row r="4107" spans="4:6">
      <c r="D4107" s="8"/>
      <c r="E4107" s="8"/>
      <c r="F4107" s="8"/>
    </row>
    <row r="4108" spans="4:6">
      <c r="D4108" s="8"/>
      <c r="E4108" s="8"/>
      <c r="F4108" s="8"/>
    </row>
    <row r="4109" spans="4:6">
      <c r="D4109" s="8"/>
      <c r="E4109" s="8"/>
      <c r="F4109" s="8"/>
    </row>
    <row r="4110" spans="4:6">
      <c r="D4110" s="8"/>
      <c r="E4110" s="8"/>
      <c r="F4110" s="8"/>
    </row>
    <row r="4111" spans="4:6">
      <c r="D4111" s="8"/>
      <c r="E4111" s="8"/>
      <c r="F4111" s="8"/>
    </row>
    <row r="4112" spans="4:6">
      <c r="D4112" s="8"/>
      <c r="E4112" s="8"/>
      <c r="F4112" s="8"/>
    </row>
    <row r="4113" spans="4:6">
      <c r="D4113" s="8"/>
      <c r="E4113" s="8"/>
      <c r="F4113" s="8"/>
    </row>
    <row r="4114" spans="4:6">
      <c r="D4114" s="8"/>
      <c r="E4114" s="8"/>
      <c r="F4114" s="8"/>
    </row>
    <row r="4115" spans="4:6">
      <c r="D4115" s="8"/>
      <c r="E4115" s="8"/>
      <c r="F4115" s="8"/>
    </row>
    <row r="4116" spans="4:6">
      <c r="D4116" s="8"/>
      <c r="E4116" s="8"/>
      <c r="F4116" s="8"/>
    </row>
    <row r="4117" spans="4:6">
      <c r="D4117" s="8"/>
      <c r="E4117" s="8"/>
      <c r="F4117" s="8"/>
    </row>
    <row r="4118" spans="4:6">
      <c r="D4118" s="8"/>
      <c r="E4118" s="8"/>
      <c r="F4118" s="8"/>
    </row>
    <row r="4119" spans="4:6">
      <c r="D4119" s="8"/>
      <c r="E4119" s="8"/>
      <c r="F4119" s="8"/>
    </row>
    <row r="4120" spans="4:6">
      <c r="D4120" s="8"/>
      <c r="E4120" s="8"/>
      <c r="F4120" s="8"/>
    </row>
    <row r="4121" spans="4:6">
      <c r="D4121" s="8"/>
      <c r="E4121" s="8"/>
      <c r="F4121" s="8"/>
    </row>
    <row r="4122" spans="4:6">
      <c r="D4122" s="8"/>
      <c r="E4122" s="8"/>
      <c r="F4122" s="8"/>
    </row>
    <row r="4123" spans="4:6">
      <c r="D4123" s="8"/>
      <c r="E4123" s="8"/>
      <c r="F4123" s="8"/>
    </row>
    <row r="4124" spans="4:6">
      <c r="D4124" s="8"/>
      <c r="E4124" s="8"/>
      <c r="F4124" s="8"/>
    </row>
    <row r="4125" spans="4:6">
      <c r="D4125" s="8"/>
      <c r="E4125" s="8"/>
      <c r="F4125" s="8"/>
    </row>
    <row r="4126" spans="4:6">
      <c r="D4126" s="8"/>
      <c r="E4126" s="8"/>
      <c r="F4126" s="8"/>
    </row>
    <row r="4127" spans="4:6">
      <c r="D4127" s="8"/>
      <c r="E4127" s="8"/>
      <c r="F4127" s="8"/>
    </row>
    <row r="4128" spans="4:6">
      <c r="D4128" s="8"/>
      <c r="E4128" s="8"/>
      <c r="F4128" s="8"/>
    </row>
    <row r="4129" spans="4:6">
      <c r="D4129" s="8"/>
      <c r="E4129" s="8"/>
      <c r="F4129" s="8"/>
    </row>
    <row r="4130" spans="4:6">
      <c r="D4130" s="8"/>
      <c r="E4130" s="8"/>
      <c r="F4130" s="8"/>
    </row>
    <row r="4131" spans="4:6">
      <c r="D4131" s="8"/>
      <c r="E4131" s="8"/>
      <c r="F4131" s="8"/>
    </row>
    <row r="4132" spans="4:6">
      <c r="D4132" s="8"/>
      <c r="E4132" s="8"/>
      <c r="F4132" s="8"/>
    </row>
    <row r="4133" spans="4:6">
      <c r="D4133" s="8"/>
      <c r="E4133" s="8"/>
      <c r="F4133" s="8"/>
    </row>
    <row r="4134" spans="4:6">
      <c r="D4134" s="8"/>
      <c r="E4134" s="8"/>
      <c r="F4134" s="8"/>
    </row>
    <row r="4135" spans="4:6">
      <c r="D4135" s="8"/>
      <c r="E4135" s="8"/>
      <c r="F4135" s="8"/>
    </row>
    <row r="4136" spans="4:6">
      <c r="D4136" s="8"/>
      <c r="E4136" s="8"/>
      <c r="F4136" s="8"/>
    </row>
    <row r="4137" spans="4:6">
      <c r="D4137" s="8"/>
      <c r="E4137" s="8"/>
      <c r="F4137" s="8"/>
    </row>
    <row r="4138" spans="4:6">
      <c r="D4138" s="8"/>
      <c r="E4138" s="8"/>
      <c r="F4138" s="8"/>
    </row>
    <row r="4139" spans="4:6">
      <c r="D4139" s="8"/>
      <c r="E4139" s="8"/>
      <c r="F4139" s="8"/>
    </row>
    <row r="4140" spans="4:6">
      <c r="D4140" s="8"/>
      <c r="E4140" s="8"/>
      <c r="F4140" s="8"/>
    </row>
    <row r="4141" spans="4:6">
      <c r="D4141" s="8"/>
      <c r="E4141" s="8"/>
      <c r="F4141" s="8"/>
    </row>
    <row r="4142" spans="4:6">
      <c r="D4142" s="8"/>
      <c r="E4142" s="8"/>
      <c r="F4142" s="8"/>
    </row>
    <row r="4143" spans="4:6">
      <c r="D4143" s="8"/>
      <c r="E4143" s="8"/>
      <c r="F4143" s="8"/>
    </row>
    <row r="4144" spans="4:6">
      <c r="D4144" s="8"/>
      <c r="E4144" s="8"/>
      <c r="F4144" s="8"/>
    </row>
    <row r="4145" spans="4:6">
      <c r="D4145" s="8"/>
      <c r="E4145" s="8"/>
      <c r="F4145" s="8"/>
    </row>
    <row r="4146" spans="4:6">
      <c r="D4146" s="8"/>
      <c r="E4146" s="8"/>
      <c r="F4146" s="8"/>
    </row>
    <row r="4147" spans="4:6">
      <c r="D4147" s="8"/>
      <c r="E4147" s="8"/>
      <c r="F4147" s="8"/>
    </row>
    <row r="4148" spans="4:6">
      <c r="D4148" s="8"/>
      <c r="E4148" s="8"/>
      <c r="F4148" s="8"/>
    </row>
    <row r="4149" spans="4:6">
      <c r="D4149" s="8"/>
      <c r="E4149" s="8"/>
      <c r="F4149" s="8"/>
    </row>
    <row r="4150" spans="4:6">
      <c r="D4150" s="8"/>
      <c r="E4150" s="8"/>
      <c r="F4150" s="8"/>
    </row>
    <row r="4151" spans="4:6">
      <c r="D4151" s="8"/>
      <c r="E4151" s="8"/>
      <c r="F4151" s="8"/>
    </row>
    <row r="4152" spans="4:6">
      <c r="D4152" s="8"/>
      <c r="E4152" s="8"/>
      <c r="F4152" s="8"/>
    </row>
    <row r="4153" spans="4:6">
      <c r="D4153" s="8"/>
      <c r="E4153" s="8"/>
      <c r="F4153" s="8"/>
    </row>
    <row r="4154" spans="4:6">
      <c r="D4154" s="8"/>
      <c r="E4154" s="8"/>
      <c r="F4154" s="8"/>
    </row>
    <row r="4155" spans="4:6">
      <c r="D4155" s="8"/>
      <c r="E4155" s="8"/>
      <c r="F4155" s="8"/>
    </row>
    <row r="4156" spans="4:6">
      <c r="D4156" s="8"/>
      <c r="E4156" s="8"/>
      <c r="F4156" s="8"/>
    </row>
    <row r="4157" spans="4:6">
      <c r="D4157" s="8"/>
      <c r="E4157" s="8"/>
      <c r="F4157" s="8"/>
    </row>
    <row r="4158" spans="4:6">
      <c r="D4158" s="8"/>
      <c r="E4158" s="8"/>
      <c r="F4158" s="8"/>
    </row>
    <row r="4159" spans="4:6">
      <c r="D4159" s="8"/>
      <c r="E4159" s="8"/>
      <c r="F4159" s="8"/>
    </row>
    <row r="4160" spans="4:6">
      <c r="D4160" s="8"/>
      <c r="E4160" s="8"/>
      <c r="F4160" s="8"/>
    </row>
    <row r="4161" spans="4:6">
      <c r="D4161" s="8"/>
      <c r="E4161" s="8"/>
      <c r="F4161" s="8"/>
    </row>
    <row r="4162" spans="4:6">
      <c r="D4162" s="8"/>
      <c r="E4162" s="8"/>
      <c r="F4162" s="8"/>
    </row>
    <row r="4163" spans="4:6">
      <c r="D4163" s="8"/>
      <c r="E4163" s="8"/>
      <c r="F4163" s="8"/>
    </row>
    <row r="4164" spans="4:6">
      <c r="D4164" s="8"/>
      <c r="E4164" s="8"/>
      <c r="F4164" s="8"/>
    </row>
    <row r="4165" spans="4:6">
      <c r="D4165" s="8"/>
      <c r="E4165" s="8"/>
      <c r="F4165" s="8"/>
    </row>
    <row r="4166" spans="4:6">
      <c r="D4166" s="8"/>
      <c r="E4166" s="8"/>
      <c r="F4166" s="8"/>
    </row>
    <row r="4167" spans="4:6">
      <c r="D4167" s="8"/>
      <c r="E4167" s="8"/>
      <c r="F4167" s="8"/>
    </row>
    <row r="4168" spans="4:6">
      <c r="D4168" s="8"/>
      <c r="E4168" s="8"/>
      <c r="F4168" s="8"/>
    </row>
    <row r="4169" spans="4:6">
      <c r="D4169" s="8"/>
      <c r="E4169" s="8"/>
      <c r="F4169" s="8"/>
    </row>
    <row r="4170" spans="4:6">
      <c r="D4170" s="8"/>
      <c r="E4170" s="8"/>
      <c r="F4170" s="8"/>
    </row>
    <row r="4171" spans="4:6">
      <c r="D4171" s="8"/>
      <c r="E4171" s="8"/>
      <c r="F4171" s="8"/>
    </row>
    <row r="4172" spans="4:6">
      <c r="D4172" s="8"/>
      <c r="E4172" s="8"/>
      <c r="F4172" s="8"/>
    </row>
    <row r="4173" spans="4:6">
      <c r="D4173" s="8"/>
      <c r="E4173" s="8"/>
      <c r="F4173" s="8"/>
    </row>
    <row r="4174" spans="4:6">
      <c r="D4174" s="8"/>
      <c r="E4174" s="8"/>
      <c r="F4174" s="8"/>
    </row>
    <row r="4175" spans="4:6">
      <c r="D4175" s="8"/>
      <c r="E4175" s="8"/>
      <c r="F4175" s="8"/>
    </row>
    <row r="4176" spans="4:6">
      <c r="D4176" s="8"/>
      <c r="E4176" s="8"/>
      <c r="F4176" s="8"/>
    </row>
    <row r="4177" spans="4:6">
      <c r="D4177" s="8"/>
      <c r="E4177" s="8"/>
      <c r="F4177" s="8"/>
    </row>
    <row r="4178" spans="4:6">
      <c r="D4178" s="8"/>
      <c r="E4178" s="8"/>
      <c r="F4178" s="8"/>
    </row>
    <row r="4179" spans="4:6">
      <c r="D4179" s="8"/>
      <c r="E4179" s="8"/>
      <c r="F4179" s="8"/>
    </row>
    <row r="4180" spans="4:6">
      <c r="D4180" s="8"/>
      <c r="E4180" s="8"/>
      <c r="F4180" s="8"/>
    </row>
    <row r="4181" spans="4:6">
      <c r="D4181" s="8"/>
      <c r="E4181" s="8"/>
      <c r="F4181" s="8"/>
    </row>
    <row r="4182" spans="4:6">
      <c r="D4182" s="8"/>
      <c r="E4182" s="8"/>
      <c r="F4182" s="8"/>
    </row>
    <row r="4183" spans="4:6">
      <c r="D4183" s="8"/>
      <c r="E4183" s="8"/>
      <c r="F4183" s="8"/>
    </row>
    <row r="4184" spans="4:6">
      <c r="D4184" s="8"/>
      <c r="E4184" s="8"/>
      <c r="F4184" s="8"/>
    </row>
    <row r="4185" spans="4:6">
      <c r="D4185" s="8"/>
      <c r="E4185" s="8"/>
      <c r="F4185" s="8"/>
    </row>
    <row r="4186" spans="4:6">
      <c r="D4186" s="8"/>
      <c r="E4186" s="8"/>
      <c r="F4186" s="8"/>
    </row>
    <row r="4187" spans="4:6">
      <c r="D4187" s="8"/>
      <c r="E4187" s="8"/>
      <c r="F4187" s="8"/>
    </row>
    <row r="4188" spans="4:6">
      <c r="D4188" s="8"/>
      <c r="E4188" s="8"/>
      <c r="F4188" s="8"/>
    </row>
    <row r="4189" spans="4:6">
      <c r="D4189" s="8"/>
      <c r="E4189" s="8"/>
      <c r="F4189" s="8"/>
    </row>
    <row r="4190" spans="4:6">
      <c r="D4190" s="8"/>
      <c r="E4190" s="8"/>
      <c r="F4190" s="8"/>
    </row>
    <row r="4191" spans="4:6">
      <c r="D4191" s="8"/>
      <c r="E4191" s="8"/>
      <c r="F4191" s="8"/>
    </row>
    <row r="4192" spans="4:6">
      <c r="D4192" s="8"/>
      <c r="E4192" s="8"/>
      <c r="F4192" s="8"/>
    </row>
    <row r="4193" spans="4:6">
      <c r="D4193" s="8"/>
      <c r="E4193" s="8"/>
      <c r="F4193" s="8"/>
    </row>
    <row r="4194" spans="4:6">
      <c r="D4194" s="8"/>
      <c r="E4194" s="8"/>
      <c r="F4194" s="8"/>
    </row>
    <row r="4195" spans="4:6">
      <c r="D4195" s="8"/>
      <c r="E4195" s="8"/>
      <c r="F4195" s="8"/>
    </row>
    <row r="4196" spans="4:6">
      <c r="D4196" s="8"/>
      <c r="E4196" s="8"/>
      <c r="F4196" s="8"/>
    </row>
    <row r="4197" spans="4:6">
      <c r="D4197" s="8"/>
      <c r="E4197" s="8"/>
      <c r="F4197" s="8"/>
    </row>
    <row r="4198" spans="4:6">
      <c r="D4198" s="8"/>
      <c r="E4198" s="8"/>
      <c r="F4198" s="8"/>
    </row>
    <row r="4199" spans="4:6">
      <c r="D4199" s="8"/>
      <c r="E4199" s="8"/>
      <c r="F4199" s="8"/>
    </row>
    <row r="4200" spans="4:6">
      <c r="D4200" s="8"/>
      <c r="E4200" s="8"/>
      <c r="F4200" s="8"/>
    </row>
    <row r="4201" spans="4:6">
      <c r="D4201" s="8"/>
      <c r="E4201" s="8"/>
      <c r="F4201" s="8"/>
    </row>
    <row r="4202" spans="4:6">
      <c r="D4202" s="8"/>
      <c r="E4202" s="8"/>
      <c r="F4202" s="8"/>
    </row>
    <row r="4203" spans="4:6">
      <c r="D4203" s="8"/>
      <c r="E4203" s="8"/>
      <c r="F4203" s="8"/>
    </row>
    <row r="4204" spans="4:6">
      <c r="D4204" s="8"/>
      <c r="E4204" s="8"/>
      <c r="F4204" s="8"/>
    </row>
    <row r="4205" spans="4:6">
      <c r="D4205" s="8"/>
      <c r="E4205" s="8"/>
      <c r="F4205" s="8"/>
    </row>
    <row r="4206" spans="4:6">
      <c r="D4206" s="8"/>
      <c r="E4206" s="8"/>
      <c r="F4206" s="8"/>
    </row>
    <row r="4207" spans="4:6">
      <c r="D4207" s="8"/>
      <c r="E4207" s="8"/>
      <c r="F4207" s="8"/>
    </row>
    <row r="4208" spans="4:6">
      <c r="D4208" s="8"/>
      <c r="E4208" s="8"/>
      <c r="F4208" s="8"/>
    </row>
    <row r="4209" spans="4:6">
      <c r="D4209" s="8"/>
      <c r="E4209" s="8"/>
      <c r="F4209" s="8"/>
    </row>
    <row r="4210" spans="4:6">
      <c r="D4210" s="8"/>
      <c r="E4210" s="8"/>
      <c r="F4210" s="8"/>
    </row>
    <row r="4211" spans="4:6">
      <c r="D4211" s="8"/>
      <c r="E4211" s="8"/>
      <c r="F4211" s="8"/>
    </row>
    <row r="4212" spans="4:6">
      <c r="D4212" s="8"/>
      <c r="E4212" s="8"/>
      <c r="F4212" s="8"/>
    </row>
    <row r="4213" spans="4:6">
      <c r="D4213" s="8"/>
      <c r="E4213" s="8"/>
      <c r="F4213" s="8"/>
    </row>
    <row r="4214" spans="4:6">
      <c r="D4214" s="8"/>
      <c r="E4214" s="8"/>
      <c r="F4214" s="8"/>
    </row>
    <row r="4215" spans="4:6">
      <c r="D4215" s="8"/>
      <c r="E4215" s="8"/>
      <c r="F4215" s="8"/>
    </row>
    <row r="4216" spans="4:6">
      <c r="D4216" s="8"/>
      <c r="E4216" s="8"/>
      <c r="F4216" s="8"/>
    </row>
    <row r="4217" spans="4:6">
      <c r="D4217" s="8"/>
      <c r="E4217" s="8"/>
      <c r="F4217" s="8"/>
    </row>
    <row r="4218" spans="4:6">
      <c r="D4218" s="8"/>
      <c r="E4218" s="8"/>
      <c r="F4218" s="8"/>
    </row>
    <row r="4219" spans="4:6">
      <c r="D4219" s="8"/>
      <c r="E4219" s="8"/>
      <c r="F4219" s="8"/>
    </row>
    <row r="4220" spans="4:6">
      <c r="D4220" s="8"/>
      <c r="E4220" s="8"/>
      <c r="F4220" s="8"/>
    </row>
    <row r="4221" spans="4:6">
      <c r="D4221" s="8"/>
      <c r="E4221" s="8"/>
      <c r="F4221" s="8"/>
    </row>
    <row r="4222" spans="4:6">
      <c r="D4222" s="8"/>
      <c r="E4222" s="8"/>
      <c r="F4222" s="8"/>
    </row>
    <row r="4223" spans="4:6">
      <c r="D4223" s="8"/>
      <c r="E4223" s="8"/>
      <c r="F4223" s="8"/>
    </row>
    <row r="4224" spans="4:6">
      <c r="D4224" s="8"/>
      <c r="E4224" s="8"/>
      <c r="F4224" s="8"/>
    </row>
    <row r="4225" spans="4:6">
      <c r="D4225" s="8"/>
      <c r="E4225" s="8"/>
      <c r="F4225" s="8"/>
    </row>
    <row r="4226" spans="4:6">
      <c r="D4226" s="8"/>
      <c r="E4226" s="8"/>
      <c r="F4226" s="8"/>
    </row>
    <row r="4227" spans="4:6">
      <c r="D4227" s="8"/>
      <c r="E4227" s="8"/>
      <c r="F4227" s="8"/>
    </row>
    <row r="4228" spans="4:6">
      <c r="D4228" s="8"/>
      <c r="E4228" s="8"/>
      <c r="F4228" s="8"/>
    </row>
    <row r="4229" spans="4:6">
      <c r="D4229" s="8"/>
      <c r="E4229" s="8"/>
      <c r="F4229" s="8"/>
    </row>
    <row r="4230" spans="4:6">
      <c r="D4230" s="8"/>
      <c r="E4230" s="8"/>
      <c r="F4230" s="8"/>
    </row>
    <row r="4231" spans="4:6">
      <c r="D4231" s="8"/>
      <c r="E4231" s="8"/>
      <c r="F4231" s="8"/>
    </row>
    <row r="4232" spans="4:6">
      <c r="D4232" s="8"/>
      <c r="E4232" s="8"/>
      <c r="F4232" s="8"/>
    </row>
    <row r="4233" spans="4:6">
      <c r="D4233" s="8"/>
      <c r="E4233" s="8"/>
      <c r="F4233" s="8"/>
    </row>
    <row r="4234" spans="4:6">
      <c r="D4234" s="8"/>
      <c r="E4234" s="8"/>
      <c r="F4234" s="8"/>
    </row>
    <row r="4235" spans="4:6">
      <c r="D4235" s="8"/>
      <c r="E4235" s="8"/>
      <c r="F4235" s="8"/>
    </row>
    <row r="4236" spans="4:6">
      <c r="D4236" s="8"/>
      <c r="E4236" s="8"/>
      <c r="F4236" s="8"/>
    </row>
    <row r="4237" spans="4:6">
      <c r="D4237" s="8"/>
      <c r="E4237" s="8"/>
      <c r="F4237" s="8"/>
    </row>
    <row r="4238" spans="4:6">
      <c r="D4238" s="8"/>
      <c r="E4238" s="8"/>
      <c r="F4238" s="8"/>
    </row>
    <row r="4239" spans="4:6">
      <c r="D4239" s="8"/>
      <c r="E4239" s="8"/>
      <c r="F4239" s="8"/>
    </row>
    <row r="4240" spans="4:6">
      <c r="D4240" s="8"/>
      <c r="E4240" s="8"/>
      <c r="F4240" s="8"/>
    </row>
    <row r="4241" spans="4:6">
      <c r="D4241" s="8"/>
      <c r="E4241" s="8"/>
      <c r="F4241" s="8"/>
    </row>
    <row r="4242" spans="4:6">
      <c r="D4242" s="8"/>
      <c r="E4242" s="8"/>
      <c r="F4242" s="8"/>
    </row>
    <row r="4243" spans="4:6">
      <c r="D4243" s="8"/>
      <c r="E4243" s="8"/>
      <c r="F4243" s="8"/>
    </row>
    <row r="4244" spans="4:6">
      <c r="D4244" s="8"/>
      <c r="E4244" s="8"/>
      <c r="F4244" s="8"/>
    </row>
    <row r="4245" spans="4:6">
      <c r="D4245" s="8"/>
      <c r="E4245" s="8"/>
      <c r="F4245" s="8"/>
    </row>
    <row r="4246" spans="4:6">
      <c r="D4246" s="8"/>
      <c r="E4246" s="8"/>
      <c r="F4246" s="8"/>
    </row>
    <row r="4247" spans="4:6">
      <c r="D4247" s="8"/>
      <c r="E4247" s="8"/>
      <c r="F4247" s="8"/>
    </row>
    <row r="4248" spans="4:6">
      <c r="D4248" s="8"/>
      <c r="E4248" s="8"/>
      <c r="F4248" s="8"/>
    </row>
    <row r="4249" spans="4:6">
      <c r="D4249" s="8"/>
      <c r="E4249" s="8"/>
      <c r="F4249" s="8"/>
    </row>
    <row r="4250" spans="4:6">
      <c r="D4250" s="8"/>
      <c r="E4250" s="8"/>
      <c r="F4250" s="8"/>
    </row>
    <row r="4251" spans="4:6">
      <c r="D4251" s="8"/>
      <c r="E4251" s="8"/>
      <c r="F4251" s="8"/>
    </row>
    <row r="4252" spans="4:6">
      <c r="D4252" s="8"/>
      <c r="E4252" s="8"/>
      <c r="F4252" s="8"/>
    </row>
    <row r="4253" spans="4:6">
      <c r="D4253" s="8"/>
      <c r="E4253" s="8"/>
      <c r="F4253" s="8"/>
    </row>
    <row r="4254" spans="4:6">
      <c r="D4254" s="8"/>
      <c r="E4254" s="8"/>
      <c r="F4254" s="8"/>
    </row>
    <row r="4255" spans="4:6">
      <c r="D4255" s="8"/>
      <c r="E4255" s="8"/>
      <c r="F4255" s="8"/>
    </row>
    <row r="4256" spans="4:6">
      <c r="D4256" s="8"/>
      <c r="E4256" s="8"/>
      <c r="F4256" s="8"/>
    </row>
    <row r="4257" spans="4:6">
      <c r="D4257" s="8"/>
      <c r="E4257" s="8"/>
      <c r="F4257" s="8"/>
    </row>
    <row r="4258" spans="4:6">
      <c r="D4258" s="8"/>
      <c r="E4258" s="8"/>
      <c r="F4258" s="8"/>
    </row>
    <row r="4259" spans="4:6">
      <c r="D4259" s="8"/>
      <c r="E4259" s="8"/>
      <c r="F4259" s="8"/>
    </row>
    <row r="4260" spans="4:6">
      <c r="D4260" s="8"/>
      <c r="E4260" s="8"/>
      <c r="F4260" s="8"/>
    </row>
    <row r="4261" spans="4:6">
      <c r="D4261" s="8"/>
      <c r="E4261" s="8"/>
      <c r="F4261" s="8"/>
    </row>
    <row r="4262" spans="4:6">
      <c r="D4262" s="8"/>
      <c r="E4262" s="8"/>
      <c r="F4262" s="8"/>
    </row>
    <row r="4263" spans="4:6">
      <c r="D4263" s="8"/>
      <c r="E4263" s="8"/>
      <c r="F4263" s="8"/>
    </row>
    <row r="4264" spans="4:6">
      <c r="D4264" s="8"/>
      <c r="E4264" s="8"/>
      <c r="F4264" s="8"/>
    </row>
    <row r="4265" spans="4:6">
      <c r="D4265" s="8"/>
      <c r="E4265" s="8"/>
      <c r="F4265" s="8"/>
    </row>
    <row r="4266" spans="4:6">
      <c r="D4266" s="8"/>
      <c r="E4266" s="8"/>
      <c r="F4266" s="8"/>
    </row>
    <row r="4267" spans="4:6">
      <c r="D4267" s="8"/>
      <c r="E4267" s="8"/>
      <c r="F4267" s="8"/>
    </row>
    <row r="4268" spans="4:6">
      <c r="D4268" s="8"/>
      <c r="E4268" s="8"/>
      <c r="F4268" s="8"/>
    </row>
    <row r="4269" spans="4:6">
      <c r="D4269" s="8"/>
      <c r="E4269" s="8"/>
      <c r="F4269" s="8"/>
    </row>
    <row r="4270" spans="4:6">
      <c r="D4270" s="8"/>
      <c r="E4270" s="8"/>
      <c r="F4270" s="8"/>
    </row>
    <row r="4271" spans="4:6">
      <c r="D4271" s="8"/>
      <c r="E4271" s="8"/>
      <c r="F4271" s="8"/>
    </row>
    <row r="4272" spans="4:6">
      <c r="D4272" s="8"/>
      <c r="E4272" s="8"/>
      <c r="F4272" s="8"/>
    </row>
    <row r="4273" spans="4:6">
      <c r="D4273" s="8"/>
      <c r="E4273" s="8"/>
      <c r="F4273" s="8"/>
    </row>
    <row r="4274" spans="4:6">
      <c r="D4274" s="8"/>
      <c r="E4274" s="8"/>
      <c r="F4274" s="8"/>
    </row>
    <row r="4275" spans="4:6">
      <c r="D4275" s="8"/>
      <c r="E4275" s="8"/>
      <c r="F4275" s="8"/>
    </row>
    <row r="4276" spans="4:6">
      <c r="D4276" s="8"/>
      <c r="E4276" s="8"/>
      <c r="F4276" s="8"/>
    </row>
    <row r="4277" spans="4:6">
      <c r="D4277" s="8"/>
      <c r="E4277" s="8"/>
      <c r="F4277" s="8"/>
    </row>
    <row r="4278" spans="4:6">
      <c r="D4278" s="8"/>
      <c r="E4278" s="8"/>
      <c r="F4278" s="8"/>
    </row>
    <row r="4279" spans="4:6">
      <c r="D4279" s="8"/>
      <c r="E4279" s="8"/>
      <c r="F4279" s="8"/>
    </row>
    <row r="4280" spans="4:6">
      <c r="D4280" s="8"/>
      <c r="E4280" s="8"/>
      <c r="F4280" s="8"/>
    </row>
    <row r="4281" spans="4:6">
      <c r="D4281" s="8"/>
      <c r="E4281" s="8"/>
      <c r="F4281" s="8"/>
    </row>
    <row r="4282" spans="4:6">
      <c r="D4282" s="8"/>
      <c r="E4282" s="8"/>
      <c r="F4282" s="8"/>
    </row>
    <row r="4283" spans="4:6">
      <c r="D4283" s="8"/>
      <c r="E4283" s="8"/>
      <c r="F4283" s="8"/>
    </row>
    <row r="4284" spans="4:6">
      <c r="D4284" s="8"/>
      <c r="E4284" s="8"/>
      <c r="F4284" s="8"/>
    </row>
    <row r="4285" spans="4:6">
      <c r="D4285" s="8"/>
      <c r="E4285" s="8"/>
      <c r="F4285" s="8"/>
    </row>
    <row r="4286" spans="4:6">
      <c r="D4286" s="8"/>
      <c r="E4286" s="8"/>
      <c r="F4286" s="8"/>
    </row>
    <row r="4287" spans="4:6">
      <c r="D4287" s="8"/>
      <c r="E4287" s="8"/>
      <c r="F4287" s="8"/>
    </row>
    <row r="4288" spans="4:6">
      <c r="D4288" s="8"/>
      <c r="E4288" s="8"/>
      <c r="F4288" s="8"/>
    </row>
    <row r="4289" spans="4:6">
      <c r="D4289" s="8"/>
      <c r="E4289" s="8"/>
      <c r="F4289" s="8"/>
    </row>
    <row r="4290" spans="4:6">
      <c r="D4290" s="8"/>
      <c r="E4290" s="8"/>
      <c r="F4290" s="8"/>
    </row>
    <row r="4291" spans="4:6">
      <c r="D4291" s="8"/>
      <c r="E4291" s="8"/>
      <c r="F4291" s="8"/>
    </row>
    <row r="4292" spans="4:6">
      <c r="D4292" s="8"/>
      <c r="E4292" s="8"/>
      <c r="F4292" s="8"/>
    </row>
    <row r="4293" spans="4:6">
      <c r="D4293" s="8"/>
      <c r="E4293" s="8"/>
      <c r="F4293" s="8"/>
    </row>
    <row r="4294" spans="4:6">
      <c r="D4294" s="8"/>
      <c r="E4294" s="8"/>
      <c r="F4294" s="8"/>
    </row>
    <row r="4295" spans="4:6">
      <c r="D4295" s="8"/>
      <c r="E4295" s="8"/>
      <c r="F4295" s="8"/>
    </row>
    <row r="4296" spans="4:6">
      <c r="D4296" s="8"/>
      <c r="E4296" s="8"/>
      <c r="F4296" s="8"/>
    </row>
    <row r="4297" spans="4:6">
      <c r="D4297" s="8"/>
      <c r="E4297" s="8"/>
      <c r="F4297" s="8"/>
    </row>
    <row r="4298" spans="4:6">
      <c r="D4298" s="8"/>
      <c r="E4298" s="8"/>
      <c r="F4298" s="8"/>
    </row>
    <row r="4299" spans="4:6">
      <c r="D4299" s="8"/>
      <c r="E4299" s="8"/>
      <c r="F4299" s="8"/>
    </row>
    <row r="4300" spans="4:6">
      <c r="D4300" s="8"/>
      <c r="E4300" s="8"/>
      <c r="F4300" s="8"/>
    </row>
    <row r="4301" spans="4:6">
      <c r="D4301" s="8"/>
      <c r="E4301" s="8"/>
      <c r="F4301" s="8"/>
    </row>
    <row r="4302" spans="4:6">
      <c r="D4302" s="8"/>
      <c r="E4302" s="8"/>
      <c r="F4302" s="8"/>
    </row>
    <row r="4303" spans="4:6">
      <c r="D4303" s="8"/>
      <c r="E4303" s="8"/>
      <c r="F4303" s="8"/>
    </row>
    <row r="4304" spans="4:6">
      <c r="D4304" s="8"/>
      <c r="E4304" s="8"/>
      <c r="F4304" s="8"/>
    </row>
    <row r="4305" spans="4:6">
      <c r="D4305" s="8"/>
      <c r="E4305" s="8"/>
      <c r="F4305" s="8"/>
    </row>
    <row r="4306" spans="4:6">
      <c r="D4306" s="8"/>
      <c r="E4306" s="8"/>
      <c r="F4306" s="8"/>
    </row>
    <row r="4307" spans="4:6">
      <c r="D4307" s="8"/>
      <c r="E4307" s="8"/>
      <c r="F4307" s="8"/>
    </row>
    <row r="4308" spans="4:6">
      <c r="D4308" s="8"/>
      <c r="E4308" s="8"/>
      <c r="F4308" s="8"/>
    </row>
    <row r="4309" spans="4:6">
      <c r="D4309" s="8"/>
      <c r="E4309" s="8"/>
      <c r="F4309" s="8"/>
    </row>
    <row r="4310" spans="4:6">
      <c r="D4310" s="8"/>
      <c r="E4310" s="8"/>
      <c r="F4310" s="8"/>
    </row>
    <row r="4311" spans="4:6">
      <c r="D4311" s="8"/>
      <c r="E4311" s="8"/>
      <c r="F4311" s="8"/>
    </row>
    <row r="4312" spans="4:6">
      <c r="D4312" s="8"/>
      <c r="E4312" s="8"/>
      <c r="F4312" s="8"/>
    </row>
    <row r="4313" spans="4:6">
      <c r="D4313" s="8"/>
      <c r="E4313" s="8"/>
      <c r="F4313" s="8"/>
    </row>
    <row r="4314" spans="4:6">
      <c r="D4314" s="8"/>
      <c r="E4314" s="8"/>
      <c r="F4314" s="8"/>
    </row>
    <row r="4315" spans="4:6">
      <c r="D4315" s="8"/>
      <c r="E4315" s="8"/>
      <c r="F4315" s="8"/>
    </row>
    <row r="4316" spans="4:6">
      <c r="D4316" s="8"/>
      <c r="E4316" s="8"/>
      <c r="F4316" s="8"/>
    </row>
    <row r="4317" spans="4:6">
      <c r="D4317" s="8"/>
      <c r="E4317" s="8"/>
      <c r="F4317" s="8"/>
    </row>
    <row r="4318" spans="4:6">
      <c r="D4318" s="8"/>
      <c r="E4318" s="8"/>
      <c r="F4318" s="8"/>
    </row>
    <row r="4319" spans="4:6">
      <c r="D4319" s="8"/>
      <c r="E4319" s="8"/>
      <c r="F4319" s="8"/>
    </row>
    <row r="4320" spans="4:6">
      <c r="D4320" s="8"/>
      <c r="E4320" s="8"/>
      <c r="F4320" s="8"/>
    </row>
    <row r="4321" spans="4:6">
      <c r="D4321" s="8"/>
      <c r="E4321" s="8"/>
      <c r="F4321" s="8"/>
    </row>
    <row r="4322" spans="4:6">
      <c r="D4322" s="8"/>
      <c r="E4322" s="8"/>
      <c r="F4322" s="8"/>
    </row>
    <row r="4323" spans="4:6">
      <c r="D4323" s="8"/>
      <c r="E4323" s="8"/>
      <c r="F4323" s="8"/>
    </row>
    <row r="4324" spans="4:6">
      <c r="D4324" s="8"/>
      <c r="E4324" s="8"/>
      <c r="F4324" s="8"/>
    </row>
    <row r="4325" spans="4:6">
      <c r="D4325" s="8"/>
      <c r="E4325" s="8"/>
      <c r="F4325" s="8"/>
    </row>
    <row r="4326" spans="4:6">
      <c r="D4326" s="8"/>
      <c r="E4326" s="8"/>
      <c r="F4326" s="8"/>
    </row>
    <row r="4327" spans="4:6">
      <c r="D4327" s="8"/>
      <c r="E4327" s="8"/>
      <c r="F4327" s="8"/>
    </row>
    <row r="4328" spans="4:6">
      <c r="D4328" s="8"/>
      <c r="E4328" s="8"/>
      <c r="F4328" s="8"/>
    </row>
    <row r="4329" spans="4:6">
      <c r="D4329" s="8"/>
      <c r="E4329" s="8"/>
      <c r="F4329" s="8"/>
    </row>
    <row r="4330" spans="4:6">
      <c r="D4330" s="8"/>
      <c r="E4330" s="8"/>
      <c r="F4330" s="8"/>
    </row>
    <row r="4331" spans="4:6">
      <c r="D4331" s="8"/>
      <c r="E4331" s="8"/>
      <c r="F4331" s="8"/>
    </row>
    <row r="4332" spans="4:6">
      <c r="D4332" s="8"/>
      <c r="E4332" s="8"/>
      <c r="F4332" s="8"/>
    </row>
    <row r="4333" spans="4:6">
      <c r="D4333" s="8"/>
      <c r="E4333" s="8"/>
      <c r="F4333" s="8"/>
    </row>
    <row r="4334" spans="4:6">
      <c r="D4334" s="8"/>
      <c r="E4334" s="8"/>
      <c r="F4334" s="8"/>
    </row>
    <row r="4335" spans="4:6">
      <c r="D4335" s="8"/>
      <c r="E4335" s="8"/>
      <c r="F4335" s="8"/>
    </row>
    <row r="4336" spans="4:6">
      <c r="D4336" s="8"/>
      <c r="E4336" s="8"/>
      <c r="F4336" s="8"/>
    </row>
    <row r="4337" spans="4:6">
      <c r="D4337" s="8"/>
      <c r="E4337" s="8"/>
      <c r="F4337" s="8"/>
    </row>
    <row r="4338" spans="4:6">
      <c r="D4338" s="8"/>
      <c r="E4338" s="8"/>
      <c r="F4338" s="8"/>
    </row>
    <row r="4339" spans="4:6">
      <c r="D4339" s="8"/>
      <c r="E4339" s="8"/>
      <c r="F4339" s="8"/>
    </row>
    <row r="4340" spans="4:6">
      <c r="D4340" s="8"/>
      <c r="E4340" s="8"/>
      <c r="F4340" s="8"/>
    </row>
    <row r="4341" spans="4:6">
      <c r="D4341" s="8"/>
      <c r="E4341" s="8"/>
      <c r="F4341" s="8"/>
    </row>
    <row r="4342" spans="4:6">
      <c r="D4342" s="8"/>
      <c r="E4342" s="8"/>
      <c r="F4342" s="8"/>
    </row>
    <row r="4343" spans="4:6">
      <c r="D4343" s="8"/>
      <c r="E4343" s="8"/>
      <c r="F4343" s="8"/>
    </row>
    <row r="4344" spans="4:6">
      <c r="D4344" s="8"/>
      <c r="E4344" s="8"/>
      <c r="F4344" s="8"/>
    </row>
    <row r="4345" spans="4:6">
      <c r="D4345" s="8"/>
      <c r="E4345" s="8"/>
      <c r="F4345" s="8"/>
    </row>
    <row r="4346" spans="4:6">
      <c r="D4346" s="8"/>
      <c r="E4346" s="8"/>
      <c r="F4346" s="8"/>
    </row>
    <row r="4347" spans="4:6">
      <c r="D4347" s="8"/>
      <c r="E4347" s="8"/>
      <c r="F4347" s="8"/>
    </row>
    <row r="4348" spans="4:6">
      <c r="D4348" s="8"/>
      <c r="E4348" s="8"/>
      <c r="F4348" s="8"/>
    </row>
    <row r="4349" spans="4:6">
      <c r="D4349" s="8"/>
      <c r="E4349" s="8"/>
      <c r="F4349" s="8"/>
    </row>
    <row r="4350" spans="4:6">
      <c r="D4350" s="8"/>
      <c r="E4350" s="8"/>
      <c r="F4350" s="8"/>
    </row>
    <row r="4351" spans="4:6">
      <c r="D4351" s="8"/>
      <c r="E4351" s="8"/>
      <c r="F4351" s="8"/>
    </row>
    <row r="4352" spans="4:6">
      <c r="D4352" s="8"/>
      <c r="E4352" s="8"/>
      <c r="F4352" s="8"/>
    </row>
    <row r="4353" spans="4:6">
      <c r="D4353" s="8"/>
      <c r="E4353" s="8"/>
      <c r="F4353" s="8"/>
    </row>
    <row r="4354" spans="4:6">
      <c r="D4354" s="8"/>
      <c r="E4354" s="8"/>
      <c r="F4354" s="8"/>
    </row>
    <row r="4355" spans="4:6">
      <c r="D4355" s="8"/>
      <c r="E4355" s="8"/>
      <c r="F4355" s="8"/>
    </row>
    <row r="4356" spans="4:6">
      <c r="D4356" s="8"/>
      <c r="E4356" s="8"/>
      <c r="F4356" s="8"/>
    </row>
    <row r="4357" spans="4:6">
      <c r="D4357" s="8"/>
      <c r="E4357" s="8"/>
      <c r="F4357" s="8"/>
    </row>
    <row r="4358" spans="4:6">
      <c r="D4358" s="8"/>
      <c r="E4358" s="8"/>
      <c r="F4358" s="8"/>
    </row>
    <row r="4359" spans="4:6">
      <c r="D4359" s="8"/>
      <c r="E4359" s="8"/>
      <c r="F4359" s="8"/>
    </row>
    <row r="4360" spans="4:6">
      <c r="D4360" s="8"/>
      <c r="E4360" s="8"/>
      <c r="F4360" s="8"/>
    </row>
    <row r="4361" spans="4:6">
      <c r="D4361" s="8"/>
      <c r="E4361" s="8"/>
      <c r="F4361" s="8"/>
    </row>
    <row r="4362" spans="4:6">
      <c r="D4362" s="8"/>
      <c r="E4362" s="8"/>
      <c r="F4362" s="8"/>
    </row>
    <row r="4363" spans="4:6">
      <c r="D4363" s="8"/>
      <c r="E4363" s="8"/>
      <c r="F4363" s="8"/>
    </row>
    <row r="4364" spans="4:6">
      <c r="D4364" s="8"/>
      <c r="E4364" s="8"/>
      <c r="F4364" s="8"/>
    </row>
    <row r="4365" spans="4:6">
      <c r="D4365" s="8"/>
      <c r="E4365" s="8"/>
      <c r="F4365" s="8"/>
    </row>
    <row r="4366" spans="4:6">
      <c r="D4366" s="8"/>
      <c r="E4366" s="8"/>
      <c r="F4366" s="8"/>
    </row>
    <row r="4367" spans="4:6">
      <c r="D4367" s="8"/>
      <c r="E4367" s="8"/>
      <c r="F4367" s="8"/>
    </row>
    <row r="4368" spans="4:6">
      <c r="D4368" s="8"/>
      <c r="E4368" s="8"/>
      <c r="F4368" s="8"/>
    </row>
    <row r="4369" spans="4:6">
      <c r="D4369" s="8"/>
      <c r="E4369" s="8"/>
      <c r="F4369" s="8"/>
    </row>
    <row r="4370" spans="4:6">
      <c r="D4370" s="8"/>
      <c r="E4370" s="8"/>
      <c r="F4370" s="8"/>
    </row>
    <row r="4371" spans="4:6">
      <c r="D4371" s="8"/>
      <c r="E4371" s="8"/>
      <c r="F4371" s="8"/>
    </row>
    <row r="4372" spans="4:6">
      <c r="D4372" s="8"/>
      <c r="E4372" s="8"/>
      <c r="F4372" s="8"/>
    </row>
    <row r="4373" spans="4:6">
      <c r="D4373" s="8"/>
      <c r="E4373" s="8"/>
      <c r="F4373" s="8"/>
    </row>
    <row r="4374" spans="4:6">
      <c r="D4374" s="8"/>
      <c r="E4374" s="8"/>
      <c r="F4374" s="8"/>
    </row>
    <row r="4375" spans="4:6">
      <c r="D4375" s="8"/>
      <c r="E4375" s="8"/>
      <c r="F4375" s="8"/>
    </row>
    <row r="4376" spans="4:6">
      <c r="D4376" s="8"/>
      <c r="E4376" s="8"/>
      <c r="F4376" s="8"/>
    </row>
    <row r="4377" spans="4:6">
      <c r="D4377" s="8"/>
      <c r="E4377" s="8"/>
      <c r="F4377" s="8"/>
    </row>
    <row r="4378" spans="4:6">
      <c r="D4378" s="8"/>
      <c r="E4378" s="8"/>
      <c r="F4378" s="8"/>
    </row>
    <row r="4379" spans="4:6">
      <c r="D4379" s="8"/>
      <c r="E4379" s="8"/>
      <c r="F4379" s="8"/>
    </row>
    <row r="4380" spans="4:6">
      <c r="D4380" s="8"/>
      <c r="E4380" s="8"/>
      <c r="F4380" s="8"/>
    </row>
    <row r="4381" spans="4:6">
      <c r="D4381" s="8"/>
      <c r="E4381" s="8"/>
      <c r="F4381" s="8"/>
    </row>
    <row r="4382" spans="4:6">
      <c r="D4382" s="8"/>
      <c r="E4382" s="8"/>
      <c r="F4382" s="8"/>
    </row>
    <row r="4383" spans="4:6">
      <c r="D4383" s="8"/>
      <c r="E4383" s="8"/>
      <c r="F4383" s="8"/>
    </row>
    <row r="4384" spans="4:6">
      <c r="D4384" s="8"/>
      <c r="E4384" s="8"/>
      <c r="F4384" s="8"/>
    </row>
    <row r="4385" spans="4:6">
      <c r="D4385" s="8"/>
      <c r="E4385" s="8"/>
      <c r="F4385" s="8"/>
    </row>
    <row r="4386" spans="4:6">
      <c r="D4386" s="8"/>
      <c r="E4386" s="8"/>
      <c r="F4386" s="8"/>
    </row>
    <row r="4387" spans="4:6">
      <c r="D4387" s="8"/>
      <c r="E4387" s="8"/>
      <c r="F4387" s="8"/>
    </row>
    <row r="4388" spans="4:6">
      <c r="D4388" s="8"/>
      <c r="E4388" s="8"/>
      <c r="F4388" s="8"/>
    </row>
    <row r="4389" spans="4:6">
      <c r="D4389" s="8"/>
      <c r="E4389" s="8"/>
      <c r="F4389" s="8"/>
    </row>
    <row r="4390" spans="4:6">
      <c r="D4390" s="8"/>
      <c r="E4390" s="8"/>
      <c r="F4390" s="8"/>
    </row>
    <row r="4391" spans="4:6">
      <c r="D4391" s="8"/>
      <c r="E4391" s="8"/>
      <c r="F4391" s="8"/>
    </row>
    <row r="4392" spans="4:6">
      <c r="D4392" s="8"/>
      <c r="E4392" s="8"/>
      <c r="F4392" s="8"/>
    </row>
    <row r="4393" spans="4:6">
      <c r="D4393" s="8"/>
      <c r="E4393" s="8"/>
      <c r="F4393" s="8"/>
    </row>
    <row r="4394" spans="4:6">
      <c r="D4394" s="8"/>
      <c r="E4394" s="8"/>
      <c r="F4394" s="8"/>
    </row>
    <row r="4395" spans="4:6">
      <c r="D4395" s="8"/>
      <c r="E4395" s="8"/>
      <c r="F4395" s="8"/>
    </row>
    <row r="4396" spans="4:6">
      <c r="D4396" s="8"/>
      <c r="E4396" s="8"/>
      <c r="F4396" s="8"/>
    </row>
    <row r="4397" spans="4:6">
      <c r="D4397" s="8"/>
      <c r="E4397" s="8"/>
      <c r="F4397" s="8"/>
    </row>
    <row r="4398" spans="4:6">
      <c r="D4398" s="8"/>
      <c r="E4398" s="8"/>
      <c r="F4398" s="8"/>
    </row>
    <row r="4399" spans="4:6">
      <c r="D4399" s="8"/>
      <c r="E4399" s="8"/>
      <c r="F4399" s="8"/>
    </row>
    <row r="4400" spans="4:6">
      <c r="D4400" s="8"/>
      <c r="E4400" s="8"/>
      <c r="F4400" s="8"/>
    </row>
    <row r="4401" spans="4:6">
      <c r="D4401" s="8"/>
      <c r="E4401" s="8"/>
      <c r="F4401" s="8"/>
    </row>
    <row r="4402" spans="4:6">
      <c r="D4402" s="8"/>
      <c r="E4402" s="8"/>
      <c r="F4402" s="8"/>
    </row>
    <row r="4403" spans="4:6">
      <c r="D4403" s="8"/>
      <c r="E4403" s="8"/>
      <c r="F4403" s="8"/>
    </row>
    <row r="4404" spans="4:6">
      <c r="D4404" s="8"/>
      <c r="E4404" s="8"/>
      <c r="F4404" s="8"/>
    </row>
    <row r="4405" spans="4:6">
      <c r="D4405" s="8"/>
      <c r="E4405" s="8"/>
      <c r="F4405" s="8"/>
    </row>
    <row r="4406" spans="4:6">
      <c r="D4406" s="8"/>
      <c r="E4406" s="8"/>
      <c r="F4406" s="8"/>
    </row>
    <row r="4407" spans="4:6">
      <c r="D4407" s="8"/>
      <c r="E4407" s="8"/>
      <c r="F4407" s="8"/>
    </row>
    <row r="4408" spans="4:6">
      <c r="D4408" s="8"/>
      <c r="E4408" s="8"/>
      <c r="F4408" s="8"/>
    </row>
    <row r="4409" spans="4:6">
      <c r="D4409" s="8"/>
      <c r="E4409" s="8"/>
      <c r="F4409" s="8"/>
    </row>
    <row r="4410" spans="4:6">
      <c r="D4410" s="8"/>
      <c r="E4410" s="8"/>
      <c r="F4410" s="8"/>
    </row>
    <row r="4411" spans="4:6">
      <c r="D4411" s="8"/>
      <c r="E4411" s="8"/>
      <c r="F4411" s="8"/>
    </row>
    <row r="4412" spans="4:6">
      <c r="D4412" s="8"/>
      <c r="E4412" s="8"/>
      <c r="F4412" s="8"/>
    </row>
    <row r="4413" spans="4:6">
      <c r="D4413" s="8"/>
      <c r="E4413" s="8"/>
      <c r="F4413" s="8"/>
    </row>
    <row r="4414" spans="4:6">
      <c r="D4414" s="8"/>
      <c r="E4414" s="8"/>
      <c r="F4414" s="8"/>
    </row>
    <row r="4415" spans="4:6">
      <c r="D4415" s="8"/>
      <c r="E4415" s="8"/>
      <c r="F4415" s="8"/>
    </row>
    <row r="4416" spans="4:6">
      <c r="D4416" s="8"/>
      <c r="E4416" s="8"/>
      <c r="F4416" s="8"/>
    </row>
    <row r="4417" spans="4:6">
      <c r="D4417" s="8"/>
      <c r="E4417" s="8"/>
      <c r="F4417" s="8"/>
    </row>
    <row r="4418" spans="4:6">
      <c r="D4418" s="8"/>
      <c r="E4418" s="8"/>
      <c r="F4418" s="8"/>
    </row>
    <row r="4419" spans="4:6">
      <c r="D4419" s="8"/>
      <c r="E4419" s="8"/>
      <c r="F4419" s="8"/>
    </row>
    <row r="4420" spans="4:6">
      <c r="D4420" s="8"/>
      <c r="E4420" s="8"/>
      <c r="F4420" s="8"/>
    </row>
    <row r="4421" spans="4:6">
      <c r="D4421" s="8"/>
      <c r="E4421" s="8"/>
      <c r="F4421" s="8"/>
    </row>
    <row r="4422" spans="4:6">
      <c r="D4422" s="8"/>
      <c r="E4422" s="8"/>
      <c r="F4422" s="8"/>
    </row>
    <row r="4423" spans="4:6">
      <c r="D4423" s="8"/>
      <c r="E4423" s="8"/>
      <c r="F4423" s="8"/>
    </row>
    <row r="4424" spans="4:6">
      <c r="D4424" s="8"/>
      <c r="E4424" s="8"/>
      <c r="F4424" s="8"/>
    </row>
    <row r="4425" spans="4:6">
      <c r="D4425" s="8"/>
      <c r="E4425" s="8"/>
      <c r="F4425" s="8"/>
    </row>
    <row r="4426" spans="4:6">
      <c r="D4426" s="8"/>
      <c r="E4426" s="8"/>
      <c r="F4426" s="8"/>
    </row>
    <row r="4427" spans="4:6">
      <c r="D4427" s="8"/>
      <c r="E4427" s="8"/>
      <c r="F4427" s="8"/>
    </row>
    <row r="4428" spans="4:6">
      <c r="D4428" s="8"/>
      <c r="E4428" s="8"/>
      <c r="F4428" s="8"/>
    </row>
    <row r="4429" spans="4:6">
      <c r="D4429" s="8"/>
      <c r="E4429" s="8"/>
      <c r="F4429" s="8"/>
    </row>
    <row r="4430" spans="4:6">
      <c r="D4430" s="8"/>
      <c r="E4430" s="8"/>
      <c r="F4430" s="8"/>
    </row>
    <row r="4431" spans="4:6">
      <c r="D4431" s="8"/>
      <c r="E4431" s="8"/>
      <c r="F4431" s="8"/>
    </row>
    <row r="4432" spans="4:6">
      <c r="D4432" s="8"/>
      <c r="E4432" s="8"/>
      <c r="F4432" s="8"/>
    </row>
    <row r="4433" spans="4:6">
      <c r="D4433" s="8"/>
      <c r="E4433" s="8"/>
      <c r="F4433" s="8"/>
    </row>
    <row r="4434" spans="4:6">
      <c r="D4434" s="8"/>
      <c r="E4434" s="8"/>
      <c r="F4434" s="8"/>
    </row>
    <row r="4435" spans="4:6">
      <c r="D4435" s="8"/>
      <c r="E4435" s="8"/>
      <c r="F4435" s="8"/>
    </row>
    <row r="4436" spans="4:6">
      <c r="D4436" s="8"/>
      <c r="E4436" s="8"/>
      <c r="F4436" s="8"/>
    </row>
    <row r="4437" spans="4:6">
      <c r="D4437" s="8"/>
      <c r="E4437" s="8"/>
      <c r="F4437" s="8"/>
    </row>
    <row r="4438" spans="4:6">
      <c r="D4438" s="8"/>
      <c r="E4438" s="8"/>
      <c r="F4438" s="8"/>
    </row>
    <row r="4439" spans="4:6">
      <c r="D4439" s="8"/>
      <c r="E4439" s="8"/>
      <c r="F4439" s="8"/>
    </row>
    <row r="4440" spans="4:6">
      <c r="D4440" s="8"/>
      <c r="E4440" s="8"/>
      <c r="F4440" s="8"/>
    </row>
    <row r="4441" spans="4:6">
      <c r="D4441" s="8"/>
      <c r="E4441" s="8"/>
      <c r="F4441" s="8"/>
    </row>
    <row r="4442" spans="4:6">
      <c r="D4442" s="8"/>
      <c r="E4442" s="8"/>
      <c r="F4442" s="8"/>
    </row>
    <row r="4443" spans="4:6">
      <c r="D4443" s="8"/>
      <c r="E4443" s="8"/>
      <c r="F4443" s="8"/>
    </row>
    <row r="4444" spans="4:6">
      <c r="D4444" s="8"/>
      <c r="E4444" s="8"/>
      <c r="F4444" s="8"/>
    </row>
    <row r="4445" spans="4:6">
      <c r="D4445" s="8"/>
      <c r="E4445" s="8"/>
      <c r="F4445" s="8"/>
    </row>
    <row r="4446" spans="4:6">
      <c r="D4446" s="8"/>
      <c r="E4446" s="8"/>
      <c r="F4446" s="8"/>
    </row>
    <row r="4447" spans="4:6">
      <c r="D4447" s="8"/>
      <c r="E4447" s="8"/>
      <c r="F4447" s="8"/>
    </row>
    <row r="4448" spans="4:6">
      <c r="D4448" s="8"/>
      <c r="E4448" s="8"/>
      <c r="F4448" s="8"/>
    </row>
    <row r="4449" spans="4:6">
      <c r="D4449" s="8"/>
      <c r="E4449" s="8"/>
      <c r="F4449" s="8"/>
    </row>
    <row r="4450" spans="4:6">
      <c r="D4450" s="8"/>
      <c r="E4450" s="8"/>
      <c r="F4450" s="8"/>
    </row>
    <row r="4451" spans="4:6">
      <c r="D4451" s="8"/>
      <c r="E4451" s="8"/>
      <c r="F4451" s="8"/>
    </row>
    <row r="4452" spans="4:6">
      <c r="D4452" s="8"/>
      <c r="E4452" s="8"/>
      <c r="F4452" s="8"/>
    </row>
    <row r="4453" spans="4:6">
      <c r="D4453" s="8"/>
      <c r="E4453" s="8"/>
      <c r="F4453" s="8"/>
    </row>
    <row r="4454" spans="4:6">
      <c r="D4454" s="8"/>
      <c r="E4454" s="8"/>
      <c r="F4454" s="8"/>
    </row>
    <row r="4455" spans="4:6">
      <c r="D4455" s="8"/>
      <c r="E4455" s="8"/>
      <c r="F4455" s="8"/>
    </row>
    <row r="4456" spans="4:6">
      <c r="D4456" s="8"/>
      <c r="E4456" s="8"/>
      <c r="F4456" s="8"/>
    </row>
    <row r="4457" spans="4:6">
      <c r="D4457" s="8"/>
      <c r="E4457" s="8"/>
      <c r="F4457" s="8"/>
    </row>
    <row r="4458" spans="4:6">
      <c r="D4458" s="8"/>
      <c r="E4458" s="8"/>
      <c r="F4458" s="8"/>
    </row>
    <row r="4459" spans="4:6">
      <c r="D4459" s="8"/>
      <c r="E4459" s="8"/>
      <c r="F4459" s="8"/>
    </row>
    <row r="4460" spans="4:6">
      <c r="D4460" s="8"/>
      <c r="E4460" s="8"/>
      <c r="F4460" s="8"/>
    </row>
    <row r="4461" spans="4:6">
      <c r="D4461" s="8"/>
      <c r="E4461" s="8"/>
      <c r="F4461" s="8"/>
    </row>
    <row r="4462" spans="4:6">
      <c r="D4462" s="8"/>
      <c r="E4462" s="8"/>
      <c r="F4462" s="8"/>
    </row>
    <row r="4463" spans="4:6">
      <c r="D4463" s="8"/>
      <c r="E4463" s="8"/>
      <c r="F4463" s="8"/>
    </row>
    <row r="4464" spans="4:6">
      <c r="D4464" s="8"/>
      <c r="E4464" s="8"/>
      <c r="F4464" s="8"/>
    </row>
    <row r="4465" spans="4:6">
      <c r="D4465" s="8"/>
      <c r="E4465" s="8"/>
      <c r="F4465" s="8"/>
    </row>
    <row r="4466" spans="4:6">
      <c r="D4466" s="8"/>
      <c r="E4466" s="8"/>
      <c r="F4466" s="8"/>
    </row>
    <row r="4467" spans="4:6">
      <c r="D4467" s="8"/>
      <c r="E4467" s="8"/>
      <c r="F4467" s="8"/>
    </row>
    <row r="4468" spans="4:6">
      <c r="D4468" s="8"/>
      <c r="E4468" s="8"/>
      <c r="F4468" s="8"/>
    </row>
    <row r="4469" spans="4:6">
      <c r="D4469" s="8"/>
      <c r="E4469" s="8"/>
      <c r="F4469" s="8"/>
    </row>
    <row r="4470" spans="4:6">
      <c r="D4470" s="8"/>
      <c r="E4470" s="8"/>
      <c r="F4470" s="8"/>
    </row>
    <row r="4471" spans="4:6">
      <c r="D4471" s="8"/>
      <c r="E4471" s="8"/>
      <c r="F4471" s="8"/>
    </row>
    <row r="4472" spans="4:6">
      <c r="D4472" s="8"/>
      <c r="E4472" s="8"/>
      <c r="F4472" s="8"/>
    </row>
    <row r="4473" spans="4:6">
      <c r="D4473" s="8"/>
      <c r="E4473" s="8"/>
      <c r="F4473" s="8"/>
    </row>
    <row r="4474" spans="4:6">
      <c r="D4474" s="8"/>
      <c r="E4474" s="8"/>
      <c r="F4474" s="8"/>
    </row>
    <row r="4475" spans="4:6">
      <c r="D4475" s="8"/>
      <c r="E4475" s="8"/>
      <c r="F4475" s="8"/>
    </row>
    <row r="4476" spans="4:6">
      <c r="D4476" s="8"/>
      <c r="E4476" s="8"/>
      <c r="F4476" s="8"/>
    </row>
    <row r="4477" spans="4:6">
      <c r="D4477" s="8"/>
      <c r="E4477" s="8"/>
      <c r="F4477" s="8"/>
    </row>
    <row r="4478" spans="4:6">
      <c r="D4478" s="8"/>
      <c r="E4478" s="8"/>
      <c r="F4478" s="8"/>
    </row>
    <row r="4479" spans="4:6">
      <c r="D4479" s="8"/>
      <c r="E4479" s="8"/>
      <c r="F4479" s="8"/>
    </row>
    <row r="4480" spans="4:6">
      <c r="D4480" s="8"/>
      <c r="E4480" s="8"/>
      <c r="F4480" s="8"/>
    </row>
    <row r="4481" spans="4:6">
      <c r="D4481" s="8"/>
      <c r="E4481" s="8"/>
      <c r="F4481" s="8"/>
    </row>
    <row r="4482" spans="4:6">
      <c r="D4482" s="8"/>
      <c r="E4482" s="8"/>
      <c r="F4482" s="8"/>
    </row>
    <row r="4483" spans="4:6">
      <c r="D4483" s="8"/>
      <c r="E4483" s="8"/>
      <c r="F4483" s="8"/>
    </row>
    <row r="4484" spans="4:6">
      <c r="D4484" s="8"/>
      <c r="E4484" s="8"/>
      <c r="F4484" s="8"/>
    </row>
    <row r="4485" spans="4:6">
      <c r="D4485" s="8"/>
      <c r="E4485" s="8"/>
      <c r="F4485" s="8"/>
    </row>
    <row r="4486" spans="4:6">
      <c r="D4486" s="8"/>
      <c r="E4486" s="8"/>
      <c r="F4486" s="8"/>
    </row>
    <row r="4487" spans="4:6">
      <c r="D4487" s="8"/>
      <c r="E4487" s="8"/>
      <c r="F4487" s="8"/>
    </row>
    <row r="4488" spans="4:6">
      <c r="D4488" s="8"/>
      <c r="E4488" s="8"/>
      <c r="F4488" s="8"/>
    </row>
    <row r="4489" spans="4:6">
      <c r="D4489" s="8"/>
      <c r="E4489" s="8"/>
      <c r="F4489" s="8"/>
    </row>
    <row r="4490" spans="4:6">
      <c r="D4490" s="8"/>
      <c r="E4490" s="8"/>
      <c r="F4490" s="8"/>
    </row>
    <row r="4491" spans="4:6">
      <c r="D4491" s="8"/>
      <c r="E4491" s="8"/>
      <c r="F4491" s="8"/>
    </row>
    <row r="4492" spans="4:6">
      <c r="D4492" s="8"/>
      <c r="E4492" s="8"/>
      <c r="F4492" s="8"/>
    </row>
    <row r="4493" spans="4:6">
      <c r="D4493" s="8"/>
      <c r="E4493" s="8"/>
      <c r="F4493" s="8"/>
    </row>
    <row r="4494" spans="4:6">
      <c r="D4494" s="8"/>
      <c r="E4494" s="8"/>
      <c r="F4494" s="8"/>
    </row>
    <row r="4495" spans="4:6">
      <c r="D4495" s="8"/>
      <c r="E4495" s="8"/>
      <c r="F4495" s="8"/>
    </row>
    <row r="4496" spans="4:6">
      <c r="D4496" s="8"/>
      <c r="E4496" s="8"/>
      <c r="F4496" s="8"/>
    </row>
    <row r="4497" spans="4:6">
      <c r="D4497" s="8"/>
      <c r="E4497" s="8"/>
      <c r="F4497" s="8"/>
    </row>
    <row r="4498" spans="4:6">
      <c r="D4498" s="8"/>
      <c r="E4498" s="8"/>
      <c r="F4498" s="8"/>
    </row>
    <row r="4499" spans="4:6">
      <c r="D4499" s="8"/>
      <c r="E4499" s="8"/>
      <c r="F4499" s="8"/>
    </row>
    <row r="4500" spans="4:6">
      <c r="D4500" s="8"/>
      <c r="E4500" s="8"/>
      <c r="F4500" s="8"/>
    </row>
    <row r="4501" spans="4:6">
      <c r="D4501" s="8"/>
      <c r="E4501" s="8"/>
      <c r="F4501" s="8"/>
    </row>
    <row r="4502" spans="4:6">
      <c r="D4502" s="8"/>
      <c r="E4502" s="8"/>
      <c r="F4502" s="8"/>
    </row>
    <row r="4503" spans="4:6">
      <c r="D4503" s="8"/>
      <c r="E4503" s="8"/>
      <c r="F4503" s="8"/>
    </row>
    <row r="4504" spans="4:6">
      <c r="D4504" s="8"/>
      <c r="E4504" s="8"/>
      <c r="F4504" s="8"/>
    </row>
    <row r="4505" spans="4:6">
      <c r="D4505" s="8"/>
      <c r="E4505" s="8"/>
      <c r="F4505" s="8"/>
    </row>
    <row r="4506" spans="4:6">
      <c r="D4506" s="8"/>
      <c r="E4506" s="8"/>
      <c r="F4506" s="8"/>
    </row>
    <row r="4507" spans="4:6">
      <c r="D4507" s="8"/>
      <c r="E4507" s="8"/>
      <c r="F4507" s="8"/>
    </row>
    <row r="4508" spans="4:6">
      <c r="D4508" s="8"/>
      <c r="E4508" s="8"/>
      <c r="F4508" s="8"/>
    </row>
    <row r="4509" spans="4:6">
      <c r="D4509" s="8"/>
      <c r="E4509" s="8"/>
      <c r="F4509" s="8"/>
    </row>
    <row r="4510" spans="4:6">
      <c r="D4510" s="8"/>
      <c r="E4510" s="8"/>
      <c r="F4510" s="8"/>
    </row>
    <row r="4511" spans="4:6">
      <c r="D4511" s="8"/>
      <c r="E4511" s="8"/>
      <c r="F4511" s="8"/>
    </row>
    <row r="4512" spans="4:6">
      <c r="D4512" s="8"/>
      <c r="E4512" s="8"/>
      <c r="F4512" s="8"/>
    </row>
    <row r="4513" spans="4:6">
      <c r="D4513" s="8"/>
      <c r="E4513" s="8"/>
      <c r="F4513" s="8"/>
    </row>
    <row r="4514" spans="4:6">
      <c r="D4514" s="8"/>
      <c r="E4514" s="8"/>
      <c r="F4514" s="8"/>
    </row>
    <row r="4515" spans="4:6">
      <c r="D4515" s="8"/>
      <c r="E4515" s="8"/>
      <c r="F4515" s="8"/>
    </row>
    <row r="4516" spans="4:6">
      <c r="D4516" s="8"/>
      <c r="E4516" s="8"/>
      <c r="F4516" s="8"/>
    </row>
    <row r="4517" spans="4:6">
      <c r="D4517" s="8"/>
      <c r="E4517" s="8"/>
      <c r="F4517" s="8"/>
    </row>
    <row r="4518" spans="4:6">
      <c r="D4518" s="8"/>
      <c r="E4518" s="8"/>
      <c r="F4518" s="8"/>
    </row>
    <row r="4519" spans="4:6">
      <c r="D4519" s="8"/>
      <c r="E4519" s="8"/>
      <c r="F4519" s="8"/>
    </row>
    <row r="4520" spans="4:6">
      <c r="D4520" s="8"/>
      <c r="E4520" s="8"/>
      <c r="F4520" s="8"/>
    </row>
    <row r="4521" spans="4:6">
      <c r="D4521" s="8"/>
      <c r="E4521" s="8"/>
      <c r="F4521" s="8"/>
    </row>
    <row r="4522" spans="4:6">
      <c r="D4522" s="8"/>
      <c r="E4522" s="8"/>
      <c r="F4522" s="8"/>
    </row>
    <row r="4523" spans="4:6">
      <c r="D4523" s="8"/>
      <c r="E4523" s="8"/>
      <c r="F4523" s="8"/>
    </row>
    <row r="4524" spans="4:6">
      <c r="D4524" s="8"/>
      <c r="E4524" s="8"/>
      <c r="F4524" s="8"/>
    </row>
    <row r="4525" spans="4:6">
      <c r="D4525" s="8"/>
      <c r="E4525" s="8"/>
      <c r="F4525" s="8"/>
    </row>
    <row r="4526" spans="4:6">
      <c r="D4526" s="8"/>
      <c r="E4526" s="8"/>
      <c r="F4526" s="8"/>
    </row>
    <row r="4527" spans="4:6">
      <c r="D4527" s="8"/>
      <c r="E4527" s="8"/>
      <c r="F4527" s="8"/>
    </row>
    <row r="4528" spans="4:6">
      <c r="D4528" s="8"/>
      <c r="E4528" s="8"/>
      <c r="F4528" s="8"/>
    </row>
    <row r="4529" spans="4:6">
      <c r="D4529" s="8"/>
      <c r="E4529" s="8"/>
      <c r="F4529" s="8"/>
    </row>
    <row r="4530" spans="4:6">
      <c r="D4530" s="8"/>
      <c r="E4530" s="8"/>
      <c r="F4530" s="8"/>
    </row>
    <row r="4531" spans="4:6">
      <c r="D4531" s="8"/>
      <c r="E4531" s="8"/>
      <c r="F4531" s="8"/>
    </row>
    <row r="4532" spans="4:6">
      <c r="D4532" s="8"/>
      <c r="E4532" s="8"/>
      <c r="F4532" s="8"/>
    </row>
    <row r="4533" spans="4:6">
      <c r="D4533" s="8"/>
      <c r="E4533" s="8"/>
      <c r="F4533" s="8"/>
    </row>
    <row r="4534" spans="4:6">
      <c r="D4534" s="8"/>
      <c r="E4534" s="8"/>
      <c r="F4534" s="8"/>
    </row>
    <row r="4535" spans="4:6">
      <c r="D4535" s="8"/>
      <c r="E4535" s="8"/>
      <c r="F4535" s="8"/>
    </row>
    <row r="4536" spans="4:6">
      <c r="D4536" s="8"/>
      <c r="E4536" s="8"/>
      <c r="F4536" s="8"/>
    </row>
    <row r="4537" spans="4:6">
      <c r="D4537" s="8"/>
      <c r="E4537" s="8"/>
      <c r="F4537" s="8"/>
    </row>
    <row r="4538" spans="4:6">
      <c r="D4538" s="8"/>
      <c r="E4538" s="8"/>
      <c r="F4538" s="8"/>
    </row>
    <row r="4539" spans="4:6">
      <c r="D4539" s="8"/>
      <c r="E4539" s="8"/>
      <c r="F4539" s="8"/>
    </row>
    <row r="4540" spans="4:6">
      <c r="D4540" s="8"/>
      <c r="E4540" s="8"/>
      <c r="F4540" s="8"/>
    </row>
    <row r="4541" spans="4:6">
      <c r="D4541" s="8"/>
      <c r="E4541" s="8"/>
      <c r="F4541" s="8"/>
    </row>
    <row r="4542" spans="4:6">
      <c r="D4542" s="8"/>
      <c r="E4542" s="8"/>
      <c r="F4542" s="8"/>
    </row>
    <row r="4543" spans="4:6">
      <c r="D4543" s="8"/>
      <c r="E4543" s="8"/>
      <c r="F4543" s="8"/>
    </row>
    <row r="4544" spans="4:6">
      <c r="D4544" s="8"/>
      <c r="E4544" s="8"/>
      <c r="F4544" s="8"/>
    </row>
    <row r="4545" spans="4:6">
      <c r="D4545" s="8"/>
      <c r="E4545" s="8"/>
      <c r="F4545" s="8"/>
    </row>
    <row r="4546" spans="4:6">
      <c r="D4546" s="8"/>
      <c r="E4546" s="8"/>
      <c r="F4546" s="8"/>
    </row>
    <row r="4547" spans="4:6">
      <c r="D4547" s="8"/>
      <c r="E4547" s="8"/>
      <c r="F4547" s="8"/>
    </row>
    <row r="4548" spans="4:6">
      <c r="D4548" s="8"/>
      <c r="E4548" s="8"/>
      <c r="F4548" s="8"/>
    </row>
    <row r="4549" spans="4:6">
      <c r="D4549" s="8"/>
      <c r="E4549" s="8"/>
      <c r="F4549" s="8"/>
    </row>
    <row r="4550" spans="4:6">
      <c r="D4550" s="8"/>
      <c r="E4550" s="8"/>
      <c r="F4550" s="8"/>
    </row>
    <row r="4551" spans="4:6">
      <c r="D4551" s="8"/>
      <c r="E4551" s="8"/>
      <c r="F4551" s="8"/>
    </row>
    <row r="4552" spans="4:6">
      <c r="D4552" s="8"/>
      <c r="E4552" s="8"/>
      <c r="F4552" s="8"/>
    </row>
    <row r="4553" spans="4:6">
      <c r="D4553" s="8"/>
      <c r="E4553" s="8"/>
      <c r="F4553" s="8"/>
    </row>
    <row r="4554" spans="4:6">
      <c r="D4554" s="8"/>
      <c r="E4554" s="8"/>
      <c r="F4554" s="8"/>
    </row>
    <row r="4555" spans="4:6">
      <c r="D4555" s="8"/>
      <c r="E4555" s="8"/>
      <c r="F4555" s="8"/>
    </row>
    <row r="4556" spans="4:6">
      <c r="D4556" s="8"/>
      <c r="E4556" s="8"/>
      <c r="F4556" s="8"/>
    </row>
    <row r="4557" spans="4:6">
      <c r="D4557" s="8"/>
      <c r="E4557" s="8"/>
      <c r="F4557" s="8"/>
    </row>
    <row r="4558" spans="4:6">
      <c r="D4558" s="8"/>
      <c r="E4558" s="8"/>
      <c r="F4558" s="8"/>
    </row>
    <row r="4559" spans="4:6">
      <c r="D4559" s="8"/>
      <c r="E4559" s="8"/>
      <c r="F4559" s="8"/>
    </row>
    <row r="4560" spans="4:6">
      <c r="D4560" s="8"/>
      <c r="E4560" s="8"/>
      <c r="F4560" s="8"/>
    </row>
    <row r="4561" spans="4:6">
      <c r="D4561" s="8"/>
      <c r="E4561" s="8"/>
      <c r="F4561" s="8"/>
    </row>
    <row r="4562" spans="4:6">
      <c r="D4562" s="8"/>
      <c r="E4562" s="8"/>
      <c r="F4562" s="8"/>
    </row>
    <row r="4563" spans="4:6">
      <c r="D4563" s="8"/>
      <c r="E4563" s="8"/>
      <c r="F4563" s="8"/>
    </row>
    <row r="4564" spans="4:6">
      <c r="D4564" s="8"/>
      <c r="E4564" s="8"/>
      <c r="F4564" s="8"/>
    </row>
    <row r="4565" spans="4:6">
      <c r="D4565" s="8"/>
      <c r="E4565" s="8"/>
      <c r="F4565" s="8"/>
    </row>
    <row r="4566" spans="4:6">
      <c r="D4566" s="8"/>
      <c r="E4566" s="8"/>
      <c r="F4566" s="8"/>
    </row>
    <row r="4567" spans="4:6">
      <c r="D4567" s="8"/>
      <c r="E4567" s="8"/>
      <c r="F4567" s="8"/>
    </row>
    <row r="4568" spans="4:6">
      <c r="D4568" s="8"/>
      <c r="E4568" s="8"/>
      <c r="F4568" s="8"/>
    </row>
    <row r="4569" spans="4:6">
      <c r="D4569" s="8"/>
      <c r="E4569" s="8"/>
      <c r="F4569" s="8"/>
    </row>
    <row r="4570" spans="4:6">
      <c r="D4570" s="8"/>
      <c r="E4570" s="8"/>
      <c r="F4570" s="8"/>
    </row>
    <row r="4571" spans="4:6">
      <c r="D4571" s="8"/>
      <c r="E4571" s="8"/>
      <c r="F4571" s="8"/>
    </row>
    <row r="4572" spans="4:6">
      <c r="D4572" s="8"/>
      <c r="E4572" s="8"/>
      <c r="F4572" s="8"/>
    </row>
    <row r="4573" spans="4:6">
      <c r="D4573" s="8"/>
      <c r="E4573" s="8"/>
      <c r="F4573" s="8"/>
    </row>
    <row r="4574" spans="4:6">
      <c r="D4574" s="8"/>
      <c r="E4574" s="8"/>
      <c r="F4574" s="8"/>
    </row>
    <row r="4575" spans="4:6">
      <c r="D4575" s="8"/>
      <c r="E4575" s="8"/>
      <c r="F4575" s="8"/>
    </row>
    <row r="4576" spans="4:6">
      <c r="D4576" s="8"/>
      <c r="E4576" s="8"/>
      <c r="F4576" s="8"/>
    </row>
    <row r="4577" spans="4:6">
      <c r="D4577" s="8"/>
      <c r="E4577" s="8"/>
      <c r="F4577" s="8"/>
    </row>
    <row r="4578" spans="4:6">
      <c r="D4578" s="8"/>
      <c r="E4578" s="8"/>
      <c r="F4578" s="8"/>
    </row>
    <row r="4579" spans="4:6">
      <c r="D4579" s="8"/>
      <c r="E4579" s="8"/>
      <c r="F4579" s="8"/>
    </row>
    <row r="4580" spans="4:6">
      <c r="D4580" s="8"/>
      <c r="E4580" s="8"/>
      <c r="F4580" s="8"/>
    </row>
    <row r="4581" spans="4:6">
      <c r="D4581" s="8"/>
      <c r="E4581" s="8"/>
      <c r="F4581" s="8"/>
    </row>
    <row r="4582" spans="4:6">
      <c r="D4582" s="8"/>
      <c r="E4582" s="8"/>
      <c r="F4582" s="8"/>
    </row>
    <row r="4583" spans="4:6">
      <c r="D4583" s="8"/>
      <c r="E4583" s="8"/>
      <c r="F4583" s="8"/>
    </row>
    <row r="4584" spans="4:6">
      <c r="D4584" s="8"/>
      <c r="E4584" s="8"/>
      <c r="F4584" s="8"/>
    </row>
    <row r="4585" spans="4:6">
      <c r="D4585" s="8"/>
      <c r="E4585" s="8"/>
      <c r="F4585" s="8"/>
    </row>
    <row r="4586" spans="4:6">
      <c r="D4586" s="8"/>
      <c r="E4586" s="8"/>
      <c r="F4586" s="8"/>
    </row>
    <row r="4587" spans="4:6">
      <c r="D4587" s="8"/>
      <c r="E4587" s="8"/>
      <c r="F4587" s="8"/>
    </row>
    <row r="4588" spans="4:6">
      <c r="D4588" s="8"/>
      <c r="E4588" s="8"/>
      <c r="F4588" s="8"/>
    </row>
    <row r="4589" spans="4:6">
      <c r="D4589" s="8"/>
      <c r="E4589" s="8"/>
      <c r="F4589" s="8"/>
    </row>
    <row r="4590" spans="4:6">
      <c r="D4590" s="8"/>
      <c r="E4590" s="8"/>
      <c r="F4590" s="8"/>
    </row>
    <row r="4591" spans="4:6">
      <c r="D4591" s="8"/>
      <c r="E4591" s="8"/>
      <c r="F4591" s="8"/>
    </row>
    <row r="4592" spans="4:6">
      <c r="D4592" s="8"/>
      <c r="E4592" s="8"/>
      <c r="F4592" s="8"/>
    </row>
    <row r="4593" spans="4:6">
      <c r="D4593" s="8"/>
      <c r="E4593" s="8"/>
      <c r="F4593" s="8"/>
    </row>
    <row r="4594" spans="4:6">
      <c r="D4594" s="8"/>
      <c r="E4594" s="8"/>
      <c r="F4594" s="8"/>
    </row>
    <row r="4595" spans="4:6">
      <c r="D4595" s="8"/>
      <c r="E4595" s="8"/>
      <c r="F4595" s="8"/>
    </row>
    <row r="4596" spans="4:6">
      <c r="D4596" s="8"/>
      <c r="E4596" s="8"/>
      <c r="F4596" s="8"/>
    </row>
    <row r="4597" spans="4:6">
      <c r="D4597" s="8"/>
      <c r="E4597" s="8"/>
      <c r="F4597" s="8"/>
    </row>
    <row r="4598" spans="4:6">
      <c r="D4598" s="8"/>
      <c r="E4598" s="8"/>
      <c r="F4598" s="8"/>
    </row>
    <row r="4599" spans="4:6">
      <c r="D4599" s="8"/>
      <c r="E4599" s="8"/>
      <c r="F4599" s="8"/>
    </row>
    <row r="4600" spans="4:6">
      <c r="D4600" s="8"/>
      <c r="E4600" s="8"/>
      <c r="F4600" s="8"/>
    </row>
    <row r="4601" spans="4:6">
      <c r="D4601" s="8"/>
      <c r="E4601" s="8"/>
      <c r="F4601" s="8"/>
    </row>
    <row r="4602" spans="4:6">
      <c r="D4602" s="8"/>
      <c r="E4602" s="8"/>
      <c r="F4602" s="8"/>
    </row>
    <row r="4603" spans="4:6">
      <c r="D4603" s="8"/>
      <c r="E4603" s="8"/>
      <c r="F4603" s="8"/>
    </row>
    <row r="4604" spans="4:6">
      <c r="D4604" s="8"/>
      <c r="E4604" s="8"/>
      <c r="F4604" s="8"/>
    </row>
    <row r="4605" spans="4:6">
      <c r="D4605" s="8"/>
      <c r="E4605" s="8"/>
      <c r="F4605" s="8"/>
    </row>
    <row r="4606" spans="4:6">
      <c r="D4606" s="8"/>
      <c r="E4606" s="8"/>
      <c r="F4606" s="8"/>
    </row>
    <row r="4607" spans="4:6">
      <c r="D4607" s="8"/>
      <c r="E4607" s="8"/>
      <c r="F4607" s="8"/>
    </row>
    <row r="4608" spans="4:6">
      <c r="D4608" s="8"/>
      <c r="E4608" s="8"/>
      <c r="F4608" s="8"/>
    </row>
    <row r="4609" spans="4:6">
      <c r="D4609" s="8"/>
      <c r="E4609" s="8"/>
      <c r="F4609" s="8"/>
    </row>
    <row r="4610" spans="4:6">
      <c r="D4610" s="8"/>
      <c r="E4610" s="8"/>
      <c r="F4610" s="8"/>
    </row>
    <row r="4611" spans="4:6">
      <c r="D4611" s="8"/>
      <c r="E4611" s="8"/>
      <c r="F4611" s="8"/>
    </row>
    <row r="4612" spans="4:6">
      <c r="D4612" s="8"/>
      <c r="E4612" s="8"/>
      <c r="F4612" s="8"/>
    </row>
    <row r="4613" spans="4:6">
      <c r="D4613" s="8"/>
      <c r="E4613" s="8"/>
      <c r="F4613" s="8"/>
    </row>
    <row r="4614" spans="4:6">
      <c r="D4614" s="8"/>
      <c r="E4614" s="8"/>
      <c r="F4614" s="8"/>
    </row>
    <row r="4615" spans="4:6">
      <c r="D4615" s="8"/>
      <c r="E4615" s="8"/>
      <c r="F4615" s="8"/>
    </row>
    <row r="4616" spans="4:6">
      <c r="D4616" s="8"/>
      <c r="E4616" s="8"/>
      <c r="F4616" s="8"/>
    </row>
    <row r="4617" spans="4:6">
      <c r="D4617" s="8"/>
      <c r="E4617" s="8"/>
      <c r="F4617" s="8"/>
    </row>
    <row r="4618" spans="4:6">
      <c r="D4618" s="8"/>
      <c r="E4618" s="8"/>
      <c r="F4618" s="8"/>
    </row>
    <row r="4619" spans="4:6">
      <c r="D4619" s="8"/>
      <c r="E4619" s="8"/>
      <c r="F4619" s="8"/>
    </row>
    <row r="4620" spans="4:6">
      <c r="D4620" s="8"/>
      <c r="E4620" s="8"/>
      <c r="F4620" s="8"/>
    </row>
    <row r="4621" spans="4:6">
      <c r="D4621" s="8"/>
      <c r="E4621" s="8"/>
      <c r="F4621" s="8"/>
    </row>
    <row r="4622" spans="4:6">
      <c r="D4622" s="8"/>
      <c r="E4622" s="8"/>
      <c r="F4622" s="8"/>
    </row>
    <row r="4623" spans="4:6">
      <c r="D4623" s="8"/>
      <c r="E4623" s="8"/>
      <c r="F4623" s="8"/>
    </row>
    <row r="4624" spans="4:6">
      <c r="D4624" s="8"/>
      <c r="E4624" s="8"/>
      <c r="F4624" s="8"/>
    </row>
    <row r="4625" spans="4:6">
      <c r="D4625" s="8"/>
      <c r="E4625" s="8"/>
      <c r="F4625" s="8"/>
    </row>
    <row r="4626" spans="4:6">
      <c r="D4626" s="8"/>
      <c r="E4626" s="8"/>
      <c r="F4626" s="8"/>
    </row>
    <row r="4627" spans="4:6">
      <c r="D4627" s="8"/>
      <c r="E4627" s="8"/>
      <c r="F4627" s="8"/>
    </row>
    <row r="4628" spans="4:6">
      <c r="D4628" s="8"/>
      <c r="E4628" s="8"/>
      <c r="F4628" s="8"/>
    </row>
    <row r="4629" spans="4:6">
      <c r="D4629" s="8"/>
      <c r="E4629" s="8"/>
      <c r="F4629" s="8"/>
    </row>
    <row r="4630" spans="4:6">
      <c r="D4630" s="8"/>
      <c r="E4630" s="8"/>
      <c r="F4630" s="8"/>
    </row>
    <row r="4631" spans="4:6">
      <c r="D4631" s="8"/>
      <c r="E4631" s="8"/>
      <c r="F4631" s="8"/>
    </row>
    <row r="4632" spans="4:6">
      <c r="D4632" s="8"/>
      <c r="E4632" s="8"/>
      <c r="F4632" s="8"/>
    </row>
    <row r="4633" spans="4:6">
      <c r="D4633" s="8"/>
      <c r="E4633" s="8"/>
      <c r="F4633" s="8"/>
    </row>
    <row r="4634" spans="4:6">
      <c r="D4634" s="8"/>
      <c r="E4634" s="8"/>
      <c r="F4634" s="8"/>
    </row>
    <row r="4635" spans="4:6">
      <c r="D4635" s="8"/>
      <c r="E4635" s="8"/>
      <c r="F4635" s="8"/>
    </row>
    <row r="4636" spans="4:6">
      <c r="D4636" s="8"/>
      <c r="E4636" s="8"/>
      <c r="F4636" s="8"/>
    </row>
    <row r="4637" spans="4:6">
      <c r="D4637" s="8"/>
      <c r="E4637" s="8"/>
      <c r="F4637" s="8"/>
    </row>
    <row r="4638" spans="4:6">
      <c r="D4638" s="8"/>
      <c r="E4638" s="8"/>
      <c r="F4638" s="8"/>
    </row>
    <row r="4639" spans="4:6">
      <c r="D4639" s="8"/>
      <c r="E4639" s="8"/>
      <c r="F4639" s="8"/>
    </row>
    <row r="4640" spans="4:6">
      <c r="D4640" s="8"/>
      <c r="E4640" s="8"/>
      <c r="F4640" s="8"/>
    </row>
    <row r="4641" spans="4:6">
      <c r="D4641" s="8"/>
      <c r="E4641" s="8"/>
      <c r="F4641" s="8"/>
    </row>
    <row r="4642" spans="4:6">
      <c r="D4642" s="8"/>
      <c r="E4642" s="8"/>
      <c r="F4642" s="8"/>
    </row>
    <row r="4643" spans="4:6">
      <c r="D4643" s="8"/>
      <c r="E4643" s="8"/>
      <c r="F4643" s="8"/>
    </row>
    <row r="4644" spans="4:6">
      <c r="D4644" s="8"/>
      <c r="E4644" s="8"/>
      <c r="F4644" s="8"/>
    </row>
    <row r="4645" spans="4:6">
      <c r="D4645" s="8"/>
      <c r="E4645" s="8"/>
      <c r="F4645" s="8"/>
    </row>
    <row r="4646" spans="4:6">
      <c r="D4646" s="8"/>
      <c r="E4646" s="8"/>
      <c r="F4646" s="8"/>
    </row>
    <row r="4647" spans="4:6">
      <c r="D4647" s="8"/>
      <c r="E4647" s="8"/>
      <c r="F4647" s="8"/>
    </row>
    <row r="4648" spans="4:6">
      <c r="D4648" s="8"/>
      <c r="E4648" s="8"/>
      <c r="F4648" s="8"/>
    </row>
    <row r="4649" spans="4:6">
      <c r="D4649" s="8"/>
      <c r="E4649" s="8"/>
      <c r="F4649" s="8"/>
    </row>
    <row r="4650" spans="4:6">
      <c r="D4650" s="8"/>
      <c r="E4650" s="8"/>
      <c r="F4650" s="8"/>
    </row>
    <row r="4651" spans="4:6">
      <c r="D4651" s="8"/>
      <c r="E4651" s="8"/>
      <c r="F4651" s="8"/>
    </row>
    <row r="4652" spans="4:6">
      <c r="D4652" s="8"/>
      <c r="E4652" s="8"/>
      <c r="F4652" s="8"/>
    </row>
    <row r="4653" spans="4:6">
      <c r="D4653" s="8"/>
      <c r="E4653" s="8"/>
      <c r="F4653" s="8"/>
    </row>
    <row r="4654" spans="4:6">
      <c r="D4654" s="8"/>
      <c r="E4654" s="8"/>
      <c r="F4654" s="8"/>
    </row>
    <row r="4655" spans="4:6">
      <c r="D4655" s="8"/>
      <c r="E4655" s="8"/>
      <c r="F4655" s="8"/>
    </row>
    <row r="4656" spans="4:6">
      <c r="D4656" s="8"/>
      <c r="E4656" s="8"/>
      <c r="F4656" s="8"/>
    </row>
    <row r="4657" spans="4:6">
      <c r="D4657" s="8"/>
      <c r="E4657" s="8"/>
      <c r="F4657" s="8"/>
    </row>
    <row r="4658" spans="4:6">
      <c r="D4658" s="8"/>
      <c r="E4658" s="8"/>
      <c r="F4658" s="8"/>
    </row>
    <row r="4659" spans="4:6">
      <c r="D4659" s="8"/>
      <c r="E4659" s="8"/>
      <c r="F4659" s="8"/>
    </row>
    <row r="4660" spans="4:6">
      <c r="D4660" s="8"/>
      <c r="E4660" s="8"/>
      <c r="F4660" s="8"/>
    </row>
    <row r="4661" spans="4:6">
      <c r="D4661" s="8"/>
      <c r="E4661" s="8"/>
      <c r="F4661" s="8"/>
    </row>
    <row r="4662" spans="4:6">
      <c r="D4662" s="8"/>
      <c r="E4662" s="8"/>
      <c r="F4662" s="8"/>
    </row>
    <row r="4663" spans="4:6">
      <c r="D4663" s="8"/>
      <c r="E4663" s="8"/>
      <c r="F4663" s="8"/>
    </row>
    <row r="4664" spans="4:6">
      <c r="D4664" s="8"/>
      <c r="E4664" s="8"/>
      <c r="F4664" s="8"/>
    </row>
    <row r="4665" spans="4:6">
      <c r="D4665" s="8"/>
      <c r="E4665" s="8"/>
      <c r="F4665" s="8"/>
    </row>
    <row r="4666" spans="4:6">
      <c r="D4666" s="8"/>
      <c r="E4666" s="8"/>
      <c r="F4666" s="8"/>
    </row>
    <row r="4667" spans="4:6">
      <c r="D4667" s="8"/>
      <c r="E4667" s="8"/>
      <c r="F4667" s="8"/>
    </row>
    <row r="4668" spans="4:6">
      <c r="D4668" s="8"/>
      <c r="E4668" s="8"/>
      <c r="F4668" s="8"/>
    </row>
    <row r="4669" spans="4:6">
      <c r="D4669" s="8"/>
      <c r="E4669" s="8"/>
      <c r="F4669" s="8"/>
    </row>
    <row r="4670" spans="4:6">
      <c r="D4670" s="8"/>
      <c r="E4670" s="8"/>
      <c r="F4670" s="8"/>
    </row>
    <row r="4671" spans="4:6">
      <c r="D4671" s="8"/>
      <c r="E4671" s="8"/>
      <c r="F4671" s="8"/>
    </row>
    <row r="4672" spans="4:6">
      <c r="D4672" s="8"/>
      <c r="E4672" s="8"/>
      <c r="F4672" s="8"/>
    </row>
    <row r="4673" spans="4:6">
      <c r="D4673" s="8"/>
      <c r="E4673" s="8"/>
      <c r="F4673" s="8"/>
    </row>
    <row r="4674" spans="4:6">
      <c r="D4674" s="8"/>
      <c r="E4674" s="8"/>
      <c r="F4674" s="8"/>
    </row>
    <row r="4675" spans="4:6">
      <c r="D4675" s="8"/>
      <c r="E4675" s="8"/>
      <c r="F4675" s="8"/>
    </row>
    <row r="4676" spans="4:6">
      <c r="D4676" s="8"/>
      <c r="E4676" s="8"/>
      <c r="F4676" s="8"/>
    </row>
    <row r="4677" spans="4:6">
      <c r="D4677" s="8"/>
      <c r="E4677" s="8"/>
      <c r="F4677" s="8"/>
    </row>
    <row r="4678" spans="4:6">
      <c r="D4678" s="8"/>
      <c r="E4678" s="8"/>
      <c r="F4678" s="8"/>
    </row>
    <row r="4679" spans="4:6">
      <c r="D4679" s="8"/>
      <c r="E4679" s="8"/>
      <c r="F4679" s="8"/>
    </row>
    <row r="4680" spans="4:6">
      <c r="D4680" s="8"/>
      <c r="E4680" s="8"/>
      <c r="F4680" s="8"/>
    </row>
    <row r="4681" spans="4:6">
      <c r="D4681" s="8"/>
      <c r="E4681" s="8"/>
      <c r="F4681" s="8"/>
    </row>
    <row r="4682" spans="4:6">
      <c r="D4682" s="8"/>
      <c r="E4682" s="8"/>
      <c r="F4682" s="8"/>
    </row>
    <row r="4683" spans="4:6">
      <c r="D4683" s="8"/>
      <c r="E4683" s="8"/>
      <c r="F4683" s="8"/>
    </row>
    <row r="4684" spans="4:6">
      <c r="D4684" s="8"/>
      <c r="E4684" s="8"/>
      <c r="F4684" s="8"/>
    </row>
    <row r="4685" spans="4:6">
      <c r="D4685" s="8"/>
      <c r="E4685" s="8"/>
      <c r="F4685" s="8"/>
    </row>
    <row r="4686" spans="4:6">
      <c r="D4686" s="8"/>
      <c r="E4686" s="8"/>
      <c r="F4686" s="8"/>
    </row>
    <row r="4687" spans="4:6">
      <c r="D4687" s="8"/>
      <c r="E4687" s="8"/>
      <c r="F4687" s="8"/>
    </row>
    <row r="4688" spans="4:6">
      <c r="D4688" s="8"/>
      <c r="E4688" s="8"/>
      <c r="F4688" s="8"/>
    </row>
    <row r="4689" spans="4:6">
      <c r="D4689" s="8"/>
      <c r="E4689" s="8"/>
      <c r="F4689" s="8"/>
    </row>
    <row r="4690" spans="4:6">
      <c r="D4690" s="8"/>
      <c r="E4690" s="8"/>
      <c r="F4690" s="8"/>
    </row>
    <row r="4691" spans="4:6">
      <c r="D4691" s="8"/>
      <c r="E4691" s="8"/>
      <c r="F4691" s="8"/>
    </row>
    <row r="4692" spans="4:6">
      <c r="D4692" s="8"/>
      <c r="E4692" s="8"/>
      <c r="F4692" s="8"/>
    </row>
    <row r="4693" spans="4:6">
      <c r="D4693" s="8"/>
      <c r="E4693" s="8"/>
      <c r="F4693" s="8"/>
    </row>
    <row r="4694" spans="4:6">
      <c r="D4694" s="8"/>
      <c r="E4694" s="8"/>
      <c r="F4694" s="8"/>
    </row>
    <row r="4695" spans="4:6">
      <c r="D4695" s="8"/>
      <c r="E4695" s="8"/>
      <c r="F4695" s="8"/>
    </row>
    <row r="4696" spans="4:6">
      <c r="D4696" s="8"/>
      <c r="E4696" s="8"/>
      <c r="F4696" s="8"/>
    </row>
    <row r="4697" spans="4:6">
      <c r="D4697" s="8"/>
      <c r="E4697" s="8"/>
      <c r="F4697" s="8"/>
    </row>
    <row r="4698" spans="4:6">
      <c r="D4698" s="8"/>
      <c r="E4698" s="8"/>
      <c r="F4698" s="8"/>
    </row>
    <row r="4699" spans="4:6">
      <c r="D4699" s="8"/>
      <c r="E4699" s="8"/>
      <c r="F4699" s="8"/>
    </row>
    <row r="4700" spans="4:6">
      <c r="D4700" s="8"/>
      <c r="E4700" s="8"/>
      <c r="F4700" s="8"/>
    </row>
    <row r="4701" spans="4:6">
      <c r="D4701" s="8"/>
      <c r="E4701" s="8"/>
      <c r="F4701" s="8"/>
    </row>
    <row r="4702" spans="4:6">
      <c r="D4702" s="8"/>
      <c r="E4702" s="8"/>
      <c r="F4702" s="8"/>
    </row>
    <row r="4703" spans="4:6">
      <c r="D4703" s="8"/>
      <c r="E4703" s="8"/>
      <c r="F4703" s="8"/>
    </row>
    <row r="4704" spans="4:6">
      <c r="D4704" s="8"/>
      <c r="E4704" s="8"/>
      <c r="F4704" s="8"/>
    </row>
    <row r="4705" spans="4:6">
      <c r="D4705" s="8"/>
      <c r="E4705" s="8"/>
      <c r="F4705" s="8"/>
    </row>
    <row r="4706" spans="4:6">
      <c r="D4706" s="8"/>
      <c r="E4706" s="8"/>
      <c r="F4706" s="8"/>
    </row>
    <row r="4707" spans="4:6">
      <c r="D4707" s="8"/>
      <c r="E4707" s="8"/>
      <c r="F4707" s="8"/>
    </row>
    <row r="4708" spans="4:6">
      <c r="D4708" s="8"/>
      <c r="E4708" s="8"/>
      <c r="F4708" s="8"/>
    </row>
    <row r="4709" spans="4:6">
      <c r="D4709" s="8"/>
      <c r="E4709" s="8"/>
      <c r="F4709" s="8"/>
    </row>
    <row r="4710" spans="4:6">
      <c r="D4710" s="8"/>
      <c r="E4710" s="8"/>
      <c r="F4710" s="8"/>
    </row>
    <row r="4711" spans="4:6">
      <c r="D4711" s="8"/>
      <c r="E4711" s="8"/>
      <c r="F4711" s="8"/>
    </row>
    <row r="4712" spans="4:6">
      <c r="D4712" s="8"/>
      <c r="E4712" s="8"/>
      <c r="F4712" s="8"/>
    </row>
    <row r="4713" spans="4:6">
      <c r="D4713" s="8"/>
      <c r="E4713" s="8"/>
      <c r="F4713" s="8"/>
    </row>
    <row r="4714" spans="4:6">
      <c r="D4714" s="8"/>
      <c r="E4714" s="8"/>
      <c r="F4714" s="8"/>
    </row>
    <row r="4715" spans="4:6">
      <c r="D4715" s="8"/>
      <c r="E4715" s="8"/>
      <c r="F4715" s="8"/>
    </row>
    <row r="4716" spans="4:6">
      <c r="D4716" s="8"/>
      <c r="E4716" s="8"/>
      <c r="F4716" s="8"/>
    </row>
    <row r="4717" spans="4:6">
      <c r="D4717" s="8"/>
      <c r="E4717" s="8"/>
      <c r="F4717" s="8"/>
    </row>
    <row r="4718" spans="4:6">
      <c r="D4718" s="8"/>
      <c r="E4718" s="8"/>
      <c r="F4718" s="8"/>
    </row>
    <row r="4719" spans="4:6">
      <c r="D4719" s="8"/>
      <c r="E4719" s="8"/>
      <c r="F4719" s="8"/>
    </row>
    <row r="4720" spans="4:6">
      <c r="D4720" s="8"/>
      <c r="E4720" s="8"/>
      <c r="F4720" s="8"/>
    </row>
    <row r="4721" spans="4:6">
      <c r="D4721" s="8"/>
      <c r="E4721" s="8"/>
      <c r="F4721" s="8"/>
    </row>
    <row r="4722" spans="4:6">
      <c r="D4722" s="8"/>
      <c r="E4722" s="8"/>
      <c r="F4722" s="8"/>
    </row>
    <row r="4723" spans="4:6">
      <c r="D4723" s="8"/>
      <c r="E4723" s="8"/>
      <c r="F4723" s="8"/>
    </row>
    <row r="4724" spans="4:6">
      <c r="D4724" s="8"/>
      <c r="E4724" s="8"/>
      <c r="F4724" s="8"/>
    </row>
    <row r="4725" spans="4:6">
      <c r="D4725" s="8"/>
      <c r="E4725" s="8"/>
      <c r="F4725" s="8"/>
    </row>
    <row r="4726" spans="4:6">
      <c r="D4726" s="8"/>
      <c r="E4726" s="8"/>
      <c r="F4726" s="8"/>
    </row>
    <row r="4727" spans="4:6">
      <c r="D4727" s="8"/>
      <c r="E4727" s="8"/>
      <c r="F4727" s="8"/>
    </row>
    <row r="4728" spans="4:6">
      <c r="D4728" s="8"/>
      <c r="E4728" s="8"/>
      <c r="F4728" s="8"/>
    </row>
    <row r="4729" spans="4:6">
      <c r="D4729" s="8"/>
      <c r="E4729" s="8"/>
      <c r="F4729" s="8"/>
    </row>
    <row r="4730" spans="4:6">
      <c r="D4730" s="8"/>
      <c r="E4730" s="8"/>
      <c r="F4730" s="8"/>
    </row>
    <row r="4731" spans="4:6">
      <c r="D4731" s="8"/>
      <c r="E4731" s="8"/>
      <c r="F4731" s="8"/>
    </row>
    <row r="4732" spans="4:6">
      <c r="D4732" s="8"/>
      <c r="E4732" s="8"/>
      <c r="F4732" s="8"/>
    </row>
    <row r="4733" spans="4:6">
      <c r="D4733" s="8"/>
      <c r="E4733" s="8"/>
      <c r="F4733" s="8"/>
    </row>
    <row r="4734" spans="4:6">
      <c r="D4734" s="8"/>
      <c r="E4734" s="8"/>
      <c r="F4734" s="8"/>
    </row>
    <row r="4735" spans="4:6">
      <c r="D4735" s="8"/>
      <c r="E4735" s="8"/>
      <c r="F4735" s="8"/>
    </row>
    <row r="4736" spans="4:6">
      <c r="D4736" s="8"/>
      <c r="E4736" s="8"/>
      <c r="F4736" s="8"/>
    </row>
    <row r="4737" spans="4:6">
      <c r="D4737" s="8"/>
      <c r="E4737" s="8"/>
      <c r="F4737" s="8"/>
    </row>
    <row r="4738" spans="4:6">
      <c r="D4738" s="8"/>
      <c r="E4738" s="8"/>
      <c r="F4738" s="8"/>
    </row>
    <row r="4739" spans="4:6">
      <c r="D4739" s="8"/>
      <c r="E4739" s="8"/>
      <c r="F4739" s="8"/>
    </row>
    <row r="4740" spans="4:6">
      <c r="D4740" s="8"/>
      <c r="E4740" s="8"/>
      <c r="F4740" s="8"/>
    </row>
    <row r="4741" spans="4:6">
      <c r="D4741" s="8"/>
      <c r="E4741" s="8"/>
      <c r="F4741" s="8"/>
    </row>
    <row r="4742" spans="4:6">
      <c r="D4742" s="8"/>
      <c r="E4742" s="8"/>
      <c r="F4742" s="8"/>
    </row>
    <row r="4743" spans="4:6">
      <c r="D4743" s="8"/>
      <c r="E4743" s="8"/>
      <c r="F4743" s="8"/>
    </row>
    <row r="4744" spans="4:6">
      <c r="D4744" s="8"/>
      <c r="E4744" s="8"/>
      <c r="F4744" s="8"/>
    </row>
    <row r="4745" spans="4:6">
      <c r="D4745" s="8"/>
      <c r="E4745" s="8"/>
      <c r="F4745" s="8"/>
    </row>
    <row r="4746" spans="4:6">
      <c r="D4746" s="8"/>
      <c r="E4746" s="8"/>
      <c r="F4746" s="8"/>
    </row>
    <row r="4747" spans="4:6">
      <c r="D4747" s="8"/>
      <c r="E4747" s="8"/>
      <c r="F4747" s="8"/>
    </row>
    <row r="4748" spans="4:6">
      <c r="D4748" s="8"/>
      <c r="E4748" s="8"/>
      <c r="F4748" s="8"/>
    </row>
    <row r="4749" spans="4:6">
      <c r="D4749" s="8"/>
      <c r="E4749" s="8"/>
      <c r="F4749" s="8"/>
    </row>
    <row r="4750" spans="4:6">
      <c r="D4750" s="8"/>
      <c r="E4750" s="8"/>
      <c r="F4750" s="8"/>
    </row>
    <row r="4751" spans="4:6">
      <c r="D4751" s="8"/>
      <c r="E4751" s="8"/>
      <c r="F4751" s="8"/>
    </row>
    <row r="4752" spans="4:6">
      <c r="D4752" s="8"/>
      <c r="E4752" s="8"/>
      <c r="F4752" s="8"/>
    </row>
    <row r="4753" spans="4:6">
      <c r="D4753" s="8"/>
      <c r="E4753" s="8"/>
      <c r="F4753" s="8"/>
    </row>
    <row r="4754" spans="4:6">
      <c r="D4754" s="8"/>
      <c r="E4754" s="8"/>
      <c r="F4754" s="8"/>
    </row>
    <row r="4755" spans="4:6">
      <c r="D4755" s="8"/>
      <c r="E4755" s="8"/>
      <c r="F4755" s="8"/>
    </row>
    <row r="4756" spans="4:6">
      <c r="D4756" s="8"/>
      <c r="E4756" s="8"/>
      <c r="F4756" s="8"/>
    </row>
    <row r="4757" spans="4:6">
      <c r="D4757" s="8"/>
      <c r="E4757" s="8"/>
      <c r="F4757" s="8"/>
    </row>
    <row r="4758" spans="4:6">
      <c r="D4758" s="8"/>
      <c r="E4758" s="8"/>
      <c r="F4758" s="8"/>
    </row>
    <row r="4759" spans="4:6">
      <c r="D4759" s="8"/>
      <c r="E4759" s="8"/>
      <c r="F4759" s="8"/>
    </row>
    <row r="4760" spans="4:6">
      <c r="D4760" s="8"/>
      <c r="E4760" s="8"/>
      <c r="F4760" s="8"/>
    </row>
    <row r="4761" spans="4:6">
      <c r="D4761" s="8"/>
      <c r="E4761" s="8"/>
      <c r="F4761" s="8"/>
    </row>
    <row r="4762" spans="4:6">
      <c r="D4762" s="8"/>
      <c r="E4762" s="8"/>
      <c r="F4762" s="8"/>
    </row>
    <row r="4763" spans="4:6">
      <c r="D4763" s="8"/>
      <c r="E4763" s="8"/>
      <c r="F4763" s="8"/>
    </row>
    <row r="4764" spans="4:6">
      <c r="D4764" s="8"/>
      <c r="E4764" s="8"/>
      <c r="F4764" s="8"/>
    </row>
    <row r="4765" spans="4:6">
      <c r="D4765" s="8"/>
      <c r="E4765" s="8"/>
      <c r="F4765" s="8"/>
    </row>
    <row r="4766" spans="4:6">
      <c r="D4766" s="8"/>
      <c r="E4766" s="8"/>
      <c r="F4766" s="8"/>
    </row>
    <row r="4767" spans="4:6">
      <c r="D4767" s="8"/>
      <c r="E4767" s="8"/>
      <c r="F4767" s="8"/>
    </row>
    <row r="4768" spans="4:6">
      <c r="D4768" s="8"/>
      <c r="E4768" s="8"/>
      <c r="F4768" s="8"/>
    </row>
    <row r="4769" spans="4:6">
      <c r="D4769" s="8"/>
      <c r="E4769" s="8"/>
      <c r="F4769" s="8"/>
    </row>
    <row r="4770" spans="4:6">
      <c r="D4770" s="8"/>
      <c r="E4770" s="8"/>
      <c r="F4770" s="8"/>
    </row>
    <row r="4771" spans="4:6">
      <c r="D4771" s="8"/>
      <c r="E4771" s="8"/>
      <c r="F4771" s="8"/>
    </row>
    <row r="4772" spans="4:6">
      <c r="D4772" s="8"/>
      <c r="E4772" s="8"/>
      <c r="F4772" s="8"/>
    </row>
    <row r="4773" spans="4:6">
      <c r="D4773" s="8"/>
      <c r="E4773" s="8"/>
      <c r="F4773" s="8"/>
    </row>
    <row r="4774" spans="4:6">
      <c r="D4774" s="8"/>
      <c r="E4774" s="8"/>
      <c r="F4774" s="8"/>
    </row>
    <row r="4775" spans="4:6">
      <c r="D4775" s="8"/>
      <c r="E4775" s="8"/>
      <c r="F4775" s="8"/>
    </row>
    <row r="4776" spans="4:6">
      <c r="D4776" s="8"/>
      <c r="E4776" s="8"/>
      <c r="F4776" s="8"/>
    </row>
    <row r="4777" spans="4:6">
      <c r="D4777" s="8"/>
      <c r="E4777" s="8"/>
      <c r="F4777" s="8"/>
    </row>
    <row r="4778" spans="4:6">
      <c r="D4778" s="8"/>
      <c r="E4778" s="8"/>
      <c r="F4778" s="8"/>
    </row>
    <row r="4779" spans="4:6">
      <c r="D4779" s="8"/>
      <c r="E4779" s="8"/>
      <c r="F4779" s="8"/>
    </row>
    <row r="4780" spans="4:6">
      <c r="D4780" s="8"/>
      <c r="E4780" s="8"/>
      <c r="F4780" s="8"/>
    </row>
    <row r="4781" spans="4:6">
      <c r="D4781" s="8"/>
      <c r="E4781" s="8"/>
      <c r="F4781" s="8"/>
    </row>
    <row r="4782" spans="4:6">
      <c r="D4782" s="8"/>
      <c r="E4782" s="8"/>
      <c r="F4782" s="8"/>
    </row>
    <row r="4783" spans="4:6">
      <c r="D4783" s="8"/>
      <c r="E4783" s="8"/>
      <c r="F4783" s="8"/>
    </row>
    <row r="4784" spans="4:6">
      <c r="D4784" s="8"/>
      <c r="E4784" s="8"/>
      <c r="F4784" s="8"/>
    </row>
    <row r="4785" spans="4:6">
      <c r="D4785" s="8"/>
      <c r="E4785" s="8"/>
      <c r="F4785" s="8"/>
    </row>
    <row r="4786" spans="4:6">
      <c r="D4786" s="8"/>
      <c r="E4786" s="8"/>
      <c r="F4786" s="8"/>
    </row>
    <row r="4787" spans="4:6">
      <c r="D4787" s="8"/>
      <c r="E4787" s="8"/>
      <c r="F4787" s="8"/>
    </row>
    <row r="4788" spans="4:6">
      <c r="D4788" s="8"/>
      <c r="E4788" s="8"/>
      <c r="F4788" s="8"/>
    </row>
    <row r="4789" spans="4:6">
      <c r="D4789" s="8"/>
      <c r="E4789" s="8"/>
      <c r="F4789" s="8"/>
    </row>
    <row r="4790" spans="4:6">
      <c r="D4790" s="8"/>
      <c r="E4790" s="8"/>
      <c r="F4790" s="8"/>
    </row>
    <row r="4791" spans="4:6">
      <c r="D4791" s="8"/>
      <c r="E4791" s="8"/>
      <c r="F4791" s="8"/>
    </row>
    <row r="4792" spans="4:6">
      <c r="D4792" s="8"/>
      <c r="E4792" s="8"/>
      <c r="F4792" s="8"/>
    </row>
    <row r="4793" spans="4:6">
      <c r="D4793" s="8"/>
      <c r="E4793" s="8"/>
      <c r="F4793" s="8"/>
    </row>
    <row r="4794" spans="4:6">
      <c r="D4794" s="8"/>
      <c r="E4794" s="8"/>
      <c r="F4794" s="8"/>
    </row>
    <row r="4795" spans="4:6">
      <c r="D4795" s="8"/>
      <c r="E4795" s="8"/>
      <c r="F4795" s="8"/>
    </row>
    <row r="4796" spans="4:6">
      <c r="D4796" s="8"/>
      <c r="E4796" s="8"/>
      <c r="F4796" s="8"/>
    </row>
    <row r="4797" spans="4:6">
      <c r="D4797" s="8"/>
      <c r="E4797" s="8"/>
      <c r="F4797" s="8"/>
    </row>
    <row r="4798" spans="4:6">
      <c r="D4798" s="8"/>
      <c r="E4798" s="8"/>
      <c r="F4798" s="8"/>
    </row>
    <row r="4799" spans="4:6">
      <c r="D4799" s="8"/>
      <c r="E4799" s="8"/>
      <c r="F4799" s="8"/>
    </row>
    <row r="4800" spans="4:6">
      <c r="D4800" s="8"/>
      <c r="E4800" s="8"/>
      <c r="F4800" s="8"/>
    </row>
    <row r="4801" spans="4:6">
      <c r="D4801" s="8"/>
      <c r="E4801" s="8"/>
      <c r="F4801" s="8"/>
    </row>
    <row r="4802" spans="4:6">
      <c r="D4802" s="8"/>
      <c r="E4802" s="8"/>
      <c r="F4802" s="8"/>
    </row>
    <row r="4803" spans="4:6">
      <c r="D4803" s="8"/>
      <c r="E4803" s="8"/>
      <c r="F4803" s="8"/>
    </row>
    <row r="4804" spans="4:6">
      <c r="D4804" s="8"/>
      <c r="E4804" s="8"/>
      <c r="F4804" s="8"/>
    </row>
    <row r="4805" spans="4:6">
      <c r="D4805" s="8"/>
      <c r="E4805" s="8"/>
      <c r="F4805" s="8"/>
    </row>
    <row r="4806" spans="4:6">
      <c r="D4806" s="8"/>
      <c r="E4806" s="8"/>
      <c r="F4806" s="8"/>
    </row>
    <row r="4807" spans="4:6">
      <c r="D4807" s="8"/>
      <c r="E4807" s="8"/>
      <c r="F4807" s="8"/>
    </row>
    <row r="4808" spans="4:6">
      <c r="D4808" s="8"/>
      <c r="E4808" s="8"/>
      <c r="F4808" s="8"/>
    </row>
    <row r="4809" spans="4:6">
      <c r="D4809" s="8"/>
      <c r="E4809" s="8"/>
      <c r="F4809" s="8"/>
    </row>
    <row r="4810" spans="4:6">
      <c r="D4810" s="8"/>
      <c r="E4810" s="8"/>
      <c r="F4810" s="8"/>
    </row>
    <row r="4811" spans="4:6">
      <c r="D4811" s="8"/>
      <c r="E4811" s="8"/>
      <c r="F4811" s="8"/>
    </row>
    <row r="4812" spans="4:6">
      <c r="D4812" s="8"/>
      <c r="E4812" s="8"/>
      <c r="F4812" s="8"/>
    </row>
    <row r="4813" spans="4:6">
      <c r="D4813" s="8"/>
      <c r="E4813" s="8"/>
      <c r="F4813" s="8"/>
    </row>
    <row r="4814" spans="4:6">
      <c r="D4814" s="8"/>
      <c r="E4814" s="8"/>
      <c r="F4814" s="8"/>
    </row>
    <row r="4815" spans="4:6">
      <c r="D4815" s="8"/>
      <c r="E4815" s="8"/>
      <c r="F4815" s="8"/>
    </row>
    <row r="4816" spans="4:6">
      <c r="D4816" s="8"/>
      <c r="E4816" s="8"/>
      <c r="F4816" s="8"/>
    </row>
    <row r="4817" spans="4:6">
      <c r="D4817" s="8"/>
      <c r="E4817" s="8"/>
      <c r="F4817" s="8"/>
    </row>
    <row r="4818" spans="4:6">
      <c r="D4818" s="8"/>
      <c r="E4818" s="8"/>
      <c r="F4818" s="8"/>
    </row>
    <row r="4819" spans="4:6">
      <c r="D4819" s="8"/>
      <c r="E4819" s="8"/>
      <c r="F4819" s="8"/>
    </row>
    <row r="4820" spans="4:6">
      <c r="D4820" s="8"/>
      <c r="E4820" s="8"/>
      <c r="F4820" s="8"/>
    </row>
    <row r="4821" spans="4:6">
      <c r="D4821" s="8"/>
      <c r="E4821" s="8"/>
      <c r="F4821" s="8"/>
    </row>
    <row r="4822" spans="4:6">
      <c r="D4822" s="8"/>
      <c r="E4822" s="8"/>
      <c r="F4822" s="8"/>
    </row>
    <row r="4823" spans="4:6">
      <c r="D4823" s="8"/>
      <c r="E4823" s="8"/>
      <c r="F4823" s="8"/>
    </row>
    <row r="4824" spans="4:6">
      <c r="D4824" s="8"/>
      <c r="E4824" s="8"/>
      <c r="F4824" s="8"/>
    </row>
    <row r="4825" spans="4:6">
      <c r="D4825" s="8"/>
      <c r="E4825" s="8"/>
      <c r="F4825" s="8"/>
    </row>
    <row r="4826" spans="4:6">
      <c r="D4826" s="8"/>
      <c r="E4826" s="8"/>
      <c r="F4826" s="8"/>
    </row>
    <row r="4827" spans="4:6">
      <c r="D4827" s="8"/>
      <c r="E4827" s="8"/>
      <c r="F4827" s="8"/>
    </row>
    <row r="4828" spans="4:6">
      <c r="D4828" s="8"/>
      <c r="E4828" s="8"/>
      <c r="F4828" s="8"/>
    </row>
    <row r="4829" spans="4:6">
      <c r="D4829" s="8"/>
      <c r="E4829" s="8"/>
      <c r="F4829" s="8"/>
    </row>
    <row r="4830" spans="4:6">
      <c r="D4830" s="8"/>
      <c r="E4830" s="8"/>
      <c r="F4830" s="8"/>
    </row>
    <row r="4831" spans="4:6">
      <c r="D4831" s="8"/>
      <c r="E4831" s="8"/>
      <c r="F4831" s="8"/>
    </row>
    <row r="4832" spans="4:6">
      <c r="D4832" s="8"/>
      <c r="E4832" s="8"/>
      <c r="F4832" s="8"/>
    </row>
    <row r="4833" spans="4:6">
      <c r="D4833" s="8"/>
      <c r="E4833" s="8"/>
      <c r="F4833" s="8"/>
    </row>
    <row r="4834" spans="4:6">
      <c r="D4834" s="8"/>
      <c r="E4834" s="8"/>
      <c r="F4834" s="8"/>
    </row>
    <row r="4835" spans="4:6">
      <c r="D4835" s="8"/>
      <c r="E4835" s="8"/>
      <c r="F4835" s="8"/>
    </row>
    <row r="4836" spans="4:6">
      <c r="D4836" s="8"/>
      <c r="E4836" s="8"/>
      <c r="F4836" s="8"/>
    </row>
    <row r="4837" spans="4:6">
      <c r="D4837" s="8"/>
      <c r="E4837" s="8"/>
      <c r="F4837" s="8"/>
    </row>
    <row r="4838" spans="4:6">
      <c r="D4838" s="8"/>
      <c r="E4838" s="8"/>
      <c r="F4838" s="8"/>
    </row>
    <row r="4839" spans="4:6">
      <c r="D4839" s="8"/>
      <c r="E4839" s="8"/>
      <c r="F4839" s="8"/>
    </row>
    <row r="4840" spans="4:6">
      <c r="D4840" s="8"/>
      <c r="E4840" s="8"/>
      <c r="F4840" s="8"/>
    </row>
    <row r="4841" spans="4:6">
      <c r="D4841" s="8"/>
      <c r="E4841" s="8"/>
      <c r="F4841" s="8"/>
    </row>
    <row r="4842" spans="4:6">
      <c r="D4842" s="8"/>
      <c r="E4842" s="8"/>
      <c r="F4842" s="8"/>
    </row>
    <row r="4843" spans="4:6">
      <c r="D4843" s="8"/>
      <c r="E4843" s="8"/>
      <c r="F4843" s="8"/>
    </row>
    <row r="4844" spans="4:6">
      <c r="D4844" s="8"/>
      <c r="E4844" s="8"/>
      <c r="F4844" s="8"/>
    </row>
    <row r="4845" spans="4:6">
      <c r="D4845" s="8"/>
      <c r="E4845" s="8"/>
      <c r="F4845" s="8"/>
    </row>
    <row r="4846" spans="4:6">
      <c r="D4846" s="8"/>
      <c r="E4846" s="8"/>
      <c r="F4846" s="8"/>
    </row>
    <row r="4847" spans="4:6">
      <c r="D4847" s="8"/>
      <c r="E4847" s="8"/>
      <c r="F4847" s="8"/>
    </row>
    <row r="4848" spans="4:6">
      <c r="D4848" s="8"/>
      <c r="E4848" s="8"/>
      <c r="F4848" s="8"/>
    </row>
    <row r="4849" spans="4:6">
      <c r="D4849" s="8"/>
      <c r="E4849" s="8"/>
      <c r="F4849" s="8"/>
    </row>
    <row r="4850" spans="4:6">
      <c r="D4850" s="8"/>
      <c r="E4850" s="8"/>
      <c r="F4850" s="8"/>
    </row>
    <row r="4851" spans="4:6">
      <c r="D4851" s="8"/>
      <c r="E4851" s="8"/>
      <c r="F4851" s="8"/>
    </row>
    <row r="4852" spans="4:6">
      <c r="D4852" s="8"/>
      <c r="E4852" s="8"/>
      <c r="F4852" s="8"/>
    </row>
    <row r="4853" spans="4:6">
      <c r="D4853" s="8"/>
      <c r="E4853" s="8"/>
      <c r="F4853" s="8"/>
    </row>
    <row r="4854" spans="4:6">
      <c r="D4854" s="8"/>
      <c r="E4854" s="8"/>
      <c r="F4854" s="8"/>
    </row>
    <row r="4855" spans="4:6">
      <c r="D4855" s="8"/>
      <c r="E4855" s="8"/>
      <c r="F4855" s="8"/>
    </row>
    <row r="4856" spans="4:6">
      <c r="D4856" s="8"/>
      <c r="E4856" s="8"/>
      <c r="F4856" s="8"/>
    </row>
    <row r="4857" spans="4:6">
      <c r="D4857" s="8"/>
      <c r="E4857" s="8"/>
      <c r="F4857" s="8"/>
    </row>
    <row r="4858" spans="4:6">
      <c r="D4858" s="8"/>
      <c r="E4858" s="8"/>
      <c r="F4858" s="8"/>
    </row>
    <row r="4859" spans="4:6">
      <c r="D4859" s="8"/>
      <c r="E4859" s="8"/>
      <c r="F4859" s="8"/>
    </row>
    <row r="4860" spans="4:6">
      <c r="D4860" s="8"/>
      <c r="E4860" s="8"/>
      <c r="F4860" s="8"/>
    </row>
    <row r="4861" spans="4:6">
      <c r="D4861" s="8"/>
      <c r="E4861" s="8"/>
      <c r="F4861" s="8"/>
    </row>
    <row r="4862" spans="4:6">
      <c r="D4862" s="8"/>
      <c r="E4862" s="8"/>
      <c r="F4862" s="8"/>
    </row>
    <row r="4863" spans="4:6">
      <c r="D4863" s="8"/>
      <c r="E4863" s="8"/>
      <c r="F4863" s="8"/>
    </row>
    <row r="4864" spans="4:6">
      <c r="D4864" s="8"/>
      <c r="E4864" s="8"/>
      <c r="F4864" s="8"/>
    </row>
    <row r="4865" spans="4:6">
      <c r="D4865" s="8"/>
      <c r="E4865" s="8"/>
      <c r="F4865" s="8"/>
    </row>
    <row r="4866" spans="4:6">
      <c r="D4866" s="8"/>
      <c r="E4866" s="8"/>
      <c r="F4866" s="8"/>
    </row>
    <row r="4867" spans="4:6">
      <c r="D4867" s="8"/>
      <c r="E4867" s="8"/>
      <c r="F4867" s="8"/>
    </row>
    <row r="4868" spans="4:6">
      <c r="D4868" s="8"/>
      <c r="E4868" s="8"/>
      <c r="F4868" s="8"/>
    </row>
    <row r="4869" spans="4:6">
      <c r="D4869" s="8"/>
      <c r="E4869" s="8"/>
      <c r="F4869" s="8"/>
    </row>
    <row r="4870" spans="4:6">
      <c r="D4870" s="8"/>
      <c r="E4870" s="8"/>
      <c r="F4870" s="8"/>
    </row>
    <row r="4871" spans="4:6">
      <c r="D4871" s="8"/>
      <c r="E4871" s="8"/>
      <c r="F4871" s="8"/>
    </row>
    <row r="4872" spans="4:6">
      <c r="D4872" s="8"/>
      <c r="E4872" s="8"/>
      <c r="F4872" s="8"/>
    </row>
    <row r="4873" spans="4:6">
      <c r="D4873" s="8"/>
      <c r="E4873" s="8"/>
      <c r="F4873" s="8"/>
    </row>
    <row r="4874" spans="4:6">
      <c r="D4874" s="8"/>
      <c r="E4874" s="8"/>
      <c r="F4874" s="8"/>
    </row>
    <row r="4875" spans="4:6">
      <c r="D4875" s="8"/>
      <c r="E4875" s="8"/>
      <c r="F4875" s="8"/>
    </row>
    <row r="4876" spans="4:6">
      <c r="D4876" s="8"/>
      <c r="E4876" s="8"/>
      <c r="F4876" s="8"/>
    </row>
    <row r="4877" spans="4:6">
      <c r="D4877" s="8"/>
      <c r="E4877" s="8"/>
      <c r="F4877" s="8"/>
    </row>
    <row r="4878" spans="4:6">
      <c r="D4878" s="8"/>
      <c r="E4878" s="8"/>
      <c r="F4878" s="8"/>
    </row>
    <row r="4879" spans="4:6">
      <c r="D4879" s="8"/>
      <c r="E4879" s="8"/>
      <c r="F4879" s="8"/>
    </row>
    <row r="4880" spans="4:6">
      <c r="D4880" s="8"/>
      <c r="E4880" s="8"/>
      <c r="F4880" s="8"/>
    </row>
    <row r="4881" spans="4:6">
      <c r="D4881" s="8"/>
      <c r="E4881" s="8"/>
      <c r="F4881" s="8"/>
    </row>
    <row r="4882" spans="4:6">
      <c r="D4882" s="8"/>
      <c r="E4882" s="8"/>
      <c r="F4882" s="8"/>
    </row>
    <row r="4883" spans="4:6">
      <c r="D4883" s="8"/>
      <c r="E4883" s="8"/>
      <c r="F4883" s="8"/>
    </row>
    <row r="4884" spans="4:6">
      <c r="D4884" s="8"/>
      <c r="E4884" s="8"/>
      <c r="F4884" s="8"/>
    </row>
    <row r="4885" spans="4:6">
      <c r="D4885" s="8"/>
      <c r="E4885" s="8"/>
      <c r="F4885" s="8"/>
    </row>
    <row r="4886" spans="4:6">
      <c r="D4886" s="8"/>
      <c r="E4886" s="8"/>
      <c r="F4886" s="8"/>
    </row>
    <row r="4887" spans="4:6">
      <c r="D4887" s="8"/>
      <c r="E4887" s="8"/>
      <c r="F4887" s="8"/>
    </row>
    <row r="4888" spans="4:6">
      <c r="D4888" s="8"/>
      <c r="E4888" s="8"/>
      <c r="F4888" s="8"/>
    </row>
    <row r="4889" spans="4:6">
      <c r="D4889" s="8"/>
      <c r="E4889" s="8"/>
      <c r="F4889" s="8"/>
    </row>
    <row r="4890" spans="4:6">
      <c r="D4890" s="8"/>
      <c r="E4890" s="8"/>
      <c r="F4890" s="8"/>
    </row>
    <row r="4891" spans="4:6">
      <c r="D4891" s="8"/>
      <c r="E4891" s="8"/>
      <c r="F4891" s="8"/>
    </row>
    <row r="4892" spans="4:6">
      <c r="D4892" s="8"/>
      <c r="E4892" s="8"/>
      <c r="F4892" s="8"/>
    </row>
    <row r="4893" spans="4:6">
      <c r="D4893" s="8"/>
      <c r="E4893" s="8"/>
      <c r="F4893" s="8"/>
    </row>
    <row r="4894" spans="4:6">
      <c r="D4894" s="8"/>
      <c r="E4894" s="8"/>
      <c r="F4894" s="8"/>
    </row>
    <row r="4895" spans="4:6">
      <c r="D4895" s="8"/>
      <c r="E4895" s="8"/>
      <c r="F4895" s="8"/>
    </row>
    <row r="4896" spans="4:6">
      <c r="D4896" s="8"/>
      <c r="E4896" s="8"/>
      <c r="F4896" s="8"/>
    </row>
    <row r="4897" spans="4:6">
      <c r="D4897" s="8"/>
      <c r="E4897" s="8"/>
      <c r="F4897" s="8"/>
    </row>
    <row r="4898" spans="4:6">
      <c r="D4898" s="8"/>
      <c r="E4898" s="8"/>
      <c r="F4898" s="8"/>
    </row>
    <row r="4899" spans="4:6">
      <c r="D4899" s="8"/>
      <c r="E4899" s="8"/>
      <c r="F4899" s="8"/>
    </row>
    <row r="4900" spans="4:6">
      <c r="D4900" s="8"/>
      <c r="E4900" s="8"/>
      <c r="F4900" s="8"/>
    </row>
    <row r="4901" spans="4:6">
      <c r="D4901" s="8"/>
      <c r="E4901" s="8"/>
      <c r="F4901" s="8"/>
    </row>
    <row r="4902" spans="4:6">
      <c r="D4902" s="8"/>
      <c r="E4902" s="8"/>
      <c r="F4902" s="8"/>
    </row>
    <row r="4903" spans="4:6">
      <c r="D4903" s="8"/>
      <c r="E4903" s="8"/>
      <c r="F4903" s="8"/>
    </row>
    <row r="4904" spans="4:6">
      <c r="D4904" s="8"/>
      <c r="E4904" s="8"/>
      <c r="F4904" s="8"/>
    </row>
    <row r="4905" spans="4:6">
      <c r="D4905" s="8"/>
      <c r="E4905" s="8"/>
      <c r="F4905" s="8"/>
    </row>
    <row r="4906" spans="4:6">
      <c r="D4906" s="8"/>
      <c r="E4906" s="8"/>
      <c r="F4906" s="8"/>
    </row>
    <row r="4907" spans="4:6">
      <c r="D4907" s="8"/>
      <c r="E4907" s="8"/>
      <c r="F4907" s="8"/>
    </row>
    <row r="4908" spans="4:6">
      <c r="D4908" s="8"/>
      <c r="E4908" s="8"/>
      <c r="F4908" s="8"/>
    </row>
    <row r="4909" spans="4:6">
      <c r="D4909" s="8"/>
      <c r="E4909" s="8"/>
      <c r="F4909" s="8"/>
    </row>
    <row r="4910" spans="4:6">
      <c r="D4910" s="8"/>
      <c r="E4910" s="8"/>
      <c r="F4910" s="8"/>
    </row>
    <row r="4911" spans="4:6">
      <c r="D4911" s="8"/>
      <c r="E4911" s="8"/>
      <c r="F4911" s="8"/>
    </row>
    <row r="4912" spans="4:6">
      <c r="D4912" s="8"/>
      <c r="E4912" s="8"/>
      <c r="F4912" s="8"/>
    </row>
    <row r="4913" spans="4:6">
      <c r="D4913" s="8"/>
      <c r="E4913" s="8"/>
      <c r="F4913" s="8"/>
    </row>
    <row r="4914" spans="4:6">
      <c r="D4914" s="8"/>
      <c r="E4914" s="8"/>
      <c r="F4914" s="8"/>
    </row>
    <row r="4915" spans="4:6">
      <c r="D4915" s="8"/>
      <c r="E4915" s="8"/>
      <c r="F4915" s="8"/>
    </row>
    <row r="4916" spans="4:6">
      <c r="D4916" s="8"/>
      <c r="E4916" s="8"/>
      <c r="F4916" s="8"/>
    </row>
    <row r="4917" spans="4:6">
      <c r="D4917" s="8"/>
      <c r="E4917" s="8"/>
      <c r="F4917" s="8"/>
    </row>
    <row r="4918" spans="4:6">
      <c r="D4918" s="8"/>
      <c r="E4918" s="8"/>
      <c r="F4918" s="8"/>
    </row>
    <row r="4919" spans="4:6">
      <c r="D4919" s="8"/>
      <c r="E4919" s="8"/>
      <c r="F4919" s="8"/>
    </row>
    <row r="4920" spans="4:6">
      <c r="D4920" s="8"/>
      <c r="E4920" s="8"/>
      <c r="F4920" s="8"/>
    </row>
    <row r="4921" spans="4:6">
      <c r="D4921" s="8"/>
      <c r="E4921" s="8"/>
      <c r="F4921" s="8"/>
    </row>
    <row r="4922" spans="4:6">
      <c r="D4922" s="8"/>
      <c r="E4922" s="8"/>
      <c r="F4922" s="8"/>
    </row>
    <row r="4923" spans="4:6">
      <c r="D4923" s="8"/>
      <c r="E4923" s="8"/>
      <c r="F4923" s="8"/>
    </row>
    <row r="4924" spans="4:6">
      <c r="D4924" s="8"/>
      <c r="E4924" s="8"/>
      <c r="F4924" s="8"/>
    </row>
    <row r="4925" spans="4:6">
      <c r="D4925" s="8"/>
      <c r="E4925" s="8"/>
      <c r="F4925" s="8"/>
    </row>
    <row r="4926" spans="4:6">
      <c r="D4926" s="8"/>
      <c r="E4926" s="8"/>
      <c r="F4926" s="8"/>
    </row>
    <row r="4927" spans="4:6">
      <c r="D4927" s="8"/>
      <c r="E4927" s="8"/>
      <c r="F4927" s="8"/>
    </row>
    <row r="4928" spans="4:6">
      <c r="D4928" s="8"/>
      <c r="E4928" s="8"/>
      <c r="F4928" s="8"/>
    </row>
    <row r="4929" spans="4:6">
      <c r="D4929" s="8"/>
      <c r="E4929" s="8"/>
      <c r="F4929" s="8"/>
    </row>
    <row r="4930" spans="4:6">
      <c r="D4930" s="8"/>
      <c r="E4930" s="8"/>
      <c r="F4930" s="8"/>
    </row>
    <row r="4931" spans="4:6">
      <c r="D4931" s="8"/>
      <c r="E4931" s="8"/>
      <c r="F4931" s="8"/>
    </row>
    <row r="4932" spans="4:6">
      <c r="D4932" s="8"/>
      <c r="E4932" s="8"/>
      <c r="F4932" s="8"/>
    </row>
    <row r="4933" spans="4:6">
      <c r="D4933" s="8"/>
      <c r="E4933" s="8"/>
      <c r="F4933" s="8"/>
    </row>
    <row r="4934" spans="4:6">
      <c r="D4934" s="8"/>
      <c r="E4934" s="8"/>
      <c r="F4934" s="8"/>
    </row>
    <row r="4935" spans="4:6">
      <c r="D4935" s="8"/>
      <c r="E4935" s="8"/>
      <c r="F4935" s="8"/>
    </row>
    <row r="4936" spans="4:6">
      <c r="D4936" s="8"/>
      <c r="E4936" s="8"/>
      <c r="F4936" s="8"/>
    </row>
    <row r="4937" spans="4:6">
      <c r="D4937" s="8"/>
      <c r="E4937" s="8"/>
      <c r="F4937" s="8"/>
    </row>
    <row r="4938" spans="4:6">
      <c r="D4938" s="8"/>
      <c r="E4938" s="8"/>
      <c r="F4938" s="8"/>
    </row>
    <row r="4939" spans="4:6">
      <c r="D4939" s="8"/>
      <c r="E4939" s="8"/>
      <c r="F4939" s="8"/>
    </row>
    <row r="4940" spans="4:6">
      <c r="D4940" s="8"/>
      <c r="E4940" s="8"/>
      <c r="F4940" s="8"/>
    </row>
    <row r="4941" spans="4:6">
      <c r="D4941" s="8"/>
      <c r="E4941" s="8"/>
      <c r="F4941" s="8"/>
    </row>
    <row r="4942" spans="4:6">
      <c r="D4942" s="8"/>
      <c r="E4942" s="8"/>
      <c r="F4942" s="8"/>
    </row>
    <row r="4943" spans="4:6">
      <c r="D4943" s="8"/>
      <c r="E4943" s="8"/>
      <c r="F4943" s="8"/>
    </row>
    <row r="4944" spans="4:6">
      <c r="D4944" s="8"/>
      <c r="E4944" s="8"/>
      <c r="F4944" s="8"/>
    </row>
    <row r="4945" spans="4:6">
      <c r="D4945" s="8"/>
      <c r="E4945" s="8"/>
      <c r="F4945" s="8"/>
    </row>
    <row r="4946" spans="4:6">
      <c r="D4946" s="8"/>
      <c r="E4946" s="8"/>
      <c r="F4946" s="8"/>
    </row>
    <row r="4947" spans="4:6">
      <c r="D4947" s="8"/>
      <c r="E4947" s="8"/>
      <c r="F4947" s="8"/>
    </row>
    <row r="4948" spans="4:6">
      <c r="D4948" s="8"/>
      <c r="E4948" s="8"/>
      <c r="F4948" s="8"/>
    </row>
    <row r="4949" spans="4:6">
      <c r="D4949" s="8"/>
      <c r="E4949" s="8"/>
      <c r="F4949" s="8"/>
    </row>
    <row r="4950" spans="4:6">
      <c r="D4950" s="8"/>
      <c r="E4950" s="8"/>
      <c r="F4950" s="8"/>
    </row>
    <row r="4951" spans="4:6">
      <c r="D4951" s="8"/>
      <c r="E4951" s="8"/>
      <c r="F4951" s="8"/>
    </row>
    <row r="4952" spans="4:6">
      <c r="D4952" s="8"/>
      <c r="E4952" s="8"/>
      <c r="F4952" s="8"/>
    </row>
    <row r="4953" spans="4:6">
      <c r="D4953" s="8"/>
      <c r="E4953" s="8"/>
      <c r="F4953" s="8"/>
    </row>
    <row r="4954" spans="4:6">
      <c r="D4954" s="8"/>
      <c r="E4954" s="8"/>
      <c r="F4954" s="8"/>
    </row>
    <row r="4955" spans="4:6">
      <c r="D4955" s="8"/>
      <c r="E4955" s="8"/>
      <c r="F4955" s="8"/>
    </row>
    <row r="4956" spans="4:6">
      <c r="D4956" s="8"/>
      <c r="E4956" s="8"/>
      <c r="F4956" s="8"/>
    </row>
    <row r="4957" spans="4:6">
      <c r="D4957" s="8"/>
      <c r="E4957" s="8"/>
      <c r="F4957" s="8"/>
    </row>
    <row r="4958" spans="4:6">
      <c r="D4958" s="8"/>
      <c r="E4958" s="8"/>
      <c r="F4958" s="8"/>
    </row>
    <row r="4959" spans="4:6">
      <c r="D4959" s="8"/>
      <c r="E4959" s="8"/>
      <c r="F4959" s="8"/>
    </row>
    <row r="4960" spans="4:6">
      <c r="D4960" s="8"/>
      <c r="E4960" s="8"/>
      <c r="F4960" s="8"/>
    </row>
    <row r="4961" spans="4:6">
      <c r="D4961" s="8"/>
      <c r="E4961" s="8"/>
      <c r="F4961" s="8"/>
    </row>
    <row r="4962" spans="4:6">
      <c r="D4962" s="8"/>
      <c r="E4962" s="8"/>
      <c r="F4962" s="8"/>
    </row>
    <row r="4963" spans="4:6">
      <c r="D4963" s="8"/>
      <c r="E4963" s="8"/>
      <c r="F4963" s="8"/>
    </row>
    <row r="4964" spans="4:6">
      <c r="D4964" s="8"/>
      <c r="E4964" s="8"/>
      <c r="F4964" s="8"/>
    </row>
    <row r="4965" spans="4:6">
      <c r="D4965" s="8"/>
      <c r="E4965" s="8"/>
      <c r="F4965" s="8"/>
    </row>
    <row r="4966" spans="4:6">
      <c r="D4966" s="8"/>
      <c r="E4966" s="8"/>
      <c r="F4966" s="8"/>
    </row>
    <row r="4967" spans="4:6">
      <c r="D4967" s="8"/>
      <c r="E4967" s="8"/>
      <c r="F4967" s="8"/>
    </row>
    <row r="4968" spans="4:6">
      <c r="D4968" s="8"/>
      <c r="E4968" s="8"/>
      <c r="F4968" s="8"/>
    </row>
    <row r="4969" spans="4:6">
      <c r="D4969" s="8"/>
      <c r="E4969" s="8"/>
      <c r="F4969" s="8"/>
    </row>
    <row r="4970" spans="4:6">
      <c r="D4970" s="8"/>
      <c r="E4970" s="8"/>
      <c r="F4970" s="8"/>
    </row>
    <row r="4971" spans="4:6">
      <c r="D4971" s="8"/>
      <c r="E4971" s="8"/>
      <c r="F4971" s="8"/>
    </row>
    <row r="4972" spans="4:6">
      <c r="D4972" s="8"/>
      <c r="E4972" s="8"/>
      <c r="F4972" s="8"/>
    </row>
    <row r="4973" spans="4:6">
      <c r="D4973" s="8"/>
      <c r="E4973" s="8"/>
      <c r="F4973" s="8"/>
    </row>
    <row r="4974" spans="4:6">
      <c r="D4974" s="8"/>
      <c r="E4974" s="8"/>
      <c r="F4974" s="8"/>
    </row>
    <row r="4975" spans="4:6">
      <c r="D4975" s="8"/>
      <c r="E4975" s="8"/>
      <c r="F4975" s="8"/>
    </row>
    <row r="4976" spans="4:6">
      <c r="D4976" s="8"/>
      <c r="E4976" s="8"/>
      <c r="F4976" s="8"/>
    </row>
    <row r="4977" spans="4:6">
      <c r="D4977" s="8"/>
      <c r="E4977" s="8"/>
      <c r="F4977" s="8"/>
    </row>
    <row r="4978" spans="4:6">
      <c r="D4978" s="8"/>
      <c r="E4978" s="8"/>
      <c r="F4978" s="8"/>
    </row>
    <row r="4979" spans="4:6">
      <c r="D4979" s="8"/>
      <c r="E4979" s="8"/>
      <c r="F4979" s="8"/>
    </row>
    <row r="4980" spans="4:6">
      <c r="D4980" s="8"/>
      <c r="E4980" s="8"/>
      <c r="F4980" s="8"/>
    </row>
    <row r="4981" spans="4:6">
      <c r="D4981" s="8"/>
      <c r="E4981" s="8"/>
      <c r="F4981" s="8"/>
    </row>
    <row r="4982" spans="4:6">
      <c r="D4982" s="8"/>
      <c r="E4982" s="8"/>
      <c r="F4982" s="8"/>
    </row>
    <row r="4983" spans="4:6">
      <c r="D4983" s="8"/>
      <c r="E4983" s="8"/>
      <c r="F4983" s="8"/>
    </row>
    <row r="4984" spans="4:6">
      <c r="D4984" s="8"/>
      <c r="E4984" s="8"/>
      <c r="F4984" s="8"/>
    </row>
    <row r="4985" spans="4:6">
      <c r="D4985" s="8"/>
      <c r="E4985" s="8"/>
      <c r="F4985" s="8"/>
    </row>
    <row r="4986" spans="4:6">
      <c r="D4986" s="8"/>
      <c r="E4986" s="8"/>
      <c r="F4986" s="8"/>
    </row>
    <row r="4987" spans="4:6">
      <c r="D4987" s="8"/>
      <c r="E4987" s="8"/>
      <c r="F4987" s="8"/>
    </row>
    <row r="4988" spans="4:6">
      <c r="D4988" s="8"/>
      <c r="E4988" s="8"/>
      <c r="F4988" s="8"/>
    </row>
    <row r="4989" spans="4:6">
      <c r="D4989" s="8"/>
      <c r="E4989" s="8"/>
      <c r="F4989" s="8"/>
    </row>
    <row r="4990" spans="4:6">
      <c r="D4990" s="8"/>
      <c r="E4990" s="8"/>
      <c r="F4990" s="8"/>
    </row>
    <row r="4991" spans="4:6">
      <c r="D4991" s="8"/>
      <c r="E4991" s="8"/>
      <c r="F4991" s="8"/>
    </row>
    <row r="4992" spans="4:6">
      <c r="D4992" s="8"/>
      <c r="E4992" s="8"/>
      <c r="F4992" s="8"/>
    </row>
    <row r="4993" spans="4:6">
      <c r="D4993" s="8"/>
      <c r="E4993" s="8"/>
      <c r="F4993" s="8"/>
    </row>
    <row r="4994" spans="4:6">
      <c r="D4994" s="8"/>
      <c r="E4994" s="8"/>
      <c r="F4994" s="8"/>
    </row>
    <row r="4995" spans="4:6">
      <c r="D4995" s="8"/>
      <c r="E4995" s="8"/>
      <c r="F4995" s="8"/>
    </row>
    <row r="4996" spans="4:6">
      <c r="D4996" s="8"/>
      <c r="E4996" s="8"/>
      <c r="F4996" s="8"/>
    </row>
    <row r="4997" spans="4:6">
      <c r="D4997" s="8"/>
      <c r="E4997" s="8"/>
      <c r="F4997" s="8"/>
    </row>
    <row r="4998" spans="4:6">
      <c r="D4998" s="8"/>
      <c r="E4998" s="8"/>
      <c r="F4998" s="8"/>
    </row>
    <row r="4999" spans="4:6">
      <c r="D4999" s="8"/>
      <c r="E4999" s="8"/>
      <c r="F4999" s="8"/>
    </row>
    <row r="5000" spans="4:6">
      <c r="D5000" s="8"/>
      <c r="E5000" s="8"/>
      <c r="F5000" s="8"/>
    </row>
    <row r="5001" spans="4:6">
      <c r="D5001" s="8"/>
      <c r="E5001" s="8"/>
      <c r="F5001" s="8"/>
    </row>
    <row r="5002" spans="4:6">
      <c r="D5002" s="8"/>
      <c r="E5002" s="8"/>
      <c r="F5002" s="8"/>
    </row>
    <row r="5003" spans="4:6">
      <c r="D5003" s="8"/>
      <c r="E5003" s="8"/>
      <c r="F5003" s="8"/>
    </row>
    <row r="5004" spans="4:6">
      <c r="D5004" s="8"/>
      <c r="E5004" s="8"/>
      <c r="F5004" s="8"/>
    </row>
    <row r="5005" spans="4:6">
      <c r="D5005" s="8"/>
      <c r="E5005" s="8"/>
      <c r="F5005" s="8"/>
    </row>
    <row r="5006" spans="4:6">
      <c r="D5006" s="8"/>
      <c r="E5006" s="8"/>
      <c r="F5006" s="8"/>
    </row>
    <row r="5007" spans="4:6">
      <c r="D5007" s="8"/>
      <c r="E5007" s="8"/>
      <c r="F5007" s="8"/>
    </row>
    <row r="5008" spans="4:6">
      <c r="D5008" s="8"/>
      <c r="E5008" s="8"/>
      <c r="F5008" s="8"/>
    </row>
    <row r="5009" spans="4:6">
      <c r="D5009" s="8"/>
      <c r="E5009" s="8"/>
      <c r="F5009" s="8"/>
    </row>
    <row r="5010" spans="4:6">
      <c r="D5010" s="8"/>
      <c r="E5010" s="8"/>
      <c r="F5010" s="8"/>
    </row>
    <row r="5011" spans="4:6">
      <c r="D5011" s="8"/>
      <c r="E5011" s="8"/>
      <c r="F5011" s="8"/>
    </row>
    <row r="5012" spans="4:6">
      <c r="D5012" s="8"/>
      <c r="E5012" s="8"/>
      <c r="F5012" s="8"/>
    </row>
    <row r="5013" spans="4:6">
      <c r="D5013" s="8"/>
      <c r="E5013" s="8"/>
      <c r="F5013" s="8"/>
    </row>
    <row r="5014" spans="4:6">
      <c r="D5014" s="8"/>
      <c r="E5014" s="8"/>
      <c r="F5014" s="8"/>
    </row>
    <row r="5015" spans="4:6">
      <c r="D5015" s="8"/>
      <c r="E5015" s="8"/>
      <c r="F5015" s="8"/>
    </row>
    <row r="5016" spans="4:6">
      <c r="D5016" s="8"/>
      <c r="E5016" s="8"/>
      <c r="F5016" s="8"/>
    </row>
    <row r="5017" spans="4:6">
      <c r="D5017" s="8"/>
      <c r="E5017" s="8"/>
      <c r="F5017" s="8"/>
    </row>
    <row r="5018" spans="4:6">
      <c r="D5018" s="8"/>
      <c r="E5018" s="8"/>
      <c r="F5018" s="8"/>
    </row>
    <row r="5019" spans="4:6">
      <c r="D5019" s="8"/>
      <c r="E5019" s="8"/>
      <c r="F5019" s="8"/>
    </row>
    <row r="5020" spans="4:6">
      <c r="D5020" s="8"/>
      <c r="E5020" s="8"/>
      <c r="F5020" s="8"/>
    </row>
    <row r="5021" spans="4:6">
      <c r="D5021" s="8"/>
      <c r="E5021" s="8"/>
      <c r="F5021" s="8"/>
    </row>
    <row r="5022" spans="4:6">
      <c r="D5022" s="8"/>
      <c r="E5022" s="8"/>
      <c r="F5022" s="8"/>
    </row>
    <row r="5023" spans="4:6">
      <c r="D5023" s="8"/>
      <c r="E5023" s="8"/>
      <c r="F5023" s="8"/>
    </row>
    <row r="5024" spans="4:6">
      <c r="D5024" s="8"/>
      <c r="E5024" s="8"/>
      <c r="F5024" s="8"/>
    </row>
    <row r="5025" spans="4:6">
      <c r="D5025" s="8"/>
      <c r="E5025" s="8"/>
      <c r="F5025" s="8"/>
    </row>
    <row r="5026" spans="4:6">
      <c r="D5026" s="8"/>
      <c r="E5026" s="8"/>
      <c r="F5026" s="8"/>
    </row>
    <row r="5027" spans="4:6">
      <c r="D5027" s="8"/>
      <c r="E5027" s="8"/>
      <c r="F5027" s="8"/>
    </row>
    <row r="5028" spans="4:6">
      <c r="D5028" s="8"/>
      <c r="E5028" s="8"/>
      <c r="F5028" s="8"/>
    </row>
    <row r="5029" spans="4:6">
      <c r="D5029" s="8"/>
      <c r="E5029" s="8"/>
      <c r="F5029" s="8"/>
    </row>
    <row r="5030" spans="4:6">
      <c r="D5030" s="8"/>
      <c r="E5030" s="8"/>
      <c r="F5030" s="8"/>
    </row>
    <row r="5031" spans="4:6">
      <c r="D5031" s="8"/>
      <c r="E5031" s="8"/>
      <c r="F5031" s="8"/>
    </row>
    <row r="5032" spans="4:6">
      <c r="D5032" s="8"/>
      <c r="E5032" s="8"/>
      <c r="F5032" s="8"/>
    </row>
    <row r="5033" spans="4:6">
      <c r="D5033" s="8"/>
      <c r="E5033" s="8"/>
      <c r="F5033" s="8"/>
    </row>
    <row r="5034" spans="4:6">
      <c r="D5034" s="8"/>
      <c r="E5034" s="8"/>
      <c r="F5034" s="8"/>
    </row>
    <row r="5035" spans="4:6">
      <c r="D5035" s="8"/>
      <c r="E5035" s="8"/>
      <c r="F5035" s="8"/>
    </row>
    <row r="5036" spans="4:6">
      <c r="D5036" s="8"/>
      <c r="E5036" s="8"/>
      <c r="F5036" s="8"/>
    </row>
    <row r="5037" spans="4:6">
      <c r="D5037" s="8"/>
      <c r="E5037" s="8"/>
      <c r="F5037" s="8"/>
    </row>
    <row r="5038" spans="4:6">
      <c r="D5038" s="8"/>
      <c r="E5038" s="8"/>
      <c r="F5038" s="8"/>
    </row>
    <row r="5039" spans="4:6">
      <c r="D5039" s="8"/>
      <c r="E5039" s="8"/>
      <c r="F5039" s="8"/>
    </row>
    <row r="5040" spans="4:6">
      <c r="D5040" s="8"/>
      <c r="E5040" s="8"/>
      <c r="F5040" s="8"/>
    </row>
    <row r="5041" spans="4:6">
      <c r="D5041" s="8"/>
      <c r="E5041" s="8"/>
      <c r="F5041" s="8"/>
    </row>
    <row r="5042" spans="4:6">
      <c r="D5042" s="8"/>
      <c r="E5042" s="8"/>
      <c r="F5042" s="8"/>
    </row>
    <row r="5043" spans="4:6">
      <c r="D5043" s="8"/>
      <c r="E5043" s="8"/>
      <c r="F5043" s="8"/>
    </row>
    <row r="5044" spans="4:6">
      <c r="D5044" s="8"/>
      <c r="E5044" s="8"/>
      <c r="F5044" s="8"/>
    </row>
    <row r="5045" spans="4:6">
      <c r="D5045" s="8"/>
      <c r="E5045" s="8"/>
      <c r="F5045" s="8"/>
    </row>
    <row r="5046" spans="4:6">
      <c r="D5046" s="8"/>
      <c r="E5046" s="8"/>
      <c r="F5046" s="8"/>
    </row>
    <row r="5047" spans="4:6">
      <c r="D5047" s="8"/>
      <c r="E5047" s="8"/>
      <c r="F5047" s="8"/>
    </row>
    <row r="5048" spans="4:6">
      <c r="D5048" s="8"/>
      <c r="E5048" s="8"/>
      <c r="F5048" s="8"/>
    </row>
    <row r="5049" spans="4:6">
      <c r="D5049" s="8"/>
      <c r="E5049" s="8"/>
      <c r="F5049" s="8"/>
    </row>
    <row r="5050" spans="4:6">
      <c r="D5050" s="8"/>
      <c r="E5050" s="8"/>
      <c r="F5050" s="8"/>
    </row>
    <row r="5051" spans="4:6">
      <c r="D5051" s="8"/>
      <c r="E5051" s="8"/>
      <c r="F5051" s="8"/>
    </row>
    <row r="5052" spans="4:6">
      <c r="D5052" s="8"/>
      <c r="E5052" s="8"/>
      <c r="F5052" s="8"/>
    </row>
    <row r="5053" spans="4:6">
      <c r="D5053" s="8"/>
      <c r="E5053" s="8"/>
      <c r="F5053" s="8"/>
    </row>
    <row r="5054" spans="4:6">
      <c r="D5054" s="8"/>
      <c r="E5054" s="8"/>
      <c r="F5054" s="8"/>
    </row>
    <row r="5055" spans="4:6">
      <c r="D5055" s="8"/>
      <c r="E5055" s="8"/>
      <c r="F5055" s="8"/>
    </row>
    <row r="5056" spans="4:6">
      <c r="D5056" s="8"/>
      <c r="E5056" s="8"/>
      <c r="F5056" s="8"/>
    </row>
    <row r="5057" spans="4:6">
      <c r="D5057" s="8"/>
      <c r="E5057" s="8"/>
      <c r="F5057" s="8"/>
    </row>
    <row r="5058" spans="4:6">
      <c r="D5058" s="8"/>
      <c r="E5058" s="8"/>
      <c r="F5058" s="8"/>
    </row>
    <row r="5059" spans="4:6">
      <c r="D5059" s="8"/>
      <c r="E5059" s="8"/>
      <c r="F5059" s="8"/>
    </row>
    <row r="5060" spans="4:6">
      <c r="D5060" s="8"/>
      <c r="E5060" s="8"/>
      <c r="F5060" s="8"/>
    </row>
    <row r="5061" spans="4:6">
      <c r="D5061" s="8"/>
      <c r="E5061" s="8"/>
      <c r="F5061" s="8"/>
    </row>
    <row r="5062" spans="4:6">
      <c r="D5062" s="8"/>
      <c r="E5062" s="8"/>
      <c r="F5062" s="8"/>
    </row>
    <row r="5063" spans="4:6">
      <c r="D5063" s="8"/>
      <c r="E5063" s="8"/>
      <c r="F5063" s="8"/>
    </row>
    <row r="5064" spans="4:6">
      <c r="D5064" s="8"/>
      <c r="E5064" s="8"/>
      <c r="F5064" s="8"/>
    </row>
    <row r="5065" spans="4:6">
      <c r="D5065" s="8"/>
      <c r="E5065" s="8"/>
      <c r="F5065" s="8"/>
    </row>
    <row r="5066" spans="4:6">
      <c r="D5066" s="8"/>
      <c r="E5066" s="8"/>
      <c r="F5066" s="8"/>
    </row>
    <row r="5067" spans="4:6">
      <c r="D5067" s="8"/>
      <c r="E5067" s="8"/>
      <c r="F5067" s="8"/>
    </row>
    <row r="5068" spans="4:6">
      <c r="D5068" s="8"/>
      <c r="E5068" s="8"/>
      <c r="F5068" s="8"/>
    </row>
    <row r="5069" spans="4:6">
      <c r="D5069" s="8"/>
      <c r="E5069" s="8"/>
      <c r="F5069" s="8"/>
    </row>
    <row r="5070" spans="4:6">
      <c r="D5070" s="8"/>
      <c r="E5070" s="8"/>
      <c r="F5070" s="8"/>
    </row>
    <row r="5071" spans="4:6">
      <c r="D5071" s="8"/>
      <c r="E5071" s="8"/>
      <c r="F5071" s="8"/>
    </row>
    <row r="5072" spans="4:6">
      <c r="D5072" s="8"/>
      <c r="E5072" s="8"/>
      <c r="F5072" s="8"/>
    </row>
    <row r="5073" spans="4:6">
      <c r="D5073" s="8"/>
      <c r="E5073" s="8"/>
      <c r="F5073" s="8"/>
    </row>
    <row r="5074" spans="4:6">
      <c r="D5074" s="8"/>
      <c r="E5074" s="8"/>
      <c r="F5074" s="8"/>
    </row>
    <row r="5075" spans="4:6">
      <c r="D5075" s="8"/>
      <c r="E5075" s="8"/>
      <c r="F5075" s="8"/>
    </row>
    <row r="5076" spans="4:6">
      <c r="D5076" s="8"/>
      <c r="E5076" s="8"/>
      <c r="F5076" s="8"/>
    </row>
    <row r="5077" spans="4:6">
      <c r="D5077" s="8"/>
      <c r="E5077" s="8"/>
      <c r="F5077" s="8"/>
    </row>
    <row r="5078" spans="4:6">
      <c r="D5078" s="8"/>
      <c r="E5078" s="8"/>
      <c r="F5078" s="8"/>
    </row>
    <row r="5079" spans="4:6">
      <c r="D5079" s="8"/>
      <c r="E5079" s="8"/>
      <c r="F5079" s="8"/>
    </row>
    <row r="5080" spans="4:6">
      <c r="D5080" s="8"/>
      <c r="E5080" s="8"/>
      <c r="F5080" s="8"/>
    </row>
    <row r="5081" spans="4:6">
      <c r="D5081" s="8"/>
      <c r="E5081" s="8"/>
      <c r="F5081" s="8"/>
    </row>
    <row r="5082" spans="4:6">
      <c r="D5082" s="8"/>
      <c r="E5082" s="8"/>
      <c r="F5082" s="8"/>
    </row>
    <row r="5083" spans="4:6">
      <c r="D5083" s="8"/>
      <c r="E5083" s="8"/>
      <c r="F5083" s="8"/>
    </row>
    <row r="5084" spans="4:6">
      <c r="D5084" s="8"/>
      <c r="E5084" s="8"/>
      <c r="F5084" s="8"/>
    </row>
    <row r="5085" spans="4:6">
      <c r="D5085" s="8"/>
      <c r="E5085" s="8"/>
      <c r="F5085" s="8"/>
    </row>
    <row r="5086" spans="4:6">
      <c r="D5086" s="8"/>
      <c r="E5086" s="8"/>
      <c r="F5086" s="8"/>
    </row>
    <row r="5087" spans="4:6">
      <c r="D5087" s="8"/>
      <c r="E5087" s="8"/>
      <c r="F5087" s="8"/>
    </row>
    <row r="5088" spans="4:6">
      <c r="D5088" s="8"/>
      <c r="E5088" s="8"/>
      <c r="F5088" s="8"/>
    </row>
    <row r="5089" spans="4:6">
      <c r="D5089" s="8"/>
      <c r="E5089" s="8"/>
      <c r="F5089" s="8"/>
    </row>
    <row r="5090" spans="4:6">
      <c r="D5090" s="8"/>
      <c r="E5090" s="8"/>
      <c r="F5090" s="8"/>
    </row>
    <row r="5091" spans="4:6">
      <c r="D5091" s="8"/>
      <c r="E5091" s="8"/>
      <c r="F5091" s="8"/>
    </row>
    <row r="5092" spans="4:6">
      <c r="D5092" s="8"/>
      <c r="E5092" s="8"/>
      <c r="F5092" s="8"/>
    </row>
    <row r="5093" spans="4:6">
      <c r="D5093" s="8"/>
      <c r="E5093" s="8"/>
      <c r="F5093" s="8"/>
    </row>
    <row r="5094" spans="4:6">
      <c r="D5094" s="8"/>
      <c r="E5094" s="8"/>
      <c r="F5094" s="8"/>
    </row>
    <row r="5095" spans="4:6">
      <c r="D5095" s="8"/>
      <c r="E5095" s="8"/>
      <c r="F5095" s="8"/>
    </row>
    <row r="5096" spans="4:6">
      <c r="D5096" s="8"/>
      <c r="E5096" s="8"/>
      <c r="F5096" s="8"/>
    </row>
    <row r="5097" spans="4:6">
      <c r="D5097" s="8"/>
      <c r="E5097" s="8"/>
      <c r="F5097" s="8"/>
    </row>
    <row r="5098" spans="4:6">
      <c r="D5098" s="8"/>
      <c r="E5098" s="8"/>
      <c r="F5098" s="8"/>
    </row>
    <row r="5099" spans="4:6">
      <c r="D5099" s="8"/>
      <c r="E5099" s="8"/>
      <c r="F5099" s="8"/>
    </row>
    <row r="5100" spans="4:6">
      <c r="D5100" s="8"/>
      <c r="E5100" s="8"/>
      <c r="F5100" s="8"/>
    </row>
    <row r="5101" spans="4:6">
      <c r="D5101" s="8"/>
      <c r="E5101" s="8"/>
      <c r="F5101" s="8"/>
    </row>
    <row r="5102" spans="4:6">
      <c r="D5102" s="8"/>
      <c r="E5102" s="8"/>
      <c r="F5102" s="8"/>
    </row>
    <row r="5103" spans="4:6">
      <c r="D5103" s="8"/>
      <c r="E5103" s="8"/>
      <c r="F5103" s="8"/>
    </row>
    <row r="5104" spans="4:6">
      <c r="D5104" s="8"/>
      <c r="E5104" s="8"/>
      <c r="F5104" s="8"/>
    </row>
    <row r="5105" spans="4:6">
      <c r="D5105" s="8"/>
      <c r="E5105" s="8"/>
      <c r="F5105" s="8"/>
    </row>
    <row r="5106" spans="4:6">
      <c r="D5106" s="8"/>
      <c r="E5106" s="8"/>
      <c r="F5106" s="8"/>
    </row>
    <row r="5107" spans="4:6">
      <c r="D5107" s="8"/>
      <c r="E5107" s="8"/>
      <c r="F5107" s="8"/>
    </row>
    <row r="5108" spans="4:6">
      <c r="D5108" s="8"/>
      <c r="E5108" s="8"/>
      <c r="F5108" s="8"/>
    </row>
    <row r="5109" spans="4:6">
      <c r="D5109" s="8"/>
      <c r="E5109" s="8"/>
      <c r="F5109" s="8"/>
    </row>
    <row r="5110" spans="4:6">
      <c r="D5110" s="8"/>
      <c r="E5110" s="8"/>
      <c r="F5110" s="8"/>
    </row>
    <row r="5111" spans="4:6">
      <c r="D5111" s="8"/>
      <c r="E5111" s="8"/>
      <c r="F5111" s="8"/>
    </row>
    <row r="5112" spans="4:6">
      <c r="D5112" s="8"/>
      <c r="E5112" s="8"/>
      <c r="F5112" s="8"/>
    </row>
    <row r="5113" spans="4:6">
      <c r="D5113" s="8"/>
      <c r="E5113" s="8"/>
      <c r="F5113" s="8"/>
    </row>
    <row r="5114" spans="4:6">
      <c r="D5114" s="8"/>
      <c r="E5114" s="8"/>
      <c r="F5114" s="8"/>
    </row>
    <row r="5115" spans="4:6">
      <c r="D5115" s="8"/>
      <c r="E5115" s="8"/>
      <c r="F5115" s="8"/>
    </row>
    <row r="5116" spans="4:6">
      <c r="D5116" s="8"/>
      <c r="E5116" s="8"/>
      <c r="F5116" s="8"/>
    </row>
    <row r="5117" spans="4:6">
      <c r="D5117" s="8"/>
      <c r="E5117" s="8"/>
      <c r="F5117" s="8"/>
    </row>
    <row r="5118" spans="4:6">
      <c r="D5118" s="8"/>
      <c r="E5118" s="8"/>
      <c r="F5118" s="8"/>
    </row>
    <row r="5119" spans="4:6">
      <c r="D5119" s="8"/>
      <c r="E5119" s="8"/>
      <c r="F5119" s="8"/>
    </row>
    <row r="5120" spans="4:6">
      <c r="D5120" s="8"/>
      <c r="E5120" s="8"/>
      <c r="F5120" s="8"/>
    </row>
    <row r="5121" spans="4:6">
      <c r="D5121" s="8"/>
      <c r="E5121" s="8"/>
      <c r="F5121" s="8"/>
    </row>
    <row r="5122" spans="4:6">
      <c r="D5122" s="8"/>
      <c r="E5122" s="8"/>
      <c r="F5122" s="8"/>
    </row>
    <row r="5123" spans="4:6">
      <c r="D5123" s="8"/>
      <c r="E5123" s="8"/>
      <c r="F5123" s="8"/>
    </row>
    <row r="5124" spans="4:6">
      <c r="D5124" s="8"/>
      <c r="E5124" s="8"/>
      <c r="F5124" s="8"/>
    </row>
    <row r="5125" spans="4:6">
      <c r="D5125" s="8"/>
      <c r="E5125" s="8"/>
      <c r="F5125" s="8"/>
    </row>
    <row r="5126" spans="4:6">
      <c r="D5126" s="8"/>
      <c r="E5126" s="8"/>
      <c r="F5126" s="8"/>
    </row>
    <row r="5127" spans="4:6">
      <c r="D5127" s="8"/>
      <c r="E5127" s="8"/>
      <c r="F5127" s="8"/>
    </row>
    <row r="5128" spans="4:6">
      <c r="D5128" s="8"/>
      <c r="E5128" s="8"/>
      <c r="F5128" s="8"/>
    </row>
    <row r="5129" spans="4:6">
      <c r="D5129" s="8"/>
      <c r="E5129" s="8"/>
      <c r="F5129" s="8"/>
    </row>
    <row r="5130" spans="4:6">
      <c r="D5130" s="8"/>
      <c r="E5130" s="8"/>
      <c r="F5130" s="8"/>
    </row>
    <row r="5131" spans="4:6">
      <c r="D5131" s="8"/>
      <c r="E5131" s="8"/>
      <c r="F5131" s="8"/>
    </row>
    <row r="5132" spans="4:6">
      <c r="D5132" s="8"/>
      <c r="E5132" s="8"/>
      <c r="F5132" s="8"/>
    </row>
    <row r="5133" spans="4:6">
      <c r="D5133" s="8"/>
      <c r="E5133" s="8"/>
      <c r="F5133" s="8"/>
    </row>
    <row r="5134" spans="4:6">
      <c r="D5134" s="8"/>
      <c r="E5134" s="8"/>
      <c r="F5134" s="8"/>
    </row>
    <row r="5135" spans="4:6">
      <c r="D5135" s="8"/>
      <c r="E5135" s="8"/>
      <c r="F5135" s="8"/>
    </row>
    <row r="5136" spans="4:6">
      <c r="D5136" s="8"/>
      <c r="E5136" s="8"/>
      <c r="F5136" s="8"/>
    </row>
    <row r="5137" spans="4:6">
      <c r="D5137" s="8"/>
      <c r="E5137" s="8"/>
      <c r="F5137" s="8"/>
    </row>
    <row r="5138" spans="4:6">
      <c r="D5138" s="8"/>
      <c r="E5138" s="8"/>
      <c r="F5138" s="8"/>
    </row>
    <row r="5139" spans="4:6">
      <c r="D5139" s="8"/>
      <c r="E5139" s="8"/>
      <c r="F5139" s="8"/>
    </row>
    <row r="5140" spans="4:6">
      <c r="D5140" s="8"/>
      <c r="E5140" s="8"/>
      <c r="F5140" s="8"/>
    </row>
    <row r="5141" spans="4:6">
      <c r="D5141" s="8"/>
      <c r="E5141" s="8"/>
      <c r="F5141" s="8"/>
    </row>
    <row r="5142" spans="4:6">
      <c r="D5142" s="8"/>
      <c r="E5142" s="8"/>
      <c r="F5142" s="8"/>
    </row>
    <row r="5143" spans="4:6">
      <c r="D5143" s="8"/>
      <c r="E5143" s="8"/>
      <c r="F5143" s="8"/>
    </row>
    <row r="5144" spans="4:6">
      <c r="D5144" s="8"/>
      <c r="E5144" s="8"/>
      <c r="F5144" s="8"/>
    </row>
    <row r="5145" spans="4:6">
      <c r="D5145" s="8"/>
      <c r="E5145" s="8"/>
      <c r="F5145" s="8"/>
    </row>
    <row r="5146" spans="4:6">
      <c r="D5146" s="8"/>
      <c r="E5146" s="8"/>
      <c r="F5146" s="8"/>
    </row>
    <row r="5147" spans="4:6">
      <c r="D5147" s="8"/>
      <c r="E5147" s="8"/>
      <c r="F5147" s="8"/>
    </row>
    <row r="5148" spans="4:6">
      <c r="D5148" s="8"/>
      <c r="E5148" s="8"/>
      <c r="F5148" s="8"/>
    </row>
    <row r="5149" spans="4:6">
      <c r="D5149" s="8"/>
      <c r="E5149" s="8"/>
      <c r="F5149" s="8"/>
    </row>
    <row r="5150" spans="4:6">
      <c r="D5150" s="8"/>
      <c r="E5150" s="8"/>
      <c r="F5150" s="8"/>
    </row>
    <row r="5151" spans="4:6">
      <c r="D5151" s="8"/>
      <c r="E5151" s="8"/>
      <c r="F5151" s="8"/>
    </row>
    <row r="5152" spans="4:6">
      <c r="D5152" s="8"/>
      <c r="E5152" s="8"/>
      <c r="F5152" s="8"/>
    </row>
    <row r="5153" spans="4:6">
      <c r="D5153" s="8"/>
      <c r="E5153" s="8"/>
      <c r="F5153" s="8"/>
    </row>
    <row r="5154" spans="4:6">
      <c r="D5154" s="8"/>
      <c r="E5154" s="8"/>
      <c r="F5154" s="8"/>
    </row>
    <row r="5155" spans="4:6">
      <c r="D5155" s="8"/>
      <c r="E5155" s="8"/>
      <c r="F5155" s="8"/>
    </row>
    <row r="5156" spans="4:6">
      <c r="D5156" s="8"/>
      <c r="E5156" s="8"/>
      <c r="F5156" s="8"/>
    </row>
    <row r="5157" spans="4:6">
      <c r="D5157" s="8"/>
      <c r="E5157" s="8"/>
      <c r="F5157" s="8"/>
    </row>
    <row r="5158" spans="4:6">
      <c r="D5158" s="8"/>
      <c r="E5158" s="8"/>
      <c r="F5158" s="8"/>
    </row>
    <row r="5159" spans="4:6">
      <c r="D5159" s="8"/>
      <c r="E5159" s="8"/>
      <c r="F5159" s="8"/>
    </row>
    <row r="5160" spans="4:6">
      <c r="D5160" s="8"/>
      <c r="E5160" s="8"/>
      <c r="F5160" s="8"/>
    </row>
    <row r="5161" spans="4:6">
      <c r="D5161" s="8"/>
      <c r="E5161" s="8"/>
      <c r="F5161" s="8"/>
    </row>
    <row r="5162" spans="4:6">
      <c r="D5162" s="8"/>
      <c r="E5162" s="8"/>
      <c r="F5162" s="8"/>
    </row>
    <row r="5163" spans="4:6">
      <c r="D5163" s="8"/>
      <c r="E5163" s="8"/>
      <c r="F5163" s="8"/>
    </row>
    <row r="5164" spans="4:6">
      <c r="D5164" s="8"/>
      <c r="E5164" s="8"/>
      <c r="F5164" s="8"/>
    </row>
    <row r="5165" spans="4:6">
      <c r="D5165" s="8"/>
      <c r="E5165" s="8"/>
      <c r="F5165" s="8"/>
    </row>
    <row r="5166" spans="4:6">
      <c r="D5166" s="8"/>
      <c r="E5166" s="8"/>
      <c r="F5166" s="8"/>
    </row>
    <row r="5167" spans="4:6">
      <c r="D5167" s="8"/>
      <c r="E5167" s="8"/>
      <c r="F5167" s="8"/>
    </row>
    <row r="5168" spans="4:6">
      <c r="D5168" s="8"/>
      <c r="E5168" s="8"/>
      <c r="F5168" s="8"/>
    </row>
    <row r="5169" spans="4:6">
      <c r="D5169" s="8"/>
      <c r="E5169" s="8"/>
      <c r="F5169" s="8"/>
    </row>
    <row r="5170" spans="4:6">
      <c r="D5170" s="8"/>
      <c r="E5170" s="8"/>
      <c r="F5170" s="8"/>
    </row>
    <row r="5171" spans="4:6">
      <c r="D5171" s="8"/>
      <c r="E5171" s="8"/>
      <c r="F5171" s="8"/>
    </row>
    <row r="5172" spans="4:6">
      <c r="D5172" s="8"/>
      <c r="E5172" s="8"/>
      <c r="F5172" s="8"/>
    </row>
    <row r="5173" spans="4:6">
      <c r="D5173" s="8"/>
      <c r="E5173" s="8"/>
      <c r="F5173" s="8"/>
    </row>
    <row r="5174" spans="4:6">
      <c r="D5174" s="8"/>
      <c r="E5174" s="8"/>
      <c r="F5174" s="8"/>
    </row>
    <row r="5175" spans="4:6">
      <c r="D5175" s="8"/>
      <c r="E5175" s="8"/>
      <c r="F5175" s="8"/>
    </row>
    <row r="5176" spans="4:6">
      <c r="D5176" s="8"/>
      <c r="E5176" s="8"/>
      <c r="F5176" s="8"/>
    </row>
    <row r="5177" spans="4:6">
      <c r="D5177" s="8"/>
      <c r="E5177" s="8"/>
      <c r="F5177" s="8"/>
    </row>
    <row r="5178" spans="4:6">
      <c r="D5178" s="8"/>
      <c r="E5178" s="8"/>
      <c r="F5178" s="8"/>
    </row>
    <row r="5179" spans="4:6">
      <c r="D5179" s="8"/>
      <c r="E5179" s="8"/>
      <c r="F5179" s="8"/>
    </row>
    <row r="5180" spans="4:6">
      <c r="D5180" s="8"/>
      <c r="E5180" s="8"/>
      <c r="F5180" s="8"/>
    </row>
    <row r="5181" spans="4:6">
      <c r="D5181" s="8"/>
      <c r="E5181" s="8"/>
      <c r="F5181" s="8"/>
    </row>
    <row r="5182" spans="4:6">
      <c r="D5182" s="8"/>
      <c r="E5182" s="8"/>
      <c r="F5182" s="8"/>
    </row>
    <row r="5183" spans="4:6">
      <c r="D5183" s="8"/>
      <c r="E5183" s="8"/>
      <c r="F5183" s="8"/>
    </row>
    <row r="5184" spans="4:6">
      <c r="D5184" s="8"/>
      <c r="E5184" s="8"/>
      <c r="F5184" s="8"/>
    </row>
    <row r="5185" spans="4:6">
      <c r="D5185" s="8"/>
      <c r="E5185" s="8"/>
      <c r="F5185" s="8"/>
    </row>
    <row r="5186" spans="4:6">
      <c r="D5186" s="8"/>
      <c r="E5186" s="8"/>
      <c r="F5186" s="8"/>
    </row>
    <row r="5187" spans="4:6">
      <c r="D5187" s="8"/>
      <c r="E5187" s="8"/>
      <c r="F5187" s="8"/>
    </row>
    <row r="5188" spans="4:6">
      <c r="D5188" s="8"/>
      <c r="E5188" s="8"/>
      <c r="F5188" s="8"/>
    </row>
    <row r="5189" spans="4:6">
      <c r="D5189" s="8"/>
      <c r="E5189" s="8"/>
      <c r="F5189" s="8"/>
    </row>
    <row r="5190" spans="4:6">
      <c r="D5190" s="8"/>
      <c r="E5190" s="8"/>
      <c r="F5190" s="8"/>
    </row>
    <row r="5191" spans="4:6">
      <c r="D5191" s="8"/>
      <c r="E5191" s="8"/>
      <c r="F5191" s="8"/>
    </row>
    <row r="5192" spans="4:6">
      <c r="D5192" s="8"/>
      <c r="E5192" s="8"/>
      <c r="F5192" s="8"/>
    </row>
    <row r="5193" spans="4:6">
      <c r="D5193" s="8"/>
      <c r="E5193" s="8"/>
      <c r="F5193" s="8"/>
    </row>
    <row r="5194" spans="4:6">
      <c r="D5194" s="8"/>
      <c r="E5194" s="8"/>
      <c r="F5194" s="8"/>
    </row>
    <row r="5195" spans="4:6">
      <c r="D5195" s="8"/>
      <c r="E5195" s="8"/>
      <c r="F5195" s="8"/>
    </row>
    <row r="5196" spans="4:6">
      <c r="D5196" s="8"/>
      <c r="E5196" s="8"/>
      <c r="F5196" s="8"/>
    </row>
    <row r="5197" spans="4:6">
      <c r="D5197" s="8"/>
      <c r="E5197" s="8"/>
      <c r="F5197" s="8"/>
    </row>
    <row r="5198" spans="4:6">
      <c r="D5198" s="8"/>
      <c r="E5198" s="8"/>
      <c r="F5198" s="8"/>
    </row>
    <row r="5199" spans="4:6">
      <c r="D5199" s="8"/>
      <c r="E5199" s="8"/>
      <c r="F5199" s="8"/>
    </row>
    <row r="5200" spans="4:6">
      <c r="D5200" s="8"/>
      <c r="E5200" s="8"/>
      <c r="F5200" s="8"/>
    </row>
    <row r="5201" spans="4:6">
      <c r="D5201" s="8"/>
      <c r="E5201" s="8"/>
      <c r="F5201" s="8"/>
    </row>
    <row r="5202" spans="4:6">
      <c r="D5202" s="8"/>
      <c r="E5202" s="8"/>
      <c r="F5202" s="8"/>
    </row>
    <row r="5203" spans="4:6">
      <c r="D5203" s="8"/>
      <c r="E5203" s="8"/>
      <c r="F5203" s="8"/>
    </row>
    <row r="5204" spans="4:6">
      <c r="D5204" s="8"/>
      <c r="E5204" s="8"/>
      <c r="F5204" s="8"/>
    </row>
    <row r="5205" spans="4:6">
      <c r="D5205" s="8"/>
      <c r="E5205" s="8"/>
      <c r="F5205" s="8"/>
    </row>
    <row r="5206" spans="4:6">
      <c r="D5206" s="8"/>
      <c r="E5206" s="8"/>
      <c r="F5206" s="8"/>
    </row>
    <row r="5207" spans="4:6">
      <c r="D5207" s="8"/>
      <c r="E5207" s="8"/>
      <c r="F5207" s="8"/>
    </row>
    <row r="5208" spans="4:6">
      <c r="D5208" s="8"/>
      <c r="E5208" s="8"/>
      <c r="F5208" s="8"/>
    </row>
    <row r="5209" spans="4:6">
      <c r="D5209" s="8"/>
      <c r="E5209" s="8"/>
      <c r="F5209" s="8"/>
    </row>
    <row r="5210" spans="4:6">
      <c r="D5210" s="8"/>
      <c r="E5210" s="8"/>
      <c r="F5210" s="8"/>
    </row>
    <row r="5211" spans="4:6">
      <c r="D5211" s="8"/>
      <c r="E5211" s="8"/>
      <c r="F5211" s="8"/>
    </row>
    <row r="5212" spans="4:6">
      <c r="D5212" s="8"/>
      <c r="E5212" s="8"/>
      <c r="F5212" s="8"/>
    </row>
    <row r="5213" spans="4:6">
      <c r="D5213" s="8"/>
      <c r="E5213" s="8"/>
      <c r="F5213" s="8"/>
    </row>
    <row r="5214" spans="4:6">
      <c r="D5214" s="8"/>
      <c r="E5214" s="8"/>
      <c r="F5214" s="8"/>
    </row>
    <row r="5215" spans="4:6">
      <c r="D5215" s="8"/>
      <c r="E5215" s="8"/>
      <c r="F5215" s="8"/>
    </row>
    <row r="5216" spans="4:6">
      <c r="D5216" s="8"/>
      <c r="E5216" s="8"/>
      <c r="F5216" s="8"/>
    </row>
    <row r="5217" spans="4:6">
      <c r="D5217" s="8"/>
      <c r="E5217" s="8"/>
      <c r="F5217" s="8"/>
    </row>
    <row r="5218" spans="4:6">
      <c r="D5218" s="8"/>
      <c r="E5218" s="8"/>
      <c r="F5218" s="8"/>
    </row>
    <row r="5219" spans="4:6">
      <c r="D5219" s="8"/>
      <c r="E5219" s="8"/>
      <c r="F5219" s="8"/>
    </row>
    <row r="5220" spans="4:6">
      <c r="D5220" s="8"/>
      <c r="E5220" s="8"/>
      <c r="F5220" s="8"/>
    </row>
    <row r="5221" spans="4:6">
      <c r="D5221" s="8"/>
      <c r="E5221" s="8"/>
      <c r="F5221" s="8"/>
    </row>
    <row r="5222" spans="4:6">
      <c r="D5222" s="8"/>
      <c r="E5222" s="8"/>
      <c r="F5222" s="8"/>
    </row>
    <row r="5223" spans="4:6">
      <c r="D5223" s="8"/>
      <c r="E5223" s="8"/>
      <c r="F5223" s="8"/>
    </row>
    <row r="5224" spans="4:6">
      <c r="D5224" s="8"/>
      <c r="E5224" s="8"/>
      <c r="F5224" s="8"/>
    </row>
    <row r="5225" spans="4:6">
      <c r="D5225" s="8"/>
      <c r="E5225" s="8"/>
      <c r="F5225" s="8"/>
    </row>
    <row r="5226" spans="4:6">
      <c r="D5226" s="8"/>
      <c r="E5226" s="8"/>
      <c r="F5226" s="8"/>
    </row>
    <row r="5227" spans="4:6">
      <c r="D5227" s="8"/>
      <c r="E5227" s="8"/>
      <c r="F5227" s="8"/>
    </row>
    <row r="5228" spans="4:6">
      <c r="D5228" s="8"/>
      <c r="E5228" s="8"/>
      <c r="F5228" s="8"/>
    </row>
    <row r="5229" spans="4:6">
      <c r="D5229" s="8"/>
      <c r="E5229" s="8"/>
      <c r="F5229" s="8"/>
    </row>
    <row r="5230" spans="4:6">
      <c r="D5230" s="8"/>
      <c r="E5230" s="8"/>
      <c r="F5230" s="8"/>
    </row>
    <row r="5231" spans="4:6">
      <c r="D5231" s="8"/>
      <c r="E5231" s="8"/>
      <c r="F5231" s="8"/>
    </row>
    <row r="5232" spans="4:6">
      <c r="D5232" s="8"/>
      <c r="E5232" s="8"/>
      <c r="F5232" s="8"/>
    </row>
    <row r="5233" spans="4:6">
      <c r="D5233" s="8"/>
      <c r="E5233" s="8"/>
      <c r="F5233" s="8"/>
    </row>
    <row r="5234" spans="4:6">
      <c r="D5234" s="8"/>
      <c r="E5234" s="8"/>
      <c r="F5234" s="8"/>
    </row>
    <row r="5235" spans="4:6">
      <c r="D5235" s="8"/>
      <c r="E5235" s="8"/>
      <c r="F5235" s="8"/>
    </row>
    <row r="5236" spans="4:6">
      <c r="D5236" s="8"/>
      <c r="E5236" s="8"/>
      <c r="F5236" s="8"/>
    </row>
    <row r="5237" spans="4:6">
      <c r="D5237" s="8"/>
      <c r="E5237" s="8"/>
      <c r="F5237" s="8"/>
    </row>
    <row r="5238" spans="4:6">
      <c r="D5238" s="8"/>
      <c r="E5238" s="8"/>
      <c r="F5238" s="8"/>
    </row>
    <row r="5239" spans="4:6">
      <c r="D5239" s="8"/>
      <c r="E5239" s="8"/>
      <c r="F5239" s="8"/>
    </row>
    <row r="5240" spans="4:6">
      <c r="D5240" s="8"/>
      <c r="E5240" s="8"/>
      <c r="F5240" s="8"/>
    </row>
    <row r="5241" spans="4:6">
      <c r="D5241" s="8"/>
      <c r="E5241" s="8"/>
      <c r="F5241" s="8"/>
    </row>
    <row r="5242" spans="4:6">
      <c r="D5242" s="8"/>
      <c r="E5242" s="8"/>
      <c r="F5242" s="8"/>
    </row>
    <row r="5243" spans="4:6">
      <c r="D5243" s="8"/>
      <c r="E5243" s="8"/>
      <c r="F5243" s="8"/>
    </row>
    <row r="5244" spans="4:6">
      <c r="D5244" s="8"/>
      <c r="E5244" s="8"/>
      <c r="F5244" s="8"/>
    </row>
    <row r="5245" spans="4:6">
      <c r="D5245" s="8"/>
      <c r="E5245" s="8"/>
      <c r="F5245" s="8"/>
    </row>
    <row r="5246" spans="4:6">
      <c r="D5246" s="8"/>
      <c r="E5246" s="8"/>
      <c r="F5246" s="8"/>
    </row>
    <row r="5247" spans="4:6">
      <c r="D5247" s="8"/>
      <c r="E5247" s="8"/>
      <c r="F5247" s="8"/>
    </row>
    <row r="5248" spans="4:6">
      <c r="D5248" s="8"/>
      <c r="E5248" s="8"/>
      <c r="F5248" s="8"/>
    </row>
    <row r="5249" spans="4:6">
      <c r="D5249" s="8"/>
      <c r="E5249" s="8"/>
      <c r="F5249" s="8"/>
    </row>
    <row r="5250" spans="4:6">
      <c r="D5250" s="8"/>
      <c r="E5250" s="8"/>
      <c r="F5250" s="8"/>
    </row>
    <row r="5251" spans="4:6">
      <c r="D5251" s="8"/>
      <c r="E5251" s="8"/>
      <c r="F5251" s="8"/>
    </row>
    <row r="5252" spans="4:6">
      <c r="D5252" s="8"/>
      <c r="E5252" s="8"/>
      <c r="F5252" s="8"/>
    </row>
    <row r="5253" spans="4:6">
      <c r="D5253" s="8"/>
      <c r="E5253" s="8"/>
      <c r="F5253" s="8"/>
    </row>
    <row r="5254" spans="4:6">
      <c r="D5254" s="8"/>
      <c r="E5254" s="8"/>
      <c r="F5254" s="8"/>
    </row>
    <row r="5255" spans="4:6">
      <c r="D5255" s="8"/>
      <c r="E5255" s="8"/>
      <c r="F5255" s="8"/>
    </row>
    <row r="5256" spans="4:6">
      <c r="D5256" s="8"/>
      <c r="E5256" s="8"/>
      <c r="F5256" s="8"/>
    </row>
    <row r="5257" spans="4:6">
      <c r="D5257" s="8"/>
      <c r="E5257" s="8"/>
      <c r="F5257" s="8"/>
    </row>
    <row r="5258" spans="4:6">
      <c r="D5258" s="8"/>
      <c r="E5258" s="8"/>
      <c r="F5258" s="8"/>
    </row>
    <row r="5259" spans="4:6">
      <c r="D5259" s="8"/>
      <c r="E5259" s="8"/>
      <c r="F5259" s="8"/>
    </row>
    <row r="5260" spans="4:6">
      <c r="D5260" s="8"/>
      <c r="E5260" s="8"/>
      <c r="F5260" s="8"/>
    </row>
    <row r="5261" spans="4:6">
      <c r="D5261" s="8"/>
      <c r="E5261" s="8"/>
      <c r="F5261" s="8"/>
    </row>
    <row r="5262" spans="4:6">
      <c r="D5262" s="8"/>
      <c r="E5262" s="8"/>
      <c r="F5262" s="8"/>
    </row>
    <row r="5263" spans="4:6">
      <c r="D5263" s="8"/>
      <c r="E5263" s="8"/>
      <c r="F5263" s="8"/>
    </row>
    <row r="5264" spans="4:6">
      <c r="D5264" s="8"/>
      <c r="E5264" s="8"/>
      <c r="F5264" s="8"/>
    </row>
    <row r="5265" spans="4:6">
      <c r="D5265" s="8"/>
      <c r="E5265" s="8"/>
      <c r="F5265" s="8"/>
    </row>
    <row r="5266" spans="4:6">
      <c r="D5266" s="8"/>
      <c r="E5266" s="8"/>
      <c r="F5266" s="8"/>
    </row>
    <row r="5267" spans="4:6">
      <c r="D5267" s="8"/>
      <c r="E5267" s="8"/>
      <c r="F5267" s="8"/>
    </row>
    <row r="5268" spans="4:6">
      <c r="D5268" s="8"/>
      <c r="E5268" s="8"/>
      <c r="F5268" s="8"/>
    </row>
    <row r="5269" spans="4:6">
      <c r="D5269" s="8"/>
      <c r="E5269" s="8"/>
      <c r="F5269" s="8"/>
    </row>
    <row r="5270" spans="4:6">
      <c r="D5270" s="8"/>
      <c r="E5270" s="8"/>
      <c r="F5270" s="8"/>
    </row>
    <row r="5271" spans="4:6">
      <c r="D5271" s="8"/>
      <c r="E5271" s="8"/>
      <c r="F5271" s="8"/>
    </row>
    <row r="5272" spans="4:6">
      <c r="D5272" s="8"/>
      <c r="E5272" s="8"/>
      <c r="F5272" s="8"/>
    </row>
    <row r="5273" spans="4:6">
      <c r="D5273" s="8"/>
      <c r="E5273" s="8"/>
      <c r="F5273" s="8"/>
    </row>
    <row r="5274" spans="4:6">
      <c r="D5274" s="8"/>
      <c r="E5274" s="8"/>
      <c r="F5274" s="8"/>
    </row>
    <row r="5275" spans="4:6">
      <c r="D5275" s="8"/>
      <c r="E5275" s="8"/>
      <c r="F5275" s="8"/>
    </row>
    <row r="5276" spans="4:6">
      <c r="D5276" s="8"/>
      <c r="E5276" s="8"/>
      <c r="F5276" s="8"/>
    </row>
    <row r="5277" spans="4:6">
      <c r="D5277" s="8"/>
      <c r="E5277" s="8"/>
      <c r="F5277" s="8"/>
    </row>
    <row r="5278" spans="4:6">
      <c r="D5278" s="8"/>
      <c r="E5278" s="8"/>
      <c r="F5278" s="8"/>
    </row>
    <row r="5279" spans="4:6">
      <c r="D5279" s="8"/>
      <c r="E5279" s="8"/>
      <c r="F5279" s="8"/>
    </row>
    <row r="5280" spans="4:6">
      <c r="D5280" s="8"/>
      <c r="E5280" s="8"/>
      <c r="F5280" s="8"/>
    </row>
    <row r="5281" spans="4:6">
      <c r="D5281" s="8"/>
      <c r="E5281" s="8"/>
      <c r="F5281" s="8"/>
    </row>
    <row r="5282" spans="4:6">
      <c r="D5282" s="8"/>
      <c r="E5282" s="8"/>
      <c r="F5282" s="8"/>
    </row>
    <row r="5283" spans="4:6">
      <c r="D5283" s="8"/>
      <c r="E5283" s="8"/>
      <c r="F5283" s="8"/>
    </row>
    <row r="5284" spans="4:6">
      <c r="D5284" s="8"/>
      <c r="E5284" s="8"/>
      <c r="F5284" s="8"/>
    </row>
    <row r="5285" spans="4:6">
      <c r="D5285" s="8"/>
      <c r="E5285" s="8"/>
      <c r="F5285" s="8"/>
    </row>
    <row r="5286" spans="4:6">
      <c r="D5286" s="8"/>
      <c r="E5286" s="8"/>
      <c r="F5286" s="8"/>
    </row>
    <row r="5287" spans="4:6">
      <c r="D5287" s="8"/>
      <c r="E5287" s="8"/>
      <c r="F5287" s="8"/>
    </row>
    <row r="5288" spans="4:6">
      <c r="D5288" s="8"/>
      <c r="E5288" s="8"/>
      <c r="F5288" s="8"/>
    </row>
    <row r="5289" spans="4:6">
      <c r="D5289" s="8"/>
      <c r="E5289" s="8"/>
      <c r="F5289" s="8"/>
    </row>
    <row r="5290" spans="4:6">
      <c r="D5290" s="8"/>
      <c r="E5290" s="8"/>
      <c r="F5290" s="8"/>
    </row>
    <row r="5291" spans="4:6">
      <c r="D5291" s="8"/>
      <c r="E5291" s="8"/>
      <c r="F5291" s="8"/>
    </row>
    <row r="5292" spans="4:6">
      <c r="D5292" s="8"/>
      <c r="E5292" s="8"/>
      <c r="F5292" s="8"/>
    </row>
    <row r="5293" spans="4:6">
      <c r="D5293" s="8"/>
      <c r="E5293" s="8"/>
      <c r="F5293" s="8"/>
    </row>
    <row r="5294" spans="4:6">
      <c r="D5294" s="8"/>
      <c r="E5294" s="8"/>
      <c r="F5294" s="8"/>
    </row>
    <row r="5295" spans="4:6">
      <c r="D5295" s="8"/>
      <c r="E5295" s="8"/>
      <c r="F5295" s="8"/>
    </row>
    <row r="5296" spans="4:6">
      <c r="D5296" s="8"/>
      <c r="E5296" s="8"/>
      <c r="F5296" s="8"/>
    </row>
    <row r="5297" spans="4:6">
      <c r="D5297" s="8"/>
      <c r="E5297" s="8"/>
      <c r="F5297" s="8"/>
    </row>
    <row r="5298" spans="4:6">
      <c r="D5298" s="8"/>
      <c r="E5298" s="8"/>
      <c r="F5298" s="8"/>
    </row>
    <row r="5299" spans="4:6">
      <c r="D5299" s="8"/>
      <c r="E5299" s="8"/>
      <c r="F5299" s="8"/>
    </row>
    <row r="5300" spans="4:6">
      <c r="D5300" s="8"/>
      <c r="E5300" s="8"/>
      <c r="F5300" s="8"/>
    </row>
    <row r="5301" spans="4:6">
      <c r="D5301" s="8"/>
      <c r="E5301" s="8"/>
      <c r="F5301" s="8"/>
    </row>
    <row r="5302" spans="4:6">
      <c r="D5302" s="8"/>
      <c r="E5302" s="8"/>
      <c r="F5302" s="8"/>
    </row>
    <row r="5303" spans="4:6">
      <c r="D5303" s="8"/>
      <c r="E5303" s="8"/>
      <c r="F5303" s="8"/>
    </row>
    <row r="5304" spans="4:6">
      <c r="D5304" s="8"/>
      <c r="E5304" s="8"/>
      <c r="F5304" s="8"/>
    </row>
    <row r="5305" spans="4:6">
      <c r="D5305" s="8"/>
      <c r="E5305" s="8"/>
      <c r="F5305" s="8"/>
    </row>
    <row r="5306" spans="4:6">
      <c r="D5306" s="8"/>
      <c r="E5306" s="8"/>
      <c r="F5306" s="8"/>
    </row>
    <row r="5307" spans="4:6">
      <c r="D5307" s="8"/>
      <c r="E5307" s="8"/>
      <c r="F5307" s="8"/>
    </row>
    <row r="5308" spans="4:6">
      <c r="D5308" s="8"/>
      <c r="E5308" s="8"/>
      <c r="F5308" s="8"/>
    </row>
    <row r="5309" spans="4:6">
      <c r="D5309" s="8"/>
      <c r="E5309" s="8"/>
      <c r="F5309" s="8"/>
    </row>
    <row r="5310" spans="4:6">
      <c r="D5310" s="8"/>
      <c r="E5310" s="8"/>
      <c r="F5310" s="8"/>
    </row>
    <row r="5311" spans="4:6">
      <c r="D5311" s="8"/>
      <c r="E5311" s="8"/>
      <c r="F5311" s="8"/>
    </row>
    <row r="5312" spans="4:6">
      <c r="D5312" s="8"/>
      <c r="E5312" s="8"/>
      <c r="F5312" s="8"/>
    </row>
    <row r="5313" spans="4:6">
      <c r="D5313" s="8"/>
      <c r="E5313" s="8"/>
      <c r="F5313" s="8"/>
    </row>
    <row r="5314" spans="4:6">
      <c r="D5314" s="8"/>
      <c r="E5314" s="8"/>
      <c r="F5314" s="8"/>
    </row>
    <row r="5315" spans="4:6">
      <c r="D5315" s="8"/>
      <c r="E5315" s="8"/>
      <c r="F5315" s="8"/>
    </row>
    <row r="5316" spans="4:6">
      <c r="D5316" s="8"/>
      <c r="E5316" s="8"/>
      <c r="F5316" s="8"/>
    </row>
    <row r="5317" spans="4:6">
      <c r="D5317" s="8"/>
      <c r="E5317" s="8"/>
      <c r="F5317" s="8"/>
    </row>
    <row r="5318" spans="4:6">
      <c r="D5318" s="8"/>
      <c r="E5318" s="8"/>
      <c r="F5318" s="8"/>
    </row>
    <row r="5319" spans="4:6">
      <c r="D5319" s="8"/>
      <c r="E5319" s="8"/>
      <c r="F5319" s="8"/>
    </row>
    <row r="5320" spans="4:6">
      <c r="D5320" s="8"/>
      <c r="E5320" s="8"/>
      <c r="F5320" s="8"/>
    </row>
    <row r="5321" spans="4:6">
      <c r="D5321" s="8"/>
      <c r="E5321" s="8"/>
      <c r="F5321" s="8"/>
    </row>
    <row r="5322" spans="4:6">
      <c r="D5322" s="8"/>
      <c r="E5322" s="8"/>
      <c r="F5322" s="8"/>
    </row>
    <row r="5323" spans="4:6">
      <c r="D5323" s="8"/>
      <c r="E5323" s="8"/>
      <c r="F5323" s="8"/>
    </row>
    <row r="5324" spans="4:6">
      <c r="D5324" s="8"/>
      <c r="E5324" s="8"/>
      <c r="F5324" s="8"/>
    </row>
    <row r="5325" spans="4:6">
      <c r="D5325" s="8"/>
      <c r="E5325" s="8"/>
      <c r="F5325" s="8"/>
    </row>
    <row r="5326" spans="4:6">
      <c r="D5326" s="8"/>
      <c r="E5326" s="8"/>
      <c r="F5326" s="8"/>
    </row>
    <row r="5327" spans="4:6">
      <c r="D5327" s="8"/>
      <c r="E5327" s="8"/>
      <c r="F5327" s="8"/>
    </row>
    <row r="5328" spans="4:6">
      <c r="D5328" s="8"/>
      <c r="E5328" s="8"/>
      <c r="F5328" s="8"/>
    </row>
    <row r="5329" spans="4:6">
      <c r="D5329" s="8"/>
      <c r="E5329" s="8"/>
      <c r="F5329" s="8"/>
    </row>
    <row r="5330" spans="4:6">
      <c r="D5330" s="8"/>
      <c r="E5330" s="8"/>
      <c r="F5330" s="8"/>
    </row>
    <row r="5331" spans="4:6">
      <c r="D5331" s="8"/>
      <c r="E5331" s="8"/>
      <c r="F5331" s="8"/>
    </row>
    <row r="5332" spans="4:6">
      <c r="D5332" s="8"/>
      <c r="E5332" s="8"/>
      <c r="F5332" s="8"/>
    </row>
    <row r="5333" spans="4:6">
      <c r="D5333" s="8"/>
      <c r="E5333" s="8"/>
      <c r="F5333" s="8"/>
    </row>
    <row r="5334" spans="4:6">
      <c r="D5334" s="8"/>
      <c r="E5334" s="8"/>
      <c r="F5334" s="8"/>
    </row>
    <row r="5335" spans="4:6">
      <c r="D5335" s="8"/>
      <c r="E5335" s="8"/>
      <c r="F5335" s="8"/>
    </row>
    <row r="5336" spans="4:6">
      <c r="D5336" s="8"/>
      <c r="E5336" s="8"/>
      <c r="F5336" s="8"/>
    </row>
    <row r="5337" spans="4:6">
      <c r="D5337" s="8"/>
      <c r="E5337" s="8"/>
      <c r="F5337" s="8"/>
    </row>
    <row r="5338" spans="4:6">
      <c r="D5338" s="8"/>
      <c r="E5338" s="8"/>
      <c r="F5338" s="8"/>
    </row>
    <row r="5339" spans="4:6">
      <c r="D5339" s="8"/>
      <c r="E5339" s="8"/>
      <c r="F5339" s="8"/>
    </row>
    <row r="5340" spans="4:6">
      <c r="D5340" s="8"/>
      <c r="E5340" s="8"/>
      <c r="F5340" s="8"/>
    </row>
    <row r="5341" spans="4:6">
      <c r="D5341" s="8"/>
      <c r="E5341" s="8"/>
      <c r="F5341" s="8"/>
    </row>
    <row r="5342" spans="4:6">
      <c r="D5342" s="8"/>
      <c r="E5342" s="8"/>
      <c r="F5342" s="8"/>
    </row>
    <row r="5343" spans="4:6">
      <c r="D5343" s="8"/>
      <c r="E5343" s="8"/>
      <c r="F5343" s="8"/>
    </row>
    <row r="5344" spans="4:6">
      <c r="D5344" s="8"/>
      <c r="E5344" s="8"/>
      <c r="F5344" s="8"/>
    </row>
    <row r="5345" spans="4:6">
      <c r="D5345" s="8"/>
      <c r="E5345" s="8"/>
      <c r="F5345" s="8"/>
    </row>
    <row r="5346" spans="4:6">
      <c r="D5346" s="8"/>
      <c r="E5346" s="8"/>
      <c r="F5346" s="8"/>
    </row>
    <row r="5347" spans="4:6">
      <c r="D5347" s="8"/>
      <c r="E5347" s="8"/>
      <c r="F5347" s="8"/>
    </row>
    <row r="5348" spans="4:6">
      <c r="D5348" s="8"/>
      <c r="E5348" s="8"/>
      <c r="F5348" s="8"/>
    </row>
    <row r="5349" spans="4:6">
      <c r="D5349" s="8"/>
      <c r="E5349" s="8"/>
      <c r="F5349" s="8"/>
    </row>
    <row r="5350" spans="4:6">
      <c r="D5350" s="8"/>
      <c r="E5350" s="8"/>
      <c r="F5350" s="8"/>
    </row>
    <row r="5351" spans="4:6">
      <c r="D5351" s="8"/>
      <c r="E5351" s="8"/>
      <c r="F5351" s="8"/>
    </row>
    <row r="5352" spans="4:6">
      <c r="D5352" s="8"/>
      <c r="E5352" s="8"/>
      <c r="F5352" s="8"/>
    </row>
    <row r="5353" spans="4:6">
      <c r="D5353" s="8"/>
      <c r="E5353" s="8"/>
      <c r="F5353" s="8"/>
    </row>
    <row r="5354" spans="4:6">
      <c r="D5354" s="8"/>
      <c r="E5354" s="8"/>
      <c r="F5354" s="8"/>
    </row>
    <row r="5355" spans="4:6">
      <c r="D5355" s="8"/>
      <c r="E5355" s="8"/>
      <c r="F5355" s="8"/>
    </row>
    <row r="5356" spans="4:6">
      <c r="D5356" s="8"/>
      <c r="E5356" s="8"/>
      <c r="F5356" s="8"/>
    </row>
    <row r="5357" spans="4:6">
      <c r="D5357" s="8"/>
      <c r="E5357" s="8"/>
      <c r="F5357" s="8"/>
    </row>
    <row r="5358" spans="4:6">
      <c r="D5358" s="8"/>
      <c r="E5358" s="8"/>
      <c r="F5358" s="8"/>
    </row>
    <row r="5359" spans="4:6">
      <c r="D5359" s="8"/>
      <c r="E5359" s="8"/>
      <c r="F5359" s="8"/>
    </row>
    <row r="5360" spans="4:6">
      <c r="D5360" s="8"/>
      <c r="E5360" s="8"/>
      <c r="F5360" s="8"/>
    </row>
    <row r="5361" spans="4:6">
      <c r="D5361" s="8"/>
      <c r="E5361" s="8"/>
      <c r="F5361" s="8"/>
    </row>
    <row r="5362" spans="4:6">
      <c r="D5362" s="8"/>
      <c r="E5362" s="8"/>
      <c r="F5362" s="8"/>
    </row>
    <row r="5363" spans="4:6">
      <c r="D5363" s="8"/>
      <c r="E5363" s="8"/>
      <c r="F5363" s="8"/>
    </row>
    <row r="5364" spans="4:6">
      <c r="D5364" s="8"/>
      <c r="E5364" s="8"/>
      <c r="F5364" s="8"/>
    </row>
    <row r="5365" spans="4:6">
      <c r="D5365" s="8"/>
      <c r="E5365" s="8"/>
      <c r="F5365" s="8"/>
    </row>
    <row r="5366" spans="4:6">
      <c r="D5366" s="8"/>
      <c r="E5366" s="8"/>
      <c r="F5366" s="8"/>
    </row>
    <row r="5367" spans="4:6">
      <c r="D5367" s="8"/>
      <c r="E5367" s="8"/>
      <c r="F5367" s="8"/>
    </row>
    <row r="5368" spans="4:6">
      <c r="D5368" s="8"/>
      <c r="E5368" s="8"/>
      <c r="F5368" s="8"/>
    </row>
    <row r="5369" spans="4:6">
      <c r="D5369" s="8"/>
      <c r="E5369" s="8"/>
      <c r="F5369" s="8"/>
    </row>
    <row r="5370" spans="4:6">
      <c r="D5370" s="8"/>
      <c r="E5370" s="8"/>
      <c r="F5370" s="8"/>
    </row>
    <row r="5371" spans="4:6">
      <c r="D5371" s="8"/>
      <c r="E5371" s="8"/>
      <c r="F5371" s="8"/>
    </row>
    <row r="5372" spans="4:6">
      <c r="D5372" s="8"/>
      <c r="E5372" s="8"/>
      <c r="F5372" s="8"/>
    </row>
    <row r="5373" spans="4:6">
      <c r="D5373" s="8"/>
      <c r="E5373" s="8"/>
      <c r="F5373" s="8"/>
    </row>
    <row r="5374" spans="4:6">
      <c r="D5374" s="8"/>
      <c r="E5374" s="8"/>
      <c r="F5374" s="8"/>
    </row>
    <row r="5375" spans="4:6">
      <c r="D5375" s="8"/>
      <c r="E5375" s="8"/>
      <c r="F5375" s="8"/>
    </row>
    <row r="5376" spans="4:6">
      <c r="D5376" s="8"/>
      <c r="E5376" s="8"/>
      <c r="F5376" s="8"/>
    </row>
    <row r="5377" spans="4:6">
      <c r="D5377" s="8"/>
      <c r="E5377" s="8"/>
      <c r="F5377" s="8"/>
    </row>
    <row r="5378" spans="4:6">
      <c r="D5378" s="8"/>
      <c r="E5378" s="8"/>
      <c r="F5378" s="8"/>
    </row>
    <row r="5379" spans="4:6">
      <c r="D5379" s="8"/>
      <c r="E5379" s="8"/>
      <c r="F5379" s="8"/>
    </row>
    <row r="5380" spans="4:6">
      <c r="D5380" s="8"/>
      <c r="E5380" s="8"/>
      <c r="F5380" s="8"/>
    </row>
    <row r="5381" spans="4:6">
      <c r="D5381" s="8"/>
      <c r="E5381" s="8"/>
      <c r="F5381" s="8"/>
    </row>
    <row r="5382" spans="4:6">
      <c r="D5382" s="8"/>
      <c r="E5382" s="8"/>
      <c r="F5382" s="8"/>
    </row>
    <row r="5383" spans="4:6">
      <c r="D5383" s="8"/>
      <c r="E5383" s="8"/>
      <c r="F5383" s="8"/>
    </row>
    <row r="5384" spans="4:6">
      <c r="D5384" s="8"/>
      <c r="E5384" s="8"/>
      <c r="F5384" s="8"/>
    </row>
    <row r="5385" spans="4:6">
      <c r="D5385" s="8"/>
      <c r="E5385" s="8"/>
      <c r="F5385" s="8"/>
    </row>
    <row r="5386" spans="4:6">
      <c r="D5386" s="8"/>
      <c r="E5386" s="8"/>
      <c r="F5386" s="8"/>
    </row>
    <row r="5387" spans="4:6">
      <c r="D5387" s="8"/>
      <c r="E5387" s="8"/>
      <c r="F5387" s="8"/>
    </row>
    <row r="5388" spans="4:6">
      <c r="D5388" s="8"/>
      <c r="E5388" s="8"/>
      <c r="F5388" s="8"/>
    </row>
    <row r="5389" spans="4:6">
      <c r="D5389" s="8"/>
      <c r="E5389" s="8"/>
      <c r="F5389" s="8"/>
    </row>
    <row r="5390" spans="4:6">
      <c r="D5390" s="8"/>
      <c r="E5390" s="8"/>
      <c r="F5390" s="8"/>
    </row>
    <row r="5391" spans="4:6">
      <c r="D5391" s="8"/>
      <c r="E5391" s="8"/>
      <c r="F5391" s="8"/>
    </row>
    <row r="5392" spans="4:6">
      <c r="D5392" s="8"/>
      <c r="E5392" s="8"/>
      <c r="F5392" s="8"/>
    </row>
    <row r="5393" spans="4:6">
      <c r="D5393" s="8"/>
      <c r="E5393" s="8"/>
      <c r="F5393" s="8"/>
    </row>
    <row r="5394" spans="4:6">
      <c r="D5394" s="8"/>
      <c r="E5394" s="8"/>
      <c r="F5394" s="8"/>
    </row>
    <row r="5395" spans="4:6">
      <c r="D5395" s="8"/>
      <c r="E5395" s="8"/>
      <c r="F5395" s="8"/>
    </row>
    <row r="5396" spans="4:6">
      <c r="D5396" s="8"/>
      <c r="E5396" s="8"/>
      <c r="F5396" s="8"/>
    </row>
    <row r="5397" spans="4:6">
      <c r="D5397" s="8"/>
      <c r="E5397" s="8"/>
      <c r="F5397" s="8"/>
    </row>
    <row r="5398" spans="4:6">
      <c r="D5398" s="8"/>
      <c r="E5398" s="8"/>
      <c r="F5398" s="8"/>
    </row>
    <row r="5399" spans="4:6">
      <c r="D5399" s="8"/>
      <c r="E5399" s="8"/>
      <c r="F5399" s="8"/>
    </row>
    <row r="5400" spans="4:6">
      <c r="D5400" s="8"/>
      <c r="E5400" s="8"/>
      <c r="F5400" s="8"/>
    </row>
    <row r="5401" spans="4:6">
      <c r="D5401" s="8"/>
      <c r="E5401" s="8"/>
      <c r="F5401" s="8"/>
    </row>
    <row r="5402" spans="4:6">
      <c r="D5402" s="8"/>
      <c r="E5402" s="8"/>
      <c r="F5402" s="8"/>
    </row>
    <row r="5403" spans="4:6">
      <c r="D5403" s="8"/>
      <c r="E5403" s="8"/>
      <c r="F5403" s="8"/>
    </row>
    <row r="5404" spans="4:6">
      <c r="D5404" s="8"/>
      <c r="E5404" s="8"/>
      <c r="F5404" s="8"/>
    </row>
    <row r="5405" spans="4:6">
      <c r="D5405" s="8"/>
      <c r="E5405" s="8"/>
      <c r="F5405" s="8"/>
    </row>
    <row r="5406" spans="4:6">
      <c r="D5406" s="8"/>
      <c r="E5406" s="8"/>
      <c r="F5406" s="8"/>
    </row>
    <row r="5407" spans="4:6">
      <c r="D5407" s="8"/>
      <c r="E5407" s="8"/>
      <c r="F5407" s="8"/>
    </row>
    <row r="5408" spans="4:6">
      <c r="D5408" s="8"/>
      <c r="E5408" s="8"/>
      <c r="F5408" s="8"/>
    </row>
    <row r="5409" spans="4:6">
      <c r="D5409" s="8"/>
      <c r="E5409" s="8"/>
      <c r="F5409" s="8"/>
    </row>
    <row r="5410" spans="4:6">
      <c r="D5410" s="8"/>
      <c r="E5410" s="8"/>
      <c r="F5410" s="8"/>
    </row>
    <row r="5411" spans="4:6">
      <c r="D5411" s="8"/>
      <c r="E5411" s="8"/>
      <c r="F5411" s="8"/>
    </row>
    <row r="5412" spans="4:6">
      <c r="D5412" s="8"/>
      <c r="E5412" s="8"/>
      <c r="F5412" s="8"/>
    </row>
    <row r="5413" spans="4:6">
      <c r="D5413" s="8"/>
      <c r="E5413" s="8"/>
      <c r="F5413" s="8"/>
    </row>
    <row r="5414" spans="4:6">
      <c r="D5414" s="8"/>
      <c r="E5414" s="8"/>
      <c r="F5414" s="8"/>
    </row>
    <row r="5415" spans="4:6">
      <c r="D5415" s="8"/>
      <c r="E5415" s="8"/>
      <c r="F5415" s="8"/>
    </row>
    <row r="5416" spans="4:6">
      <c r="D5416" s="8"/>
      <c r="E5416" s="8"/>
      <c r="F5416" s="8"/>
    </row>
    <row r="5417" spans="4:6">
      <c r="D5417" s="8"/>
      <c r="E5417" s="8"/>
      <c r="F5417" s="8"/>
    </row>
    <row r="5418" spans="4:6">
      <c r="D5418" s="8"/>
      <c r="E5418" s="8"/>
      <c r="F5418" s="8"/>
    </row>
    <row r="5419" spans="4:6">
      <c r="D5419" s="8"/>
      <c r="E5419" s="8"/>
      <c r="F5419" s="8"/>
    </row>
    <row r="5420" spans="4:6">
      <c r="D5420" s="8"/>
      <c r="E5420" s="8"/>
      <c r="F5420" s="8"/>
    </row>
    <row r="5421" spans="4:6">
      <c r="D5421" s="8"/>
      <c r="E5421" s="8"/>
      <c r="F5421" s="8"/>
    </row>
    <row r="5422" spans="4:6">
      <c r="D5422" s="8"/>
      <c r="E5422" s="8"/>
      <c r="F5422" s="8"/>
    </row>
    <row r="5423" spans="4:6">
      <c r="D5423" s="8"/>
      <c r="E5423" s="8"/>
      <c r="F5423" s="8"/>
    </row>
    <row r="5424" spans="4:6">
      <c r="D5424" s="8"/>
      <c r="E5424" s="8"/>
      <c r="F5424" s="8"/>
    </row>
    <row r="5425" spans="4:6">
      <c r="D5425" s="8"/>
      <c r="E5425" s="8"/>
      <c r="F5425" s="8"/>
    </row>
    <row r="5426" spans="4:6">
      <c r="D5426" s="8"/>
      <c r="E5426" s="8"/>
      <c r="F5426" s="8"/>
    </row>
    <row r="5427" spans="4:6">
      <c r="D5427" s="8"/>
      <c r="E5427" s="8"/>
      <c r="F5427" s="8"/>
    </row>
    <row r="5428" spans="4:6">
      <c r="D5428" s="8"/>
      <c r="E5428" s="8"/>
      <c r="F5428" s="8"/>
    </row>
    <row r="5429" spans="4:6">
      <c r="D5429" s="8"/>
      <c r="E5429" s="8"/>
      <c r="F5429" s="8"/>
    </row>
    <row r="5430" spans="4:6">
      <c r="D5430" s="8"/>
      <c r="E5430" s="8"/>
      <c r="F5430" s="8"/>
    </row>
    <row r="5431" spans="4:6">
      <c r="D5431" s="8"/>
      <c r="E5431" s="8"/>
      <c r="F5431" s="8"/>
    </row>
    <row r="5432" spans="4:6">
      <c r="D5432" s="8"/>
      <c r="E5432" s="8"/>
      <c r="F5432" s="8"/>
    </row>
    <row r="5433" spans="4:6">
      <c r="D5433" s="8"/>
      <c r="E5433" s="8"/>
      <c r="F5433" s="8"/>
    </row>
    <row r="5434" spans="4:6">
      <c r="D5434" s="8"/>
      <c r="E5434" s="8"/>
      <c r="F5434" s="8"/>
    </row>
    <row r="5435" spans="4:6">
      <c r="D5435" s="8"/>
      <c r="E5435" s="8"/>
      <c r="F5435" s="8"/>
    </row>
    <row r="5436" spans="4:6">
      <c r="D5436" s="8"/>
      <c r="E5436" s="8"/>
      <c r="F5436" s="8"/>
    </row>
    <row r="5437" spans="4:6">
      <c r="D5437" s="8"/>
      <c r="E5437" s="8"/>
      <c r="F5437" s="8"/>
    </row>
    <row r="5438" spans="4:6">
      <c r="D5438" s="8"/>
      <c r="E5438" s="8"/>
      <c r="F5438" s="8"/>
    </row>
    <row r="5439" spans="4:6">
      <c r="D5439" s="8"/>
      <c r="E5439" s="8"/>
      <c r="F5439" s="8"/>
    </row>
    <row r="5440" spans="4:6">
      <c r="D5440" s="8"/>
      <c r="E5440" s="8"/>
      <c r="F5440" s="8"/>
    </row>
    <row r="5441" spans="4:6">
      <c r="D5441" s="8"/>
      <c r="E5441" s="8"/>
      <c r="F5441" s="8"/>
    </row>
    <row r="5442" spans="4:6">
      <c r="D5442" s="8"/>
      <c r="E5442" s="8"/>
      <c r="F5442" s="8"/>
    </row>
    <row r="5443" spans="4:6">
      <c r="D5443" s="8"/>
      <c r="E5443" s="8"/>
      <c r="F5443" s="8"/>
    </row>
    <row r="5444" spans="4:6">
      <c r="D5444" s="8"/>
      <c r="E5444" s="8"/>
      <c r="F5444" s="8"/>
    </row>
    <row r="5445" spans="4:6">
      <c r="D5445" s="8"/>
      <c r="E5445" s="8"/>
      <c r="F5445" s="8"/>
    </row>
    <row r="5446" spans="4:6">
      <c r="D5446" s="8"/>
      <c r="E5446" s="8"/>
      <c r="F5446" s="8"/>
    </row>
    <row r="5447" spans="4:6">
      <c r="D5447" s="8"/>
      <c r="E5447" s="8"/>
      <c r="F5447" s="8"/>
    </row>
    <row r="5448" spans="4:6">
      <c r="D5448" s="8"/>
      <c r="E5448" s="8"/>
      <c r="F5448" s="8"/>
    </row>
    <row r="5449" spans="4:6">
      <c r="D5449" s="8"/>
      <c r="E5449" s="8"/>
      <c r="F5449" s="8"/>
    </row>
    <row r="5450" spans="4:6">
      <c r="D5450" s="8"/>
      <c r="E5450" s="8"/>
      <c r="F5450" s="8"/>
    </row>
    <row r="5451" spans="4:6">
      <c r="D5451" s="8"/>
      <c r="E5451" s="8"/>
      <c r="F5451" s="8"/>
    </row>
    <row r="5452" spans="4:6">
      <c r="D5452" s="8"/>
      <c r="E5452" s="8"/>
      <c r="F5452" s="8"/>
    </row>
    <row r="5453" spans="4:6">
      <c r="D5453" s="8"/>
      <c r="E5453" s="8"/>
      <c r="F5453" s="8"/>
    </row>
    <row r="5454" spans="4:6">
      <c r="D5454" s="8"/>
      <c r="E5454" s="8"/>
      <c r="F5454" s="8"/>
    </row>
    <row r="5455" spans="4:6">
      <c r="D5455" s="8"/>
      <c r="E5455" s="8"/>
      <c r="F5455" s="8"/>
    </row>
    <row r="5456" spans="4:6">
      <c r="D5456" s="8"/>
      <c r="E5456" s="8"/>
      <c r="F5456" s="8"/>
    </row>
    <row r="5457" spans="4:6">
      <c r="D5457" s="8"/>
      <c r="E5457" s="8"/>
      <c r="F5457" s="8"/>
    </row>
    <row r="5458" spans="4:6">
      <c r="D5458" s="8"/>
      <c r="E5458" s="8"/>
      <c r="F5458" s="8"/>
    </row>
    <row r="5459" spans="4:6">
      <c r="D5459" s="8"/>
      <c r="E5459" s="8"/>
      <c r="F5459" s="8"/>
    </row>
    <row r="5460" spans="4:6">
      <c r="D5460" s="8"/>
      <c r="E5460" s="8"/>
      <c r="F5460" s="8"/>
    </row>
    <row r="5461" spans="4:6">
      <c r="D5461" s="8"/>
      <c r="E5461" s="8"/>
      <c r="F5461" s="8"/>
    </row>
    <row r="5462" spans="4:6">
      <c r="D5462" s="8"/>
      <c r="E5462" s="8"/>
      <c r="F5462" s="8"/>
    </row>
    <row r="5463" spans="4:6">
      <c r="D5463" s="8"/>
      <c r="E5463" s="8"/>
      <c r="F5463" s="8"/>
    </row>
    <row r="5464" spans="4:6">
      <c r="D5464" s="8"/>
      <c r="E5464" s="8"/>
      <c r="F5464" s="8"/>
    </row>
    <row r="5465" spans="4:6">
      <c r="D5465" s="8"/>
      <c r="E5465" s="8"/>
      <c r="F5465" s="8"/>
    </row>
    <row r="5466" spans="4:6">
      <c r="D5466" s="8"/>
      <c r="E5466" s="8"/>
      <c r="F5466" s="8"/>
    </row>
    <row r="5467" spans="4:6">
      <c r="D5467" s="8"/>
      <c r="E5467" s="8"/>
      <c r="F5467" s="8"/>
    </row>
    <row r="5468" spans="4:6">
      <c r="D5468" s="8"/>
      <c r="E5468" s="8"/>
      <c r="F5468" s="8"/>
    </row>
    <row r="5469" spans="4:6">
      <c r="D5469" s="8"/>
      <c r="E5469" s="8"/>
      <c r="F5469" s="8"/>
    </row>
    <row r="5470" spans="4:6">
      <c r="D5470" s="8"/>
      <c r="E5470" s="8"/>
      <c r="F5470" s="8"/>
    </row>
    <row r="5471" spans="4:6">
      <c r="D5471" s="8"/>
      <c r="E5471" s="8"/>
      <c r="F5471" s="8"/>
    </row>
    <row r="5472" spans="4:6">
      <c r="D5472" s="8"/>
      <c r="E5472" s="8"/>
      <c r="F5472" s="8"/>
    </row>
    <row r="5473" spans="4:6">
      <c r="D5473" s="8"/>
      <c r="E5473" s="8"/>
      <c r="F5473" s="8"/>
    </row>
    <row r="5474" spans="4:6">
      <c r="D5474" s="8"/>
      <c r="E5474" s="8"/>
      <c r="F5474" s="8"/>
    </row>
    <row r="5475" spans="4:6">
      <c r="D5475" s="8"/>
      <c r="E5475" s="8"/>
      <c r="F5475" s="8"/>
    </row>
    <row r="5476" spans="4:6">
      <c r="D5476" s="8"/>
      <c r="E5476" s="8"/>
      <c r="F5476" s="8"/>
    </row>
    <row r="5477" spans="4:6">
      <c r="D5477" s="8"/>
      <c r="E5477" s="8"/>
      <c r="F5477" s="8"/>
    </row>
    <row r="5478" spans="4:6">
      <c r="D5478" s="8"/>
      <c r="E5478" s="8"/>
      <c r="F5478" s="8"/>
    </row>
    <row r="5479" spans="4:6">
      <c r="D5479" s="8"/>
      <c r="E5479" s="8"/>
      <c r="F5479" s="8"/>
    </row>
    <row r="5480" spans="4:6">
      <c r="D5480" s="8"/>
      <c r="E5480" s="8"/>
      <c r="F5480" s="8"/>
    </row>
    <row r="5481" spans="4:6">
      <c r="D5481" s="8"/>
      <c r="E5481" s="8"/>
      <c r="F5481" s="8"/>
    </row>
    <row r="5482" spans="4:6">
      <c r="D5482" s="8"/>
      <c r="E5482" s="8"/>
      <c r="F5482" s="8"/>
    </row>
    <row r="5483" spans="4:6">
      <c r="D5483" s="8"/>
      <c r="E5483" s="8"/>
      <c r="F5483" s="8"/>
    </row>
    <row r="5484" spans="4:6">
      <c r="D5484" s="8"/>
      <c r="E5484" s="8"/>
      <c r="F5484" s="8"/>
    </row>
    <row r="5485" spans="4:6">
      <c r="D5485" s="8"/>
      <c r="E5485" s="8"/>
      <c r="F5485" s="8"/>
    </row>
    <row r="5486" spans="4:6">
      <c r="D5486" s="8"/>
      <c r="E5486" s="8"/>
      <c r="F5486" s="8"/>
    </row>
    <row r="5487" spans="4:6">
      <c r="D5487" s="8"/>
      <c r="E5487" s="8"/>
      <c r="F5487" s="8"/>
    </row>
    <row r="5488" spans="4:6">
      <c r="D5488" s="8"/>
      <c r="E5488" s="8"/>
      <c r="F5488" s="8"/>
    </row>
    <row r="5489" spans="4:6">
      <c r="D5489" s="8"/>
      <c r="E5489" s="8"/>
      <c r="F5489" s="8"/>
    </row>
    <row r="5490" spans="4:6">
      <c r="D5490" s="8"/>
      <c r="E5490" s="8"/>
      <c r="F5490" s="8"/>
    </row>
    <row r="5491" spans="4:6">
      <c r="D5491" s="8"/>
      <c r="E5491" s="8"/>
      <c r="F5491" s="8"/>
    </row>
    <row r="5492" spans="4:6">
      <c r="D5492" s="8"/>
      <c r="E5492" s="8"/>
      <c r="F5492" s="8"/>
    </row>
    <row r="5493" spans="4:6">
      <c r="D5493" s="8"/>
      <c r="E5493" s="8"/>
      <c r="F5493" s="8"/>
    </row>
    <row r="5494" spans="4:6">
      <c r="D5494" s="8"/>
      <c r="E5494" s="8"/>
      <c r="F5494" s="8"/>
    </row>
    <row r="5495" spans="4:6">
      <c r="D5495" s="8"/>
      <c r="E5495" s="8"/>
      <c r="F5495" s="8"/>
    </row>
    <row r="5496" spans="4:6">
      <c r="D5496" s="8"/>
      <c r="E5496" s="8"/>
      <c r="F5496" s="8"/>
    </row>
    <row r="5497" spans="4:6">
      <c r="D5497" s="8"/>
      <c r="E5497" s="8"/>
      <c r="F5497" s="8"/>
    </row>
    <row r="5498" spans="4:6">
      <c r="D5498" s="8"/>
      <c r="E5498" s="8"/>
      <c r="F5498" s="8"/>
    </row>
    <row r="5499" spans="4:6">
      <c r="D5499" s="8"/>
      <c r="E5499" s="8"/>
      <c r="F5499" s="8"/>
    </row>
    <row r="5500" spans="4:6">
      <c r="D5500" s="8"/>
      <c r="E5500" s="8"/>
      <c r="F5500" s="8"/>
    </row>
    <row r="5501" spans="4:6">
      <c r="D5501" s="8"/>
      <c r="E5501" s="8"/>
      <c r="F5501" s="8"/>
    </row>
    <row r="5502" spans="4:6">
      <c r="D5502" s="8"/>
      <c r="E5502" s="8"/>
      <c r="F5502" s="8"/>
    </row>
    <row r="5503" spans="4:6">
      <c r="D5503" s="8"/>
      <c r="E5503" s="8"/>
      <c r="F5503" s="8"/>
    </row>
    <row r="5504" spans="4:6">
      <c r="D5504" s="8"/>
      <c r="E5504" s="8"/>
      <c r="F5504" s="8"/>
    </row>
    <row r="5505" spans="4:6">
      <c r="D5505" s="8"/>
      <c r="E5505" s="8"/>
      <c r="F5505" s="8"/>
    </row>
    <row r="5506" spans="4:6">
      <c r="D5506" s="8"/>
      <c r="E5506" s="8"/>
      <c r="F5506" s="8"/>
    </row>
    <row r="5507" spans="4:6">
      <c r="D5507" s="8"/>
      <c r="E5507" s="8"/>
      <c r="F5507" s="8"/>
    </row>
    <row r="5508" spans="4:6">
      <c r="D5508" s="8"/>
      <c r="E5508" s="8"/>
      <c r="F5508" s="8"/>
    </row>
    <row r="5509" spans="4:6">
      <c r="D5509" s="8"/>
      <c r="E5509" s="8"/>
      <c r="F5509" s="8"/>
    </row>
    <row r="5510" spans="4:6">
      <c r="D5510" s="8"/>
      <c r="E5510" s="8"/>
      <c r="F5510" s="8"/>
    </row>
    <row r="5511" spans="4:6">
      <c r="D5511" s="8"/>
      <c r="E5511" s="8"/>
      <c r="F5511" s="8"/>
    </row>
    <row r="5512" spans="4:6">
      <c r="D5512" s="8"/>
      <c r="E5512" s="8"/>
      <c r="F5512" s="8"/>
    </row>
    <row r="5513" spans="4:6">
      <c r="D5513" s="8"/>
      <c r="E5513" s="8"/>
      <c r="F5513" s="8"/>
    </row>
    <row r="5514" spans="4:6">
      <c r="D5514" s="8"/>
      <c r="E5514" s="8"/>
      <c r="F5514" s="8"/>
    </row>
    <row r="5515" spans="4:6">
      <c r="D5515" s="8"/>
      <c r="E5515" s="8"/>
      <c r="F5515" s="8"/>
    </row>
    <row r="5516" spans="4:6">
      <c r="D5516" s="8"/>
      <c r="E5516" s="8"/>
      <c r="F5516" s="8"/>
    </row>
    <row r="5517" spans="4:6">
      <c r="D5517" s="8"/>
      <c r="E5517" s="8"/>
      <c r="F5517" s="8"/>
    </row>
    <row r="5518" spans="4:6">
      <c r="D5518" s="8"/>
      <c r="E5518" s="8"/>
      <c r="F5518" s="8"/>
    </row>
    <row r="5519" spans="4:6">
      <c r="D5519" s="8"/>
      <c r="E5519" s="8"/>
      <c r="F5519" s="8"/>
    </row>
    <row r="5520" spans="4:6">
      <c r="D5520" s="8"/>
      <c r="E5520" s="8"/>
      <c r="F5520" s="8"/>
    </row>
    <row r="5521" spans="4:6">
      <c r="D5521" s="8"/>
      <c r="E5521" s="8"/>
      <c r="F5521" s="8"/>
    </row>
    <row r="5522" spans="4:6">
      <c r="D5522" s="8"/>
      <c r="E5522" s="8"/>
      <c r="F5522" s="8"/>
    </row>
    <row r="5523" spans="4:6">
      <c r="D5523" s="8"/>
      <c r="E5523" s="8"/>
      <c r="F5523" s="8"/>
    </row>
    <row r="5524" spans="4:6">
      <c r="D5524" s="8"/>
      <c r="E5524" s="8"/>
      <c r="F5524" s="8"/>
    </row>
    <row r="5525" spans="4:6">
      <c r="D5525" s="8"/>
      <c r="E5525" s="8"/>
      <c r="F5525" s="8"/>
    </row>
    <row r="5526" spans="4:6">
      <c r="D5526" s="8"/>
      <c r="E5526" s="8"/>
      <c r="F5526" s="8"/>
    </row>
    <row r="5527" spans="4:6">
      <c r="D5527" s="8"/>
      <c r="E5527" s="8"/>
      <c r="F5527" s="8"/>
    </row>
    <row r="5528" spans="4:6">
      <c r="D5528" s="8"/>
      <c r="E5528" s="8"/>
      <c r="F5528" s="8"/>
    </row>
    <row r="5529" spans="4:6">
      <c r="D5529" s="8"/>
      <c r="E5529" s="8"/>
      <c r="F5529" s="8"/>
    </row>
    <row r="5530" spans="4:6">
      <c r="D5530" s="8"/>
      <c r="E5530" s="8"/>
      <c r="F5530" s="8"/>
    </row>
    <row r="5531" spans="4:6">
      <c r="D5531" s="8"/>
      <c r="E5531" s="8"/>
      <c r="F5531" s="8"/>
    </row>
    <row r="5532" spans="4:6">
      <c r="D5532" s="8"/>
      <c r="E5532" s="8"/>
      <c r="F5532" s="8"/>
    </row>
    <row r="5533" spans="4:6">
      <c r="D5533" s="8"/>
      <c r="E5533" s="8"/>
      <c r="F5533" s="8"/>
    </row>
    <row r="5534" spans="4:6">
      <c r="D5534" s="8"/>
      <c r="E5534" s="8"/>
      <c r="F5534" s="8"/>
    </row>
    <row r="5535" spans="4:6">
      <c r="D5535" s="8"/>
      <c r="E5535" s="8"/>
      <c r="F5535" s="8"/>
    </row>
    <row r="5536" spans="4:6">
      <c r="D5536" s="8"/>
      <c r="E5536" s="8"/>
      <c r="F5536" s="8"/>
    </row>
    <row r="5537" spans="4:6">
      <c r="D5537" s="8"/>
      <c r="E5537" s="8"/>
      <c r="F5537" s="8"/>
    </row>
    <row r="5538" spans="4:6">
      <c r="D5538" s="8"/>
      <c r="E5538" s="8"/>
      <c r="F5538" s="8"/>
    </row>
    <row r="5539" spans="4:6">
      <c r="D5539" s="8"/>
      <c r="E5539" s="8"/>
      <c r="F5539" s="8"/>
    </row>
    <row r="5540" spans="4:6">
      <c r="D5540" s="8"/>
      <c r="E5540" s="8"/>
      <c r="F5540" s="8"/>
    </row>
    <row r="5541" spans="4:6">
      <c r="D5541" s="8"/>
      <c r="E5541" s="8"/>
      <c r="F5541" s="8"/>
    </row>
    <row r="5542" spans="4:6">
      <c r="D5542" s="8"/>
      <c r="E5542" s="8"/>
      <c r="F5542" s="8"/>
    </row>
    <row r="5543" spans="4:6">
      <c r="D5543" s="8"/>
      <c r="E5543" s="8"/>
      <c r="F5543" s="8"/>
    </row>
    <row r="5544" spans="4:6">
      <c r="D5544" s="8"/>
      <c r="E5544" s="8"/>
      <c r="F5544" s="8"/>
    </row>
    <row r="5545" spans="4:6">
      <c r="D5545" s="8"/>
      <c r="E5545" s="8"/>
      <c r="F5545" s="8"/>
    </row>
    <row r="5546" spans="4:6">
      <c r="D5546" s="8"/>
      <c r="E5546" s="8"/>
      <c r="F5546" s="8"/>
    </row>
    <row r="5547" spans="4:6">
      <c r="D5547" s="8"/>
      <c r="E5547" s="8"/>
      <c r="F5547" s="8"/>
    </row>
    <row r="5548" spans="4:6">
      <c r="D5548" s="8"/>
      <c r="E5548" s="8"/>
      <c r="F5548" s="8"/>
    </row>
    <row r="5549" spans="4:6">
      <c r="D5549" s="8"/>
      <c r="E5549" s="8"/>
      <c r="F5549" s="8"/>
    </row>
    <row r="5550" spans="4:6">
      <c r="D5550" s="8"/>
      <c r="E5550" s="8"/>
      <c r="F5550" s="8"/>
    </row>
    <row r="5551" spans="4:6">
      <c r="D5551" s="8"/>
      <c r="E5551" s="8"/>
      <c r="F5551" s="8"/>
    </row>
    <row r="5552" spans="4:6">
      <c r="D5552" s="8"/>
      <c r="E5552" s="8"/>
      <c r="F5552" s="8"/>
    </row>
    <row r="5553" spans="4:6">
      <c r="D5553" s="8"/>
      <c r="E5553" s="8"/>
      <c r="F5553" s="8"/>
    </row>
    <row r="5554" spans="4:6">
      <c r="D5554" s="8"/>
      <c r="E5554" s="8"/>
      <c r="F5554" s="8"/>
    </row>
    <row r="5555" spans="4:6">
      <c r="D5555" s="8"/>
      <c r="E5555" s="8"/>
      <c r="F5555" s="8"/>
    </row>
    <row r="5556" spans="4:6">
      <c r="D5556" s="8"/>
      <c r="E5556" s="8"/>
      <c r="F5556" s="8"/>
    </row>
    <row r="5557" spans="4:6">
      <c r="D5557" s="8"/>
      <c r="E5557" s="8"/>
      <c r="F5557" s="8"/>
    </row>
    <row r="5558" spans="4:6">
      <c r="D5558" s="8"/>
      <c r="E5558" s="8"/>
      <c r="F5558" s="8"/>
    </row>
    <row r="5559" spans="4:6">
      <c r="D5559" s="8"/>
      <c r="E5559" s="8"/>
      <c r="F5559" s="8"/>
    </row>
    <row r="5560" spans="4:6">
      <c r="D5560" s="8"/>
      <c r="E5560" s="8"/>
      <c r="F5560" s="8"/>
    </row>
    <row r="5561" spans="4:6">
      <c r="D5561" s="8"/>
      <c r="E5561" s="8"/>
      <c r="F5561" s="8"/>
    </row>
    <row r="5562" spans="4:6">
      <c r="D5562" s="8"/>
      <c r="E5562" s="8"/>
      <c r="F5562" s="8"/>
    </row>
    <row r="5563" spans="4:6">
      <c r="D5563" s="8"/>
      <c r="E5563" s="8"/>
      <c r="F5563" s="8"/>
    </row>
    <row r="5564" spans="4:6">
      <c r="D5564" s="8"/>
      <c r="E5564" s="8"/>
      <c r="F5564" s="8"/>
    </row>
    <row r="5565" spans="4:6">
      <c r="D5565" s="8"/>
      <c r="E5565" s="8"/>
      <c r="F5565" s="8"/>
    </row>
    <row r="5566" spans="4:6">
      <c r="D5566" s="8"/>
      <c r="E5566" s="8"/>
      <c r="F5566" s="8"/>
    </row>
    <row r="5567" spans="4:6">
      <c r="D5567" s="8"/>
      <c r="E5567" s="8"/>
      <c r="F5567" s="8"/>
    </row>
    <row r="5568" spans="4:6">
      <c r="D5568" s="8"/>
      <c r="E5568" s="8"/>
      <c r="F5568" s="8"/>
    </row>
    <row r="5569" spans="4:6">
      <c r="D5569" s="8"/>
      <c r="E5569" s="8"/>
      <c r="F5569" s="8"/>
    </row>
    <row r="5570" spans="4:6">
      <c r="D5570" s="8"/>
      <c r="E5570" s="8"/>
      <c r="F5570" s="8"/>
    </row>
    <row r="5571" spans="4:6">
      <c r="D5571" s="8"/>
      <c r="E5571" s="8"/>
      <c r="F5571" s="8"/>
    </row>
    <row r="5572" spans="4:6">
      <c r="D5572" s="8"/>
      <c r="E5572" s="8"/>
      <c r="F5572" s="8"/>
    </row>
    <row r="5573" spans="4:6">
      <c r="D5573" s="8"/>
      <c r="E5573" s="8"/>
      <c r="F5573" s="8"/>
    </row>
    <row r="5574" spans="4:6">
      <c r="D5574" s="8"/>
      <c r="E5574" s="8"/>
      <c r="F5574" s="8"/>
    </row>
    <row r="5575" spans="4:6">
      <c r="D5575" s="8"/>
      <c r="E5575" s="8"/>
      <c r="F5575" s="8"/>
    </row>
    <row r="5576" spans="4:6">
      <c r="D5576" s="8"/>
      <c r="E5576" s="8"/>
      <c r="F5576" s="8"/>
    </row>
    <row r="5577" spans="4:6">
      <c r="D5577" s="8"/>
      <c r="E5577" s="8"/>
      <c r="F5577" s="8"/>
    </row>
    <row r="5578" spans="4:6">
      <c r="D5578" s="8"/>
      <c r="E5578" s="8"/>
      <c r="F5578" s="8"/>
    </row>
    <row r="5579" spans="4:6">
      <c r="D5579" s="8"/>
      <c r="E5579" s="8"/>
      <c r="F5579" s="8"/>
    </row>
    <row r="5580" spans="4:6">
      <c r="D5580" s="8"/>
      <c r="E5580" s="8"/>
      <c r="F5580" s="8"/>
    </row>
    <row r="5581" spans="4:6">
      <c r="D5581" s="8"/>
      <c r="E5581" s="8"/>
      <c r="F5581" s="8"/>
    </row>
    <row r="5582" spans="4:6">
      <c r="D5582" s="8"/>
      <c r="E5582" s="8"/>
      <c r="F5582" s="8"/>
    </row>
    <row r="5583" spans="4:6">
      <c r="D5583" s="8"/>
      <c r="E5583" s="8"/>
      <c r="F5583" s="8"/>
    </row>
    <row r="5584" spans="4:6">
      <c r="D5584" s="8"/>
      <c r="E5584" s="8"/>
      <c r="F5584" s="8"/>
    </row>
    <row r="5585" spans="4:6">
      <c r="D5585" s="8"/>
      <c r="E5585" s="8"/>
      <c r="F5585" s="8"/>
    </row>
    <row r="5586" spans="4:6">
      <c r="D5586" s="8"/>
      <c r="E5586" s="8"/>
      <c r="F5586" s="8"/>
    </row>
    <row r="5587" spans="4:6">
      <c r="D5587" s="8"/>
      <c r="E5587" s="8"/>
      <c r="F5587" s="8"/>
    </row>
    <row r="5588" spans="4:6">
      <c r="D5588" s="8"/>
      <c r="E5588" s="8"/>
      <c r="F5588" s="8"/>
    </row>
    <row r="5589" spans="4:6">
      <c r="D5589" s="8"/>
      <c r="E5589" s="8"/>
      <c r="F5589" s="8"/>
    </row>
    <row r="5590" spans="4:6">
      <c r="D5590" s="8"/>
      <c r="E5590" s="8"/>
      <c r="F5590" s="8"/>
    </row>
    <row r="5591" spans="4:6">
      <c r="D5591" s="8"/>
      <c r="E5591" s="8"/>
      <c r="F5591" s="8"/>
    </row>
    <row r="5592" spans="4:6">
      <c r="D5592" s="8"/>
      <c r="E5592" s="8"/>
      <c r="F5592" s="8"/>
    </row>
    <row r="5593" spans="4:6">
      <c r="D5593" s="8"/>
      <c r="E5593" s="8"/>
      <c r="F5593" s="8"/>
    </row>
    <row r="5594" spans="4:6">
      <c r="D5594" s="8"/>
      <c r="E5594" s="8"/>
      <c r="F5594" s="8"/>
    </row>
    <row r="5595" spans="4:6">
      <c r="D5595" s="8"/>
      <c r="E5595" s="8"/>
      <c r="F5595" s="8"/>
    </row>
    <row r="5596" spans="4:6">
      <c r="D5596" s="8"/>
      <c r="E5596" s="8"/>
      <c r="F5596" s="8"/>
    </row>
    <row r="5597" spans="4:6">
      <c r="D5597" s="8"/>
      <c r="E5597" s="8"/>
      <c r="F5597" s="8"/>
    </row>
    <row r="5598" spans="4:6">
      <c r="D5598" s="8"/>
      <c r="E5598" s="8"/>
      <c r="F5598" s="8"/>
    </row>
    <row r="5599" spans="4:6">
      <c r="D5599" s="8"/>
      <c r="E5599" s="8"/>
      <c r="F5599" s="8"/>
    </row>
    <row r="5600" spans="4:6">
      <c r="D5600" s="8"/>
      <c r="E5600" s="8"/>
      <c r="F5600" s="8"/>
    </row>
    <row r="5601" spans="4:6">
      <c r="D5601" s="8"/>
      <c r="E5601" s="8"/>
      <c r="F5601" s="8"/>
    </row>
    <row r="5602" spans="4:6">
      <c r="D5602" s="8"/>
      <c r="E5602" s="8"/>
      <c r="F5602" s="8"/>
    </row>
    <row r="5603" spans="4:6">
      <c r="D5603" s="8"/>
      <c r="E5603" s="8"/>
      <c r="F5603" s="8"/>
    </row>
    <row r="5604" spans="4:6">
      <c r="D5604" s="8"/>
      <c r="E5604" s="8"/>
      <c r="F5604" s="8"/>
    </row>
    <row r="5605" spans="4:6">
      <c r="D5605" s="8"/>
      <c r="E5605" s="8"/>
      <c r="F5605" s="8"/>
    </row>
    <row r="5606" spans="4:6">
      <c r="D5606" s="8"/>
      <c r="E5606" s="8"/>
      <c r="F5606" s="8"/>
    </row>
    <row r="5607" spans="4:6">
      <c r="D5607" s="8"/>
      <c r="E5607" s="8"/>
      <c r="F5607" s="8"/>
    </row>
    <row r="5608" spans="4:6">
      <c r="D5608" s="8"/>
      <c r="E5608" s="8"/>
      <c r="F5608" s="8"/>
    </row>
    <row r="5609" spans="4:6">
      <c r="D5609" s="8"/>
      <c r="E5609" s="8"/>
      <c r="F5609" s="8"/>
    </row>
    <row r="5610" spans="4:6">
      <c r="D5610" s="8"/>
      <c r="E5610" s="8"/>
      <c r="F5610" s="8"/>
    </row>
    <row r="5611" spans="4:6">
      <c r="D5611" s="8"/>
      <c r="E5611" s="8"/>
      <c r="F5611" s="8"/>
    </row>
    <row r="5612" spans="4:6">
      <c r="D5612" s="8"/>
      <c r="E5612" s="8"/>
      <c r="F5612" s="8"/>
    </row>
    <row r="5613" spans="4:6">
      <c r="D5613" s="8"/>
      <c r="E5613" s="8"/>
      <c r="F5613" s="8"/>
    </row>
    <row r="5614" spans="4:6">
      <c r="D5614" s="8"/>
      <c r="E5614" s="8"/>
      <c r="F5614" s="8"/>
    </row>
    <row r="5615" spans="4:6">
      <c r="D5615" s="8"/>
      <c r="E5615" s="8"/>
      <c r="F5615" s="8"/>
    </row>
    <row r="5616" spans="4:6">
      <c r="D5616" s="8"/>
      <c r="E5616" s="8"/>
      <c r="F5616" s="8"/>
    </row>
    <row r="5617" spans="4:6">
      <c r="D5617" s="8"/>
      <c r="E5617" s="8"/>
      <c r="F5617" s="8"/>
    </row>
    <row r="5618" spans="4:6">
      <c r="D5618" s="8"/>
      <c r="E5618" s="8"/>
      <c r="F5618" s="8"/>
    </row>
    <row r="5619" spans="4:6">
      <c r="D5619" s="8"/>
      <c r="E5619" s="8"/>
      <c r="F5619" s="8"/>
    </row>
    <row r="5620" spans="4:6">
      <c r="D5620" s="8"/>
      <c r="E5620" s="8"/>
      <c r="F5620" s="8"/>
    </row>
    <row r="5621" spans="4:6">
      <c r="D5621" s="8"/>
      <c r="E5621" s="8"/>
      <c r="F5621" s="8"/>
    </row>
    <row r="5622" spans="4:6">
      <c r="D5622" s="8"/>
      <c r="E5622" s="8"/>
      <c r="F5622" s="8"/>
    </row>
    <row r="5623" spans="4:6">
      <c r="D5623" s="8"/>
      <c r="E5623" s="8"/>
      <c r="F5623" s="8"/>
    </row>
    <row r="5624" spans="4:6">
      <c r="D5624" s="8"/>
      <c r="E5624" s="8"/>
      <c r="F5624" s="8"/>
    </row>
    <row r="5625" spans="4:6">
      <c r="D5625" s="8"/>
      <c r="E5625" s="8"/>
      <c r="F5625" s="8"/>
    </row>
    <row r="5626" spans="4:6">
      <c r="D5626" s="8"/>
      <c r="E5626" s="8"/>
      <c r="F5626" s="8"/>
    </row>
    <row r="5627" spans="4:6">
      <c r="D5627" s="8"/>
      <c r="E5627" s="8"/>
      <c r="F5627" s="8"/>
    </row>
    <row r="5628" spans="4:6">
      <c r="D5628" s="8"/>
      <c r="E5628" s="8"/>
      <c r="F5628" s="8"/>
    </row>
    <row r="5629" spans="4:6">
      <c r="D5629" s="8"/>
      <c r="E5629" s="8"/>
      <c r="F5629" s="8"/>
    </row>
    <row r="5630" spans="4:6">
      <c r="D5630" s="8"/>
      <c r="E5630" s="8"/>
      <c r="F5630" s="8"/>
    </row>
    <row r="5631" spans="4:6">
      <c r="D5631" s="8"/>
      <c r="E5631" s="8"/>
      <c r="F5631" s="8"/>
    </row>
    <row r="5632" spans="4:6">
      <c r="D5632" s="8"/>
      <c r="E5632" s="8"/>
      <c r="F5632" s="8"/>
    </row>
    <row r="5633" spans="4:6">
      <c r="D5633" s="8"/>
      <c r="E5633" s="8"/>
      <c r="F5633" s="8"/>
    </row>
    <row r="5634" spans="4:6">
      <c r="D5634" s="8"/>
      <c r="E5634" s="8"/>
      <c r="F5634" s="8"/>
    </row>
    <row r="5635" spans="4:6">
      <c r="D5635" s="8"/>
      <c r="E5635" s="8"/>
      <c r="F5635" s="8"/>
    </row>
    <row r="5636" spans="4:6">
      <c r="D5636" s="8"/>
      <c r="E5636" s="8"/>
      <c r="F5636" s="8"/>
    </row>
    <row r="5637" spans="4:6">
      <c r="D5637" s="8"/>
      <c r="E5637" s="8"/>
      <c r="F5637" s="8"/>
    </row>
    <row r="5638" spans="4:6">
      <c r="D5638" s="8"/>
      <c r="E5638" s="8"/>
      <c r="F5638" s="8"/>
    </row>
    <row r="5639" spans="4:6">
      <c r="D5639" s="8"/>
      <c r="E5639" s="8"/>
      <c r="F5639" s="8"/>
    </row>
    <row r="5640" spans="4:6">
      <c r="D5640" s="8"/>
      <c r="E5640" s="8"/>
      <c r="F5640" s="8"/>
    </row>
    <row r="5641" spans="4:6">
      <c r="D5641" s="8"/>
      <c r="E5641" s="8"/>
      <c r="F5641" s="8"/>
    </row>
    <row r="5642" spans="4:6">
      <c r="D5642" s="8"/>
      <c r="E5642" s="8"/>
      <c r="F5642" s="8"/>
    </row>
    <row r="5643" spans="4:6">
      <c r="D5643" s="8"/>
      <c r="E5643" s="8"/>
      <c r="F5643" s="8"/>
    </row>
    <row r="5644" spans="4:6">
      <c r="D5644" s="8"/>
      <c r="E5644" s="8"/>
      <c r="F5644" s="8"/>
    </row>
    <row r="5645" spans="4:6">
      <c r="D5645" s="8"/>
      <c r="E5645" s="8"/>
      <c r="F5645" s="8"/>
    </row>
    <row r="5646" spans="4:6">
      <c r="D5646" s="8"/>
      <c r="E5646" s="8"/>
      <c r="F5646" s="8"/>
    </row>
    <row r="5647" spans="4:6">
      <c r="D5647" s="8"/>
      <c r="E5647" s="8"/>
      <c r="F5647" s="8"/>
    </row>
    <row r="5648" spans="4:6">
      <c r="D5648" s="8"/>
      <c r="E5648" s="8"/>
      <c r="F5648" s="8"/>
    </row>
    <row r="5649" spans="4:6">
      <c r="D5649" s="8"/>
      <c r="E5649" s="8"/>
      <c r="F5649" s="8"/>
    </row>
    <row r="5650" spans="4:6">
      <c r="D5650" s="8"/>
      <c r="E5650" s="8"/>
      <c r="F5650" s="8"/>
    </row>
    <row r="5651" spans="4:6">
      <c r="D5651" s="8"/>
      <c r="E5651" s="8"/>
      <c r="F5651" s="8"/>
    </row>
    <row r="5652" spans="4:6">
      <c r="D5652" s="8"/>
      <c r="E5652" s="8"/>
      <c r="F5652" s="8"/>
    </row>
    <row r="5653" spans="4:6">
      <c r="D5653" s="8"/>
      <c r="E5653" s="8"/>
      <c r="F5653" s="8"/>
    </row>
    <row r="5654" spans="4:6">
      <c r="D5654" s="8"/>
      <c r="E5654" s="8"/>
      <c r="F5654" s="8"/>
    </row>
    <row r="5655" spans="4:6">
      <c r="D5655" s="8"/>
      <c r="E5655" s="8"/>
      <c r="F5655" s="8"/>
    </row>
    <row r="5656" spans="4:6">
      <c r="D5656" s="8"/>
      <c r="E5656" s="8"/>
      <c r="F5656" s="8"/>
    </row>
    <row r="5657" spans="4:6">
      <c r="D5657" s="8"/>
      <c r="E5657" s="8"/>
      <c r="F5657" s="8"/>
    </row>
    <row r="5658" spans="4:6">
      <c r="D5658" s="8"/>
      <c r="E5658" s="8"/>
      <c r="F5658" s="8"/>
    </row>
    <row r="5659" spans="4:6">
      <c r="D5659" s="8"/>
      <c r="E5659" s="8"/>
      <c r="F5659" s="8"/>
    </row>
    <row r="5660" spans="4:6">
      <c r="D5660" s="8"/>
      <c r="E5660" s="8"/>
      <c r="F5660" s="8"/>
    </row>
    <row r="5661" spans="4:6">
      <c r="D5661" s="8"/>
      <c r="E5661" s="8"/>
      <c r="F5661" s="8"/>
    </row>
    <row r="5662" spans="4:6">
      <c r="D5662" s="8"/>
      <c r="E5662" s="8"/>
      <c r="F5662" s="8"/>
    </row>
    <row r="5663" spans="4:6">
      <c r="D5663" s="8"/>
      <c r="E5663" s="8"/>
      <c r="F5663" s="8"/>
    </row>
    <row r="5664" spans="4:6">
      <c r="D5664" s="8"/>
      <c r="E5664" s="8"/>
      <c r="F5664" s="8"/>
    </row>
    <row r="5665" spans="4:6">
      <c r="D5665" s="8"/>
      <c r="E5665" s="8"/>
      <c r="F5665" s="8"/>
    </row>
    <row r="5666" spans="4:6">
      <c r="D5666" s="8"/>
      <c r="E5666" s="8"/>
      <c r="F5666" s="8"/>
    </row>
    <row r="5667" spans="4:6">
      <c r="D5667" s="8"/>
      <c r="E5667" s="8"/>
      <c r="F5667" s="8"/>
    </row>
    <row r="5668" spans="4:6">
      <c r="D5668" s="8"/>
      <c r="E5668" s="8"/>
      <c r="F5668" s="8"/>
    </row>
    <row r="5669" spans="4:6">
      <c r="D5669" s="8"/>
      <c r="E5669" s="8"/>
      <c r="F5669" s="8"/>
    </row>
    <row r="5670" spans="4:6">
      <c r="D5670" s="8"/>
      <c r="E5670" s="8"/>
      <c r="F5670" s="8"/>
    </row>
    <row r="5671" spans="4:6">
      <c r="D5671" s="8"/>
      <c r="E5671" s="8"/>
      <c r="F5671" s="8"/>
    </row>
    <row r="5672" spans="4:6">
      <c r="D5672" s="8"/>
      <c r="E5672" s="8"/>
      <c r="F5672" s="8"/>
    </row>
    <row r="5673" spans="4:6">
      <c r="D5673" s="8"/>
      <c r="E5673" s="8"/>
      <c r="F5673" s="8"/>
    </row>
    <row r="5674" spans="4:6">
      <c r="D5674" s="8"/>
      <c r="E5674" s="8"/>
      <c r="F5674" s="8"/>
    </row>
    <row r="5675" spans="4:6">
      <c r="D5675" s="8"/>
      <c r="E5675" s="8"/>
      <c r="F5675" s="8"/>
    </row>
    <row r="5676" spans="4:6">
      <c r="D5676" s="8"/>
      <c r="E5676" s="8"/>
      <c r="F5676" s="8"/>
    </row>
    <row r="5677" spans="4:6">
      <c r="D5677" s="8"/>
      <c r="E5677" s="8"/>
      <c r="F5677" s="8"/>
    </row>
    <row r="5678" spans="4:6">
      <c r="D5678" s="8"/>
      <c r="E5678" s="8"/>
      <c r="F5678" s="8"/>
    </row>
    <row r="5679" spans="4:6">
      <c r="D5679" s="8"/>
      <c r="E5679" s="8"/>
      <c r="F5679" s="8"/>
    </row>
    <row r="5680" spans="4:6">
      <c r="D5680" s="8"/>
      <c r="E5680" s="8"/>
      <c r="F5680" s="8"/>
    </row>
    <row r="5681" spans="4:6">
      <c r="D5681" s="8"/>
      <c r="E5681" s="8"/>
      <c r="F5681" s="8"/>
    </row>
    <row r="5682" spans="4:6">
      <c r="D5682" s="8"/>
      <c r="E5682" s="8"/>
      <c r="F5682" s="8"/>
    </row>
    <row r="5683" spans="4:6">
      <c r="D5683" s="8"/>
      <c r="E5683" s="8"/>
      <c r="F5683" s="8"/>
    </row>
    <row r="5684" spans="4:6">
      <c r="D5684" s="8"/>
      <c r="E5684" s="8"/>
      <c r="F5684" s="8"/>
    </row>
    <row r="5685" spans="4:6">
      <c r="D5685" s="8"/>
      <c r="E5685" s="8"/>
      <c r="F5685" s="8"/>
    </row>
    <row r="5686" spans="4:6">
      <c r="D5686" s="8"/>
      <c r="E5686" s="8"/>
      <c r="F5686" s="8"/>
    </row>
    <row r="5687" spans="4:6">
      <c r="D5687" s="8"/>
      <c r="E5687" s="8"/>
      <c r="F5687" s="8"/>
    </row>
    <row r="5688" spans="4:6">
      <c r="D5688" s="8"/>
      <c r="E5688" s="8"/>
      <c r="F5688" s="8"/>
    </row>
    <row r="5689" spans="4:6">
      <c r="D5689" s="8"/>
      <c r="E5689" s="8"/>
      <c r="F5689" s="8"/>
    </row>
    <row r="5690" spans="4:6">
      <c r="D5690" s="8"/>
      <c r="E5690" s="8"/>
      <c r="F5690" s="8"/>
    </row>
    <row r="5691" spans="4:6">
      <c r="D5691" s="8"/>
      <c r="E5691" s="8"/>
      <c r="F5691" s="8"/>
    </row>
    <row r="5692" spans="4:6">
      <c r="D5692" s="8"/>
      <c r="E5692" s="8"/>
      <c r="F5692" s="8"/>
    </row>
    <row r="5693" spans="4:6">
      <c r="D5693" s="8"/>
      <c r="E5693" s="8"/>
      <c r="F5693" s="8"/>
    </row>
    <row r="5694" spans="4:6">
      <c r="D5694" s="8"/>
      <c r="E5694" s="8"/>
      <c r="F5694" s="8"/>
    </row>
    <row r="5695" spans="4:6">
      <c r="D5695" s="8"/>
      <c r="E5695" s="8"/>
      <c r="F5695" s="8"/>
    </row>
    <row r="5696" spans="4:6">
      <c r="D5696" s="8"/>
      <c r="E5696" s="8"/>
      <c r="F5696" s="8"/>
    </row>
    <row r="5697" spans="4:6">
      <c r="D5697" s="8"/>
      <c r="E5697" s="8"/>
      <c r="F5697" s="8"/>
    </row>
    <row r="5698" spans="4:6">
      <c r="D5698" s="8"/>
      <c r="E5698" s="8"/>
      <c r="F5698" s="8"/>
    </row>
    <row r="5699" spans="4:6">
      <c r="D5699" s="8"/>
      <c r="E5699" s="8"/>
      <c r="F5699" s="8"/>
    </row>
    <row r="5700" spans="4:6">
      <c r="D5700" s="8"/>
      <c r="E5700" s="8"/>
      <c r="F5700" s="8"/>
    </row>
    <row r="5701" spans="4:6">
      <c r="D5701" s="8"/>
      <c r="E5701" s="8"/>
      <c r="F5701" s="8"/>
    </row>
    <row r="5702" spans="4:6">
      <c r="D5702" s="8"/>
      <c r="E5702" s="8"/>
      <c r="F5702" s="8"/>
    </row>
    <row r="5703" spans="4:6">
      <c r="D5703" s="8"/>
      <c r="E5703" s="8"/>
      <c r="F5703" s="8"/>
    </row>
    <row r="5704" spans="4:6">
      <c r="D5704" s="8"/>
      <c r="E5704" s="8"/>
      <c r="F5704" s="8"/>
    </row>
    <row r="5705" spans="4:6">
      <c r="D5705" s="8"/>
      <c r="E5705" s="8"/>
      <c r="F5705" s="8"/>
    </row>
    <row r="5706" spans="4:6">
      <c r="D5706" s="8"/>
      <c r="E5706" s="8"/>
      <c r="F5706" s="8"/>
    </row>
    <row r="5707" spans="4:6">
      <c r="D5707" s="8"/>
      <c r="E5707" s="8"/>
      <c r="F5707" s="8"/>
    </row>
    <row r="5708" spans="4:6">
      <c r="D5708" s="8"/>
      <c r="E5708" s="8"/>
      <c r="F5708" s="8"/>
    </row>
    <row r="5709" spans="4:6">
      <c r="D5709" s="8"/>
      <c r="E5709" s="8"/>
      <c r="F5709" s="8"/>
    </row>
    <row r="5710" spans="4:6">
      <c r="D5710" s="8"/>
      <c r="E5710" s="8"/>
      <c r="F5710" s="8"/>
    </row>
    <row r="5711" spans="4:6">
      <c r="D5711" s="8"/>
      <c r="E5711" s="8"/>
      <c r="F5711" s="8"/>
    </row>
    <row r="5712" spans="4:6">
      <c r="D5712" s="8"/>
      <c r="E5712" s="8"/>
      <c r="F5712" s="8"/>
    </row>
    <row r="5713" spans="4:6">
      <c r="D5713" s="8"/>
      <c r="E5713" s="8"/>
      <c r="F5713" s="8"/>
    </row>
    <row r="5714" spans="4:6">
      <c r="D5714" s="8"/>
      <c r="E5714" s="8"/>
      <c r="F5714" s="8"/>
    </row>
    <row r="5715" spans="4:6">
      <c r="D5715" s="8"/>
      <c r="E5715" s="8"/>
      <c r="F5715" s="8"/>
    </row>
    <row r="5716" spans="4:6">
      <c r="D5716" s="8"/>
      <c r="E5716" s="8"/>
      <c r="F5716" s="8"/>
    </row>
    <row r="5717" spans="4:6">
      <c r="D5717" s="8"/>
      <c r="E5717" s="8"/>
      <c r="F5717" s="8"/>
    </row>
    <row r="5718" spans="4:6">
      <c r="D5718" s="8"/>
      <c r="E5718" s="8"/>
      <c r="F5718" s="8"/>
    </row>
    <row r="5719" spans="4:6">
      <c r="D5719" s="8"/>
      <c r="E5719" s="8"/>
      <c r="F5719" s="8"/>
    </row>
    <row r="5720" spans="4:6">
      <c r="D5720" s="8"/>
      <c r="E5720" s="8"/>
      <c r="F5720" s="8"/>
    </row>
    <row r="5721" spans="4:6">
      <c r="D5721" s="8"/>
      <c r="E5721" s="8"/>
      <c r="F5721" s="8"/>
    </row>
    <row r="5722" spans="4:6">
      <c r="D5722" s="8"/>
      <c r="E5722" s="8"/>
      <c r="F5722" s="8"/>
    </row>
    <row r="5723" spans="4:6">
      <c r="D5723" s="8"/>
      <c r="E5723" s="8"/>
      <c r="F5723" s="8"/>
    </row>
    <row r="5724" spans="4:6">
      <c r="D5724" s="8"/>
      <c r="E5724" s="8"/>
      <c r="F5724" s="8"/>
    </row>
    <row r="5725" spans="4:6">
      <c r="D5725" s="8"/>
      <c r="E5725" s="8"/>
      <c r="F5725" s="8"/>
    </row>
    <row r="5726" spans="4:6">
      <c r="D5726" s="8"/>
      <c r="E5726" s="8"/>
      <c r="F5726" s="8"/>
    </row>
    <row r="5727" spans="4:6">
      <c r="D5727" s="8"/>
      <c r="E5727" s="8"/>
      <c r="F5727" s="8"/>
    </row>
    <row r="5728" spans="4:6">
      <c r="D5728" s="8"/>
      <c r="E5728" s="8"/>
      <c r="F5728" s="8"/>
    </row>
    <row r="5729" spans="4:6">
      <c r="D5729" s="8"/>
      <c r="E5729" s="8"/>
      <c r="F5729" s="8"/>
    </row>
    <row r="5730" spans="4:6">
      <c r="D5730" s="8"/>
      <c r="E5730" s="8"/>
      <c r="F5730" s="8"/>
    </row>
    <row r="5731" spans="4:6">
      <c r="D5731" s="8"/>
      <c r="E5731" s="8"/>
      <c r="F5731" s="8"/>
    </row>
    <row r="5732" spans="4:6">
      <c r="D5732" s="8"/>
      <c r="E5732" s="8"/>
      <c r="F5732" s="8"/>
    </row>
    <row r="5733" spans="4:6">
      <c r="D5733" s="8"/>
      <c r="E5733" s="8"/>
      <c r="F5733" s="8"/>
    </row>
    <row r="5734" spans="4:6">
      <c r="D5734" s="8"/>
      <c r="E5734" s="8"/>
      <c r="F5734" s="8"/>
    </row>
    <row r="5735" spans="4:6">
      <c r="D5735" s="8"/>
      <c r="E5735" s="8"/>
      <c r="F5735" s="8"/>
    </row>
    <row r="5736" spans="4:6">
      <c r="D5736" s="8"/>
      <c r="E5736" s="8"/>
      <c r="F5736" s="8"/>
    </row>
    <row r="5737" spans="4:6">
      <c r="D5737" s="8"/>
      <c r="E5737" s="8"/>
      <c r="F5737" s="8"/>
    </row>
    <row r="5738" spans="4:6">
      <c r="D5738" s="8"/>
      <c r="E5738" s="8"/>
      <c r="F5738" s="8"/>
    </row>
    <row r="5739" spans="4:6">
      <c r="D5739" s="8"/>
      <c r="E5739" s="8"/>
      <c r="F5739" s="8"/>
    </row>
    <row r="5740" spans="4:6">
      <c r="D5740" s="8"/>
      <c r="E5740" s="8"/>
      <c r="F5740" s="8"/>
    </row>
    <row r="5741" spans="4:6">
      <c r="D5741" s="8"/>
      <c r="E5741" s="8"/>
      <c r="F5741" s="8"/>
    </row>
    <row r="5742" spans="4:6">
      <c r="D5742" s="8"/>
      <c r="E5742" s="8"/>
      <c r="F5742" s="8"/>
    </row>
    <row r="5743" spans="4:6">
      <c r="D5743" s="8"/>
      <c r="E5743" s="8"/>
      <c r="F5743" s="8"/>
    </row>
    <row r="5744" spans="4:6">
      <c r="D5744" s="8"/>
      <c r="E5744" s="8"/>
      <c r="F5744" s="8"/>
    </row>
    <row r="5745" spans="4:6">
      <c r="D5745" s="8"/>
      <c r="E5745" s="8"/>
      <c r="F5745" s="8"/>
    </row>
    <row r="5746" spans="4:6">
      <c r="D5746" s="8"/>
      <c r="E5746" s="8"/>
      <c r="F5746" s="8"/>
    </row>
    <row r="5747" spans="4:6">
      <c r="D5747" s="8"/>
      <c r="E5747" s="8"/>
      <c r="F5747" s="8"/>
    </row>
    <row r="5748" spans="4:6">
      <c r="D5748" s="8"/>
      <c r="E5748" s="8"/>
      <c r="F5748" s="8"/>
    </row>
    <row r="5749" spans="4:6">
      <c r="D5749" s="8"/>
      <c r="E5749" s="8"/>
      <c r="F5749" s="8"/>
    </row>
    <row r="5750" spans="4:6">
      <c r="D5750" s="8"/>
      <c r="E5750" s="8"/>
      <c r="F5750" s="8"/>
    </row>
    <row r="5751" spans="4:6">
      <c r="D5751" s="8"/>
      <c r="E5751" s="8"/>
      <c r="F5751" s="8"/>
    </row>
    <row r="5752" spans="4:6">
      <c r="D5752" s="8"/>
      <c r="E5752" s="8"/>
      <c r="F5752" s="8"/>
    </row>
    <row r="5753" spans="4:6">
      <c r="D5753" s="8"/>
      <c r="E5753" s="8"/>
      <c r="F5753" s="8"/>
    </row>
    <row r="5754" spans="4:6">
      <c r="D5754" s="8"/>
      <c r="E5754" s="8"/>
      <c r="F5754" s="8"/>
    </row>
    <row r="5755" spans="4:6">
      <c r="D5755" s="8"/>
      <c r="E5755" s="8"/>
      <c r="F5755" s="8"/>
    </row>
    <row r="5756" spans="4:6">
      <c r="D5756" s="8"/>
      <c r="E5756" s="8"/>
      <c r="F5756" s="8"/>
    </row>
    <row r="5757" spans="4:6">
      <c r="D5757" s="8"/>
      <c r="E5757" s="8"/>
      <c r="F5757" s="8"/>
    </row>
    <row r="5758" spans="4:6">
      <c r="D5758" s="8"/>
      <c r="E5758" s="8"/>
      <c r="F5758" s="8"/>
    </row>
    <row r="5759" spans="4:6">
      <c r="D5759" s="8"/>
      <c r="E5759" s="8"/>
      <c r="F5759" s="8"/>
    </row>
    <row r="5760" spans="4:6">
      <c r="D5760" s="8"/>
      <c r="E5760" s="8"/>
      <c r="F5760" s="8"/>
    </row>
    <row r="5761" spans="4:6">
      <c r="D5761" s="8"/>
      <c r="E5761" s="8"/>
      <c r="F5761" s="8"/>
    </row>
    <row r="5762" spans="4:6">
      <c r="D5762" s="8"/>
      <c r="E5762" s="8"/>
      <c r="F5762" s="8"/>
    </row>
    <row r="5763" spans="4:6">
      <c r="D5763" s="8"/>
      <c r="E5763" s="8"/>
      <c r="F5763" s="8"/>
    </row>
    <row r="5764" spans="4:6">
      <c r="D5764" s="8"/>
      <c r="E5764" s="8"/>
      <c r="F5764" s="8"/>
    </row>
    <row r="5765" spans="4:6">
      <c r="D5765" s="8"/>
      <c r="E5765" s="8"/>
      <c r="F5765" s="8"/>
    </row>
    <row r="5766" spans="4:6">
      <c r="D5766" s="8"/>
      <c r="E5766" s="8"/>
      <c r="F5766" s="8"/>
    </row>
    <row r="5767" spans="4:6">
      <c r="D5767" s="8"/>
      <c r="E5767" s="8"/>
      <c r="F5767" s="8"/>
    </row>
    <row r="5768" spans="4:6">
      <c r="D5768" s="8"/>
      <c r="E5768" s="8"/>
      <c r="F5768" s="8"/>
    </row>
    <row r="5769" spans="4:6">
      <c r="D5769" s="8"/>
      <c r="E5769" s="8"/>
      <c r="F5769" s="8"/>
    </row>
    <row r="5770" spans="4:6">
      <c r="D5770" s="8"/>
      <c r="E5770" s="8"/>
      <c r="F5770" s="8"/>
    </row>
    <row r="5771" spans="4:6">
      <c r="D5771" s="8"/>
      <c r="E5771" s="8"/>
      <c r="F5771" s="8"/>
    </row>
    <row r="5772" spans="4:6">
      <c r="D5772" s="8"/>
      <c r="E5772" s="8"/>
      <c r="F5772" s="8"/>
    </row>
    <row r="5773" spans="4:6">
      <c r="D5773" s="8"/>
      <c r="E5773" s="8"/>
      <c r="F5773" s="8"/>
    </row>
    <row r="5774" spans="4:6">
      <c r="D5774" s="8"/>
      <c r="E5774" s="8"/>
      <c r="F5774" s="8"/>
    </row>
    <row r="5775" spans="4:6">
      <c r="D5775" s="8"/>
      <c r="E5775" s="8"/>
      <c r="F5775" s="8"/>
    </row>
    <row r="5776" spans="4:6">
      <c r="D5776" s="8"/>
      <c r="E5776" s="8"/>
      <c r="F5776" s="8"/>
    </row>
    <row r="5777" spans="4:6">
      <c r="D5777" s="8"/>
      <c r="E5777" s="8"/>
      <c r="F5777" s="8"/>
    </row>
    <row r="5778" spans="4:6">
      <c r="D5778" s="8"/>
      <c r="E5778" s="8"/>
      <c r="F5778" s="8"/>
    </row>
    <row r="5779" spans="4:6">
      <c r="D5779" s="8"/>
      <c r="E5779" s="8"/>
      <c r="F5779" s="8"/>
    </row>
    <row r="5780" spans="4:6">
      <c r="D5780" s="8"/>
      <c r="E5780" s="8"/>
      <c r="F5780" s="8"/>
    </row>
    <row r="5781" spans="4:6">
      <c r="D5781" s="8"/>
      <c r="E5781" s="8"/>
      <c r="F5781" s="8"/>
    </row>
    <row r="5782" spans="4:6">
      <c r="D5782" s="8"/>
      <c r="E5782" s="8"/>
      <c r="F5782" s="8"/>
    </row>
    <row r="5783" spans="4:6">
      <c r="D5783" s="8"/>
      <c r="E5783" s="8"/>
      <c r="F5783" s="8"/>
    </row>
    <row r="5784" spans="4:6">
      <c r="D5784" s="8"/>
      <c r="E5784" s="8"/>
      <c r="F5784" s="8"/>
    </row>
    <row r="5785" spans="4:6">
      <c r="D5785" s="8"/>
      <c r="E5785" s="8"/>
      <c r="F5785" s="8"/>
    </row>
    <row r="5786" spans="4:6">
      <c r="D5786" s="8"/>
      <c r="E5786" s="8"/>
      <c r="F5786" s="8"/>
    </row>
    <row r="5787" spans="4:6">
      <c r="D5787" s="8"/>
      <c r="E5787" s="8"/>
      <c r="F5787" s="8"/>
    </row>
    <row r="5788" spans="4:6">
      <c r="D5788" s="8"/>
      <c r="E5788" s="8"/>
      <c r="F5788" s="8"/>
    </row>
    <row r="5789" spans="4:6">
      <c r="D5789" s="8"/>
      <c r="E5789" s="8"/>
      <c r="F5789" s="8"/>
    </row>
    <row r="5790" spans="4:6">
      <c r="D5790" s="8"/>
      <c r="E5790" s="8"/>
      <c r="F5790" s="8"/>
    </row>
    <row r="5791" spans="4:6">
      <c r="D5791" s="8"/>
      <c r="E5791" s="8"/>
      <c r="F5791" s="8"/>
    </row>
    <row r="5792" spans="4:6">
      <c r="D5792" s="8"/>
      <c r="E5792" s="8"/>
      <c r="F5792" s="8"/>
    </row>
    <row r="5793" spans="4:6">
      <c r="D5793" s="8"/>
      <c r="E5793" s="8"/>
      <c r="F5793" s="8"/>
    </row>
    <row r="5794" spans="4:6">
      <c r="D5794" s="8"/>
      <c r="E5794" s="8"/>
      <c r="F5794" s="8"/>
    </row>
    <row r="5795" spans="4:6">
      <c r="D5795" s="8"/>
      <c r="E5795" s="8"/>
      <c r="F5795" s="8"/>
    </row>
    <row r="5796" spans="4:6">
      <c r="D5796" s="8"/>
      <c r="E5796" s="8"/>
      <c r="F5796" s="8"/>
    </row>
    <row r="5797" spans="4:6">
      <c r="D5797" s="8"/>
      <c r="E5797" s="8"/>
      <c r="F5797" s="8"/>
    </row>
    <row r="5798" spans="4:6">
      <c r="D5798" s="8"/>
      <c r="E5798" s="8"/>
      <c r="F5798" s="8"/>
    </row>
    <row r="5799" spans="4:6">
      <c r="D5799" s="8"/>
      <c r="E5799" s="8"/>
      <c r="F5799" s="8"/>
    </row>
    <row r="5800" spans="4:6">
      <c r="D5800" s="8"/>
      <c r="E5800" s="8"/>
      <c r="F5800" s="8"/>
    </row>
    <row r="5801" spans="4:6">
      <c r="D5801" s="8"/>
      <c r="E5801" s="8"/>
      <c r="F5801" s="8"/>
    </row>
    <row r="5802" spans="4:6">
      <c r="D5802" s="8"/>
      <c r="E5802" s="8"/>
      <c r="F5802" s="8"/>
    </row>
    <row r="5803" spans="4:6">
      <c r="D5803" s="8"/>
      <c r="E5803" s="8"/>
      <c r="F5803" s="8"/>
    </row>
    <row r="5804" spans="4:6">
      <c r="D5804" s="8"/>
      <c r="E5804" s="8"/>
      <c r="F5804" s="8"/>
    </row>
    <row r="5805" spans="4:6">
      <c r="D5805" s="8"/>
      <c r="E5805" s="8"/>
      <c r="F5805" s="8"/>
    </row>
    <row r="5806" spans="4:6">
      <c r="D5806" s="8"/>
      <c r="E5806" s="8"/>
      <c r="F5806" s="8"/>
    </row>
    <row r="5807" spans="4:6">
      <c r="D5807" s="8"/>
      <c r="E5807" s="8"/>
      <c r="F5807" s="8"/>
    </row>
    <row r="5808" spans="4:6">
      <c r="D5808" s="8"/>
      <c r="E5808" s="8"/>
      <c r="F5808" s="8"/>
    </row>
    <row r="5809" spans="4:6">
      <c r="D5809" s="8"/>
      <c r="E5809" s="8"/>
      <c r="F5809" s="8"/>
    </row>
    <row r="5810" spans="4:6">
      <c r="D5810" s="8"/>
      <c r="E5810" s="8"/>
      <c r="F5810" s="8"/>
    </row>
    <row r="5811" spans="4:6">
      <c r="D5811" s="8"/>
      <c r="E5811" s="8"/>
      <c r="F5811" s="8"/>
    </row>
    <row r="5812" spans="4:6">
      <c r="D5812" s="8"/>
      <c r="E5812" s="8"/>
      <c r="F5812" s="8"/>
    </row>
    <row r="5813" spans="4:6">
      <c r="D5813" s="8"/>
      <c r="E5813" s="8"/>
      <c r="F5813" s="8"/>
    </row>
    <row r="5814" spans="4:6">
      <c r="D5814" s="8"/>
      <c r="E5814" s="8"/>
      <c r="F5814" s="8"/>
    </row>
    <row r="5815" spans="4:6">
      <c r="D5815" s="8"/>
      <c r="E5815" s="8"/>
      <c r="F5815" s="8"/>
    </row>
    <row r="5816" spans="4:6">
      <c r="D5816" s="8"/>
      <c r="E5816" s="8"/>
      <c r="F5816" s="8"/>
    </row>
    <row r="5817" spans="4:6">
      <c r="D5817" s="8"/>
      <c r="E5817" s="8"/>
      <c r="F5817" s="8"/>
    </row>
    <row r="5818" spans="4:6">
      <c r="D5818" s="8"/>
      <c r="E5818" s="8"/>
      <c r="F5818" s="8"/>
    </row>
    <row r="5819" spans="4:6">
      <c r="D5819" s="8"/>
      <c r="E5819" s="8"/>
      <c r="F5819" s="8"/>
    </row>
    <row r="5820" spans="4:6">
      <c r="D5820" s="8"/>
      <c r="E5820" s="8"/>
      <c r="F5820" s="8"/>
    </row>
    <row r="5821" spans="4:6">
      <c r="D5821" s="8"/>
      <c r="E5821" s="8"/>
      <c r="F5821" s="8"/>
    </row>
    <row r="5822" spans="4:6">
      <c r="D5822" s="8"/>
      <c r="E5822" s="8"/>
      <c r="F5822" s="8"/>
    </row>
    <row r="5823" spans="4:6">
      <c r="D5823" s="8"/>
      <c r="E5823" s="8"/>
      <c r="F5823" s="8"/>
    </row>
    <row r="5824" spans="4:6">
      <c r="D5824" s="8"/>
      <c r="E5824" s="8"/>
      <c r="F5824" s="8"/>
    </row>
    <row r="5825" spans="4:6">
      <c r="D5825" s="8"/>
      <c r="E5825" s="8"/>
      <c r="F5825" s="8"/>
    </row>
    <row r="5826" spans="4:6">
      <c r="D5826" s="8"/>
      <c r="E5826" s="8"/>
      <c r="F5826" s="8"/>
    </row>
    <row r="5827" spans="4:6">
      <c r="D5827" s="8"/>
      <c r="E5827" s="8"/>
      <c r="F5827" s="8"/>
    </row>
    <row r="5828" spans="4:6">
      <c r="D5828" s="8"/>
      <c r="E5828" s="8"/>
      <c r="F5828" s="8"/>
    </row>
    <row r="5829" spans="4:6">
      <c r="D5829" s="8"/>
      <c r="E5829" s="8"/>
      <c r="F5829" s="8"/>
    </row>
    <row r="5830" spans="4:6">
      <c r="D5830" s="8"/>
      <c r="E5830" s="8"/>
      <c r="F5830" s="8"/>
    </row>
    <row r="5831" spans="4:6">
      <c r="D5831" s="8"/>
      <c r="E5831" s="8"/>
      <c r="F5831" s="8"/>
    </row>
    <row r="5832" spans="4:6">
      <c r="D5832" s="8"/>
      <c r="E5832" s="8"/>
      <c r="F5832" s="8"/>
    </row>
    <row r="5833" spans="4:6">
      <c r="D5833" s="8"/>
      <c r="E5833" s="8"/>
      <c r="F5833" s="8"/>
    </row>
    <row r="5834" spans="4:6">
      <c r="D5834" s="8"/>
      <c r="E5834" s="8"/>
      <c r="F5834" s="8"/>
    </row>
    <row r="5835" spans="4:6">
      <c r="D5835" s="8"/>
      <c r="E5835" s="8"/>
      <c r="F5835" s="8"/>
    </row>
    <row r="5836" spans="4:6">
      <c r="D5836" s="8"/>
      <c r="E5836" s="8"/>
      <c r="F5836" s="8"/>
    </row>
    <row r="5837" spans="4:6">
      <c r="D5837" s="8"/>
      <c r="E5837" s="8"/>
      <c r="F5837" s="8"/>
    </row>
    <row r="5838" spans="4:6">
      <c r="D5838" s="8"/>
      <c r="E5838" s="8"/>
      <c r="F5838" s="8"/>
    </row>
    <row r="5839" spans="4:6">
      <c r="D5839" s="8"/>
      <c r="E5839" s="8"/>
      <c r="F5839" s="8"/>
    </row>
    <row r="5840" spans="4:6">
      <c r="D5840" s="8"/>
      <c r="E5840" s="8"/>
      <c r="F5840" s="8"/>
    </row>
    <row r="5841" spans="4:6">
      <c r="D5841" s="8"/>
      <c r="E5841" s="8"/>
      <c r="F5841" s="8"/>
    </row>
    <row r="5842" spans="4:6">
      <c r="D5842" s="8"/>
      <c r="E5842" s="8"/>
      <c r="F5842" s="8"/>
    </row>
    <row r="5843" spans="4:6">
      <c r="D5843" s="8"/>
      <c r="E5843" s="8"/>
      <c r="F5843" s="8"/>
    </row>
    <row r="5844" spans="4:6">
      <c r="D5844" s="8"/>
      <c r="E5844" s="8"/>
      <c r="F5844" s="8"/>
    </row>
    <row r="5845" spans="4:6">
      <c r="D5845" s="8"/>
      <c r="E5845" s="8"/>
      <c r="F5845" s="8"/>
    </row>
    <row r="5846" spans="4:6">
      <c r="D5846" s="8"/>
      <c r="E5846" s="8"/>
      <c r="F5846" s="8"/>
    </row>
    <row r="5847" spans="4:6">
      <c r="D5847" s="8"/>
      <c r="E5847" s="8"/>
      <c r="F5847" s="8"/>
    </row>
    <row r="5848" spans="4:6">
      <c r="D5848" s="8"/>
      <c r="E5848" s="8"/>
      <c r="F5848" s="8"/>
    </row>
    <row r="5849" spans="4:6">
      <c r="D5849" s="8"/>
      <c r="E5849" s="8"/>
      <c r="F5849" s="8"/>
    </row>
    <row r="5850" spans="4:6">
      <c r="D5850" s="8"/>
      <c r="E5850" s="8"/>
      <c r="F5850" s="8"/>
    </row>
    <row r="5851" spans="4:6">
      <c r="D5851" s="8"/>
      <c r="E5851" s="8"/>
      <c r="F5851" s="8"/>
    </row>
    <row r="5852" spans="4:6">
      <c r="D5852" s="8"/>
      <c r="E5852" s="8"/>
      <c r="F5852" s="8"/>
    </row>
    <row r="5853" spans="4:6">
      <c r="D5853" s="8"/>
      <c r="E5853" s="8"/>
      <c r="F5853" s="8"/>
    </row>
    <row r="5854" spans="4:6">
      <c r="D5854" s="8"/>
      <c r="E5854" s="8"/>
      <c r="F5854" s="8"/>
    </row>
    <row r="5855" spans="4:6">
      <c r="D5855" s="8"/>
      <c r="E5855" s="8"/>
      <c r="F5855" s="8"/>
    </row>
    <row r="5856" spans="4:6">
      <c r="D5856" s="8"/>
      <c r="E5856" s="8"/>
      <c r="F5856" s="8"/>
    </row>
    <row r="5857" spans="4:6">
      <c r="D5857" s="8"/>
      <c r="E5857" s="8"/>
      <c r="F5857" s="8"/>
    </row>
    <row r="5858" spans="4:6">
      <c r="D5858" s="8"/>
      <c r="E5858" s="8"/>
      <c r="F5858" s="8"/>
    </row>
    <row r="5859" spans="4:6">
      <c r="D5859" s="8"/>
      <c r="E5859" s="8"/>
      <c r="F5859" s="8"/>
    </row>
    <row r="5860" spans="4:6">
      <c r="D5860" s="8"/>
      <c r="E5860" s="8"/>
      <c r="F5860" s="8"/>
    </row>
    <row r="5861" spans="4:6">
      <c r="D5861" s="8"/>
      <c r="E5861" s="8"/>
      <c r="F5861" s="8"/>
    </row>
    <row r="5862" spans="4:6">
      <c r="D5862" s="8"/>
      <c r="E5862" s="8"/>
      <c r="F5862" s="8"/>
    </row>
    <row r="5863" spans="4:6">
      <c r="D5863" s="8"/>
      <c r="E5863" s="8"/>
      <c r="F5863" s="8"/>
    </row>
    <row r="5864" spans="4:6">
      <c r="D5864" s="8"/>
      <c r="E5864" s="8"/>
      <c r="F5864" s="8"/>
    </row>
    <row r="5865" spans="4:6">
      <c r="D5865" s="8"/>
      <c r="E5865" s="8"/>
      <c r="F5865" s="8"/>
    </row>
    <row r="5866" spans="4:6">
      <c r="D5866" s="8"/>
      <c r="E5866" s="8"/>
      <c r="F5866" s="8"/>
    </row>
    <row r="5867" spans="4:6">
      <c r="D5867" s="8"/>
      <c r="E5867" s="8"/>
      <c r="F5867" s="8"/>
    </row>
    <row r="5868" spans="4:6">
      <c r="D5868" s="8"/>
      <c r="E5868" s="8"/>
      <c r="F5868" s="8"/>
    </row>
    <row r="5869" spans="4:6">
      <c r="D5869" s="8"/>
      <c r="E5869" s="8"/>
      <c r="F5869" s="8"/>
    </row>
    <row r="5870" spans="4:6">
      <c r="D5870" s="8"/>
      <c r="E5870" s="8"/>
      <c r="F5870" s="8"/>
    </row>
    <row r="5871" spans="4:6">
      <c r="D5871" s="8"/>
      <c r="E5871" s="8"/>
      <c r="F5871" s="8"/>
    </row>
    <row r="5872" spans="4:6">
      <c r="D5872" s="8"/>
      <c r="E5872" s="8"/>
      <c r="F5872" s="8"/>
    </row>
    <row r="5873" spans="4:6">
      <c r="D5873" s="8"/>
      <c r="E5873" s="8"/>
      <c r="F5873" s="8"/>
    </row>
    <row r="5874" spans="4:6">
      <c r="D5874" s="8"/>
      <c r="E5874" s="8"/>
      <c r="F5874" s="8"/>
    </row>
    <row r="5875" spans="4:6">
      <c r="D5875" s="8"/>
      <c r="E5875" s="8"/>
      <c r="F5875" s="8"/>
    </row>
    <row r="5876" spans="4:6">
      <c r="D5876" s="8"/>
      <c r="E5876" s="8"/>
      <c r="F5876" s="8"/>
    </row>
    <row r="5877" spans="4:6">
      <c r="D5877" s="8"/>
      <c r="E5877" s="8"/>
      <c r="F5877" s="8"/>
    </row>
    <row r="5878" spans="4:6">
      <c r="D5878" s="8"/>
      <c r="E5878" s="8"/>
      <c r="F5878" s="8"/>
    </row>
    <row r="5879" spans="4:6">
      <c r="D5879" s="8"/>
      <c r="E5879" s="8"/>
      <c r="F5879" s="8"/>
    </row>
    <row r="5880" spans="4:6">
      <c r="D5880" s="8"/>
      <c r="E5880" s="8"/>
      <c r="F5880" s="8"/>
    </row>
    <row r="5881" spans="4:6">
      <c r="D5881" s="8"/>
      <c r="E5881" s="8"/>
      <c r="F5881" s="8"/>
    </row>
    <row r="5882" spans="4:6">
      <c r="D5882" s="8"/>
      <c r="E5882" s="8"/>
      <c r="F5882" s="8"/>
    </row>
    <row r="5883" spans="4:6">
      <c r="D5883" s="8"/>
      <c r="E5883" s="8"/>
      <c r="F5883" s="8"/>
    </row>
    <row r="5884" spans="4:6">
      <c r="D5884" s="8"/>
      <c r="E5884" s="8"/>
      <c r="F5884" s="8"/>
    </row>
    <row r="5885" spans="4:6">
      <c r="D5885" s="8"/>
      <c r="E5885" s="8"/>
      <c r="F5885" s="8"/>
    </row>
    <row r="5886" spans="4:6">
      <c r="D5886" s="8"/>
      <c r="E5886" s="8"/>
      <c r="F5886" s="8"/>
    </row>
    <row r="5887" spans="4:6">
      <c r="D5887" s="8"/>
      <c r="E5887" s="8"/>
      <c r="F5887" s="8"/>
    </row>
    <row r="5888" spans="4:6">
      <c r="D5888" s="8"/>
      <c r="E5888" s="8"/>
      <c r="F5888" s="8"/>
    </row>
    <row r="5889" spans="4:6">
      <c r="D5889" s="8"/>
      <c r="E5889" s="8"/>
      <c r="F5889" s="8"/>
    </row>
    <row r="5890" spans="4:6">
      <c r="D5890" s="8"/>
      <c r="E5890" s="8"/>
      <c r="F5890" s="8"/>
    </row>
    <row r="5891" spans="4:6">
      <c r="D5891" s="8"/>
      <c r="E5891" s="8"/>
      <c r="F5891" s="8"/>
    </row>
    <row r="5892" spans="4:6">
      <c r="D5892" s="8"/>
      <c r="E5892" s="8"/>
      <c r="F5892" s="8"/>
    </row>
    <row r="5893" spans="4:6">
      <c r="D5893" s="8"/>
      <c r="E5893" s="8"/>
      <c r="F5893" s="8"/>
    </row>
    <row r="5894" spans="4:6">
      <c r="D5894" s="8"/>
      <c r="E5894" s="8"/>
      <c r="F5894" s="8"/>
    </row>
    <row r="5895" spans="4:6">
      <c r="D5895" s="8"/>
      <c r="E5895" s="8"/>
      <c r="F5895" s="8"/>
    </row>
    <row r="5896" spans="4:6">
      <c r="D5896" s="8"/>
      <c r="E5896" s="8"/>
      <c r="F5896" s="8"/>
    </row>
    <row r="5897" spans="4:6">
      <c r="D5897" s="8"/>
      <c r="E5897" s="8"/>
      <c r="F5897" s="8"/>
    </row>
    <row r="5898" spans="4:6">
      <c r="D5898" s="8"/>
      <c r="E5898" s="8"/>
      <c r="F5898" s="8"/>
    </row>
    <row r="5899" spans="4:6">
      <c r="D5899" s="8"/>
      <c r="E5899" s="8"/>
      <c r="F5899" s="8"/>
    </row>
    <row r="5900" spans="4:6">
      <c r="D5900" s="8"/>
      <c r="E5900" s="8"/>
      <c r="F5900" s="8"/>
    </row>
    <row r="5901" spans="4:6">
      <c r="D5901" s="8"/>
      <c r="E5901" s="8"/>
      <c r="F5901" s="8"/>
    </row>
    <row r="5902" spans="4:6">
      <c r="D5902" s="8"/>
      <c r="E5902" s="8"/>
      <c r="F5902" s="8"/>
    </row>
    <row r="5903" spans="4:6">
      <c r="D5903" s="8"/>
      <c r="E5903" s="8"/>
      <c r="F5903" s="8"/>
    </row>
    <row r="5904" spans="4:6">
      <c r="D5904" s="8"/>
      <c r="E5904" s="8"/>
      <c r="F5904" s="8"/>
    </row>
    <row r="5905" spans="4:6">
      <c r="D5905" s="8"/>
      <c r="E5905" s="8"/>
      <c r="F5905" s="8"/>
    </row>
    <row r="5906" spans="4:6">
      <c r="D5906" s="8"/>
      <c r="E5906" s="8"/>
      <c r="F5906" s="8"/>
    </row>
    <row r="5907" spans="4:6">
      <c r="D5907" s="8"/>
      <c r="E5907" s="8"/>
      <c r="F5907" s="8"/>
    </row>
    <row r="5908" spans="4:6">
      <c r="D5908" s="8"/>
      <c r="E5908" s="8"/>
      <c r="F5908" s="8"/>
    </row>
    <row r="5909" spans="4:6">
      <c r="D5909" s="8"/>
      <c r="E5909" s="8"/>
      <c r="F5909" s="8"/>
    </row>
    <row r="5910" spans="4:6">
      <c r="D5910" s="8"/>
      <c r="E5910" s="8"/>
      <c r="F5910" s="8"/>
    </row>
    <row r="5911" spans="4:6">
      <c r="D5911" s="8"/>
      <c r="E5911" s="8"/>
      <c r="F5911" s="8"/>
    </row>
    <row r="5912" spans="4:6">
      <c r="D5912" s="8"/>
      <c r="E5912" s="8"/>
      <c r="F5912" s="8"/>
    </row>
    <row r="5913" spans="4:6">
      <c r="D5913" s="8"/>
      <c r="E5913" s="8"/>
      <c r="F5913" s="8"/>
    </row>
    <row r="5914" spans="4:6">
      <c r="D5914" s="8"/>
      <c r="E5914" s="8"/>
      <c r="F5914" s="8"/>
    </row>
    <row r="5915" spans="4:6">
      <c r="D5915" s="8"/>
      <c r="E5915" s="8"/>
      <c r="F5915" s="8"/>
    </row>
    <row r="5916" spans="4:6">
      <c r="D5916" s="8"/>
      <c r="E5916" s="8"/>
      <c r="F5916" s="8"/>
    </row>
    <row r="5917" spans="4:6">
      <c r="D5917" s="8"/>
      <c r="E5917" s="8"/>
      <c r="F5917" s="8"/>
    </row>
    <row r="5918" spans="4:6">
      <c r="D5918" s="8"/>
      <c r="E5918" s="8"/>
      <c r="F5918" s="8"/>
    </row>
    <row r="5919" spans="4:6">
      <c r="D5919" s="8"/>
      <c r="E5919" s="8"/>
      <c r="F5919" s="8"/>
    </row>
    <row r="5920" spans="4:6">
      <c r="D5920" s="8"/>
      <c r="E5920" s="8"/>
      <c r="F5920" s="8"/>
    </row>
    <row r="5921" spans="4:6">
      <c r="D5921" s="8"/>
      <c r="E5921" s="8"/>
      <c r="F5921" s="8"/>
    </row>
    <row r="5922" spans="4:6">
      <c r="D5922" s="8"/>
      <c r="E5922" s="8"/>
      <c r="F5922" s="8"/>
    </row>
    <row r="5923" spans="4:6">
      <c r="D5923" s="8"/>
      <c r="E5923" s="8"/>
      <c r="F5923" s="8"/>
    </row>
    <row r="5924" spans="4:6">
      <c r="D5924" s="8"/>
      <c r="E5924" s="8"/>
      <c r="F5924" s="8"/>
    </row>
    <row r="5925" spans="4:6">
      <c r="D5925" s="8"/>
      <c r="E5925" s="8"/>
      <c r="F5925" s="8"/>
    </row>
    <row r="5926" spans="4:6">
      <c r="D5926" s="8"/>
      <c r="E5926" s="8"/>
      <c r="F5926" s="8"/>
    </row>
    <row r="5927" spans="4:6">
      <c r="D5927" s="8"/>
      <c r="E5927" s="8"/>
      <c r="F5927" s="8"/>
    </row>
    <row r="5928" spans="4:6">
      <c r="D5928" s="8"/>
      <c r="E5928" s="8"/>
      <c r="F5928" s="8"/>
    </row>
    <row r="5929" spans="4:6">
      <c r="D5929" s="8"/>
      <c r="E5929" s="8"/>
      <c r="F5929" s="8"/>
    </row>
    <row r="5930" spans="4:6">
      <c r="D5930" s="8"/>
      <c r="E5930" s="8"/>
      <c r="F5930" s="8"/>
    </row>
    <row r="5931" spans="4:6">
      <c r="D5931" s="8"/>
      <c r="E5931" s="8"/>
      <c r="F5931" s="8"/>
    </row>
    <row r="5932" spans="4:6">
      <c r="D5932" s="8"/>
      <c r="E5932" s="8"/>
      <c r="F5932" s="8"/>
    </row>
    <row r="5933" spans="4:6">
      <c r="D5933" s="8"/>
      <c r="E5933" s="8"/>
      <c r="F5933" s="8"/>
    </row>
    <row r="5934" spans="4:6">
      <c r="D5934" s="8"/>
      <c r="E5934" s="8"/>
      <c r="F5934" s="8"/>
    </row>
    <row r="5935" spans="4:6">
      <c r="D5935" s="8"/>
      <c r="E5935" s="8"/>
      <c r="F5935" s="8"/>
    </row>
    <row r="5936" spans="4:6">
      <c r="D5936" s="8"/>
      <c r="E5936" s="8"/>
      <c r="F5936" s="8"/>
    </row>
    <row r="5937" spans="4:6">
      <c r="D5937" s="8"/>
      <c r="E5937" s="8"/>
      <c r="F5937" s="8"/>
    </row>
    <row r="5938" spans="4:6">
      <c r="D5938" s="8"/>
      <c r="E5938" s="8"/>
      <c r="F5938" s="8"/>
    </row>
    <row r="5939" spans="4:6">
      <c r="D5939" s="8"/>
      <c r="E5939" s="8"/>
      <c r="F5939" s="8"/>
    </row>
    <row r="5940" spans="4:6">
      <c r="D5940" s="8"/>
      <c r="E5940" s="8"/>
      <c r="F5940" s="8"/>
    </row>
    <row r="5941" spans="4:6">
      <c r="D5941" s="8"/>
      <c r="E5941" s="8"/>
      <c r="F5941" s="8"/>
    </row>
    <row r="5942" spans="4:6">
      <c r="D5942" s="8"/>
      <c r="E5942" s="8"/>
      <c r="F5942" s="8"/>
    </row>
    <row r="5943" spans="4:6">
      <c r="D5943" s="8"/>
      <c r="E5943" s="8"/>
      <c r="F5943" s="8"/>
    </row>
    <row r="5944" spans="4:6">
      <c r="D5944" s="8"/>
      <c r="E5944" s="8"/>
      <c r="F5944" s="8"/>
    </row>
    <row r="5945" spans="4:6">
      <c r="D5945" s="8"/>
      <c r="E5945" s="8"/>
      <c r="F5945" s="8"/>
    </row>
    <row r="5946" spans="4:6">
      <c r="D5946" s="8"/>
      <c r="E5946" s="8"/>
      <c r="F5946" s="8"/>
    </row>
    <row r="5947" spans="4:6">
      <c r="D5947" s="8"/>
      <c r="E5947" s="8"/>
      <c r="F5947" s="8"/>
    </row>
    <row r="5948" spans="4:6">
      <c r="D5948" s="8"/>
      <c r="E5948" s="8"/>
      <c r="F5948" s="8"/>
    </row>
    <row r="5949" spans="4:6">
      <c r="D5949" s="8"/>
      <c r="E5949" s="8"/>
      <c r="F5949" s="8"/>
    </row>
    <row r="5950" spans="4:6">
      <c r="D5950" s="8"/>
      <c r="E5950" s="8"/>
      <c r="F5950" s="8"/>
    </row>
    <row r="5951" spans="4:6">
      <c r="D5951" s="8"/>
      <c r="E5951" s="8"/>
      <c r="F5951" s="8"/>
    </row>
    <row r="5952" spans="4:6">
      <c r="D5952" s="8"/>
      <c r="E5952" s="8"/>
      <c r="F5952" s="8"/>
    </row>
    <row r="5953" spans="4:6">
      <c r="D5953" s="8"/>
      <c r="E5953" s="8"/>
      <c r="F5953" s="8"/>
    </row>
    <row r="5954" spans="4:6">
      <c r="D5954" s="8"/>
      <c r="E5954" s="8"/>
      <c r="F5954" s="8"/>
    </row>
    <row r="5955" spans="4:6">
      <c r="D5955" s="8"/>
      <c r="E5955" s="8"/>
      <c r="F5955" s="8"/>
    </row>
    <row r="5956" spans="4:6">
      <c r="D5956" s="8"/>
      <c r="E5956" s="8"/>
      <c r="F5956" s="8"/>
    </row>
    <row r="5957" spans="4:6">
      <c r="D5957" s="8"/>
      <c r="E5957" s="8"/>
      <c r="F5957" s="8"/>
    </row>
    <row r="5958" spans="4:6">
      <c r="D5958" s="8"/>
      <c r="E5958" s="8"/>
      <c r="F5958" s="8"/>
    </row>
    <row r="5959" spans="4:6">
      <c r="D5959" s="8"/>
      <c r="E5959" s="8"/>
      <c r="F5959" s="8"/>
    </row>
    <row r="5960" spans="4:6">
      <c r="D5960" s="8"/>
      <c r="E5960" s="8"/>
      <c r="F5960" s="8"/>
    </row>
    <row r="5961" spans="4:6">
      <c r="D5961" s="8"/>
      <c r="E5961" s="8"/>
      <c r="F5961" s="8"/>
    </row>
    <row r="5962" spans="4:6">
      <c r="D5962" s="8"/>
      <c r="E5962" s="8"/>
      <c r="F5962" s="8"/>
    </row>
    <row r="5963" spans="4:6">
      <c r="D5963" s="8"/>
      <c r="E5963" s="8"/>
      <c r="F5963" s="8"/>
    </row>
    <row r="5964" spans="4:6">
      <c r="D5964" s="8"/>
      <c r="E5964" s="8"/>
      <c r="F5964" s="8"/>
    </row>
    <row r="5965" spans="4:6">
      <c r="D5965" s="8"/>
      <c r="E5965" s="8"/>
      <c r="F5965" s="8"/>
    </row>
    <row r="5966" spans="4:6">
      <c r="D5966" s="8"/>
      <c r="E5966" s="8"/>
      <c r="F5966" s="8"/>
    </row>
    <row r="5967" spans="4:6">
      <c r="D5967" s="8"/>
      <c r="E5967" s="8"/>
      <c r="F5967" s="8"/>
    </row>
    <row r="5968" spans="4:6">
      <c r="D5968" s="8"/>
      <c r="E5968" s="8"/>
      <c r="F5968" s="8"/>
    </row>
    <row r="5969" spans="4:6">
      <c r="D5969" s="8"/>
      <c r="E5969" s="8"/>
      <c r="F5969" s="8"/>
    </row>
    <row r="5970" spans="4:6">
      <c r="D5970" s="8"/>
      <c r="E5970" s="8"/>
      <c r="F5970" s="8"/>
    </row>
    <row r="5971" spans="4:6">
      <c r="D5971" s="8"/>
      <c r="E5971" s="8"/>
      <c r="F5971" s="8"/>
    </row>
    <row r="5972" spans="4:6">
      <c r="D5972" s="8"/>
      <c r="E5972" s="8"/>
      <c r="F5972" s="8"/>
    </row>
    <row r="5973" spans="4:6">
      <c r="D5973" s="8"/>
      <c r="E5973" s="8"/>
      <c r="F5973" s="8"/>
    </row>
    <row r="5974" spans="4:6">
      <c r="D5974" s="8"/>
      <c r="E5974" s="8"/>
      <c r="F5974" s="8"/>
    </row>
    <row r="5975" spans="4:6">
      <c r="D5975" s="8"/>
      <c r="E5975" s="8"/>
      <c r="F5975" s="8"/>
    </row>
    <row r="5976" spans="4:6">
      <c r="D5976" s="8"/>
      <c r="E5976" s="8"/>
      <c r="F5976" s="8"/>
    </row>
    <row r="5977" spans="4:6">
      <c r="D5977" s="8"/>
      <c r="E5977" s="8"/>
      <c r="F5977" s="8"/>
    </row>
    <row r="5978" spans="4:6">
      <c r="D5978" s="8"/>
      <c r="E5978" s="8"/>
      <c r="F5978" s="8"/>
    </row>
    <row r="5979" spans="4:6">
      <c r="D5979" s="8"/>
      <c r="E5979" s="8"/>
      <c r="F5979" s="8"/>
    </row>
    <row r="5980" spans="4:6">
      <c r="D5980" s="8"/>
      <c r="E5980" s="8"/>
      <c r="F5980" s="8"/>
    </row>
    <row r="5981" spans="4:6">
      <c r="D5981" s="8"/>
      <c r="E5981" s="8"/>
      <c r="F5981" s="8"/>
    </row>
    <row r="5982" spans="4:6">
      <c r="D5982" s="8"/>
      <c r="E5982" s="8"/>
      <c r="F5982" s="8"/>
    </row>
    <row r="5983" spans="4:6">
      <c r="D5983" s="8"/>
      <c r="E5983" s="8"/>
      <c r="F5983" s="8"/>
    </row>
    <row r="5984" spans="4:6">
      <c r="D5984" s="8"/>
      <c r="E5984" s="8"/>
      <c r="F5984" s="8"/>
    </row>
    <row r="5985" spans="4:6">
      <c r="D5985" s="8"/>
      <c r="E5985" s="8"/>
      <c r="F5985" s="8"/>
    </row>
    <row r="5986" spans="4:6">
      <c r="D5986" s="8"/>
      <c r="E5986" s="8"/>
      <c r="F5986" s="8"/>
    </row>
    <row r="5987" spans="4:6">
      <c r="D5987" s="8"/>
      <c r="E5987" s="8"/>
      <c r="F5987" s="8"/>
    </row>
    <row r="5988" spans="4:6">
      <c r="D5988" s="8"/>
      <c r="E5988" s="8"/>
      <c r="F5988" s="8"/>
    </row>
    <row r="5989" spans="4:6">
      <c r="D5989" s="8"/>
      <c r="E5989" s="8"/>
      <c r="F5989" s="8"/>
    </row>
    <row r="5990" spans="4:6">
      <c r="D5990" s="8"/>
      <c r="E5990" s="8"/>
      <c r="F5990" s="8"/>
    </row>
    <row r="5991" spans="4:6">
      <c r="D5991" s="8"/>
      <c r="E5991" s="8"/>
      <c r="F5991" s="8"/>
    </row>
    <row r="5992" spans="4:6">
      <c r="D5992" s="8"/>
      <c r="E5992" s="8"/>
      <c r="F5992" s="8"/>
    </row>
    <row r="5993" spans="4:6">
      <c r="D5993" s="8"/>
      <c r="E5993" s="8"/>
      <c r="F5993" s="8"/>
    </row>
    <row r="5994" spans="4:6">
      <c r="D5994" s="8"/>
      <c r="E5994" s="8"/>
      <c r="F5994" s="8"/>
    </row>
    <row r="5995" spans="4:6">
      <c r="D5995" s="8"/>
      <c r="E5995" s="8"/>
      <c r="F5995" s="8"/>
    </row>
    <row r="5996" spans="4:6">
      <c r="D5996" s="8"/>
      <c r="E5996" s="8"/>
      <c r="F5996" s="8"/>
    </row>
    <row r="5997" spans="4:6">
      <c r="D5997" s="8"/>
      <c r="E5997" s="8"/>
      <c r="F5997" s="8"/>
    </row>
    <row r="5998" spans="4:6">
      <c r="D5998" s="8"/>
      <c r="E5998" s="8"/>
      <c r="F5998" s="8"/>
    </row>
    <row r="5999" spans="4:6">
      <c r="D5999" s="8"/>
      <c r="E5999" s="8"/>
      <c r="F5999" s="8"/>
    </row>
    <row r="6000" spans="4:6">
      <c r="D6000" s="8"/>
      <c r="E6000" s="8"/>
      <c r="F6000" s="8"/>
    </row>
    <row r="6001" spans="4:6">
      <c r="D6001" s="8"/>
      <c r="E6001" s="8"/>
      <c r="F6001" s="8"/>
    </row>
    <row r="6002" spans="4:6">
      <c r="D6002" s="8"/>
      <c r="E6002" s="8"/>
      <c r="F6002" s="8"/>
    </row>
    <row r="6003" spans="4:6">
      <c r="D6003" s="8"/>
      <c r="E6003" s="8"/>
      <c r="F6003" s="8"/>
    </row>
    <row r="6004" spans="4:6">
      <c r="D6004" s="8"/>
      <c r="E6004" s="8"/>
      <c r="F6004" s="8"/>
    </row>
    <row r="6005" spans="4:6">
      <c r="D6005" s="8"/>
      <c r="E6005" s="8"/>
      <c r="F6005" s="8"/>
    </row>
    <row r="6006" spans="4:6">
      <c r="D6006" s="8"/>
      <c r="E6006" s="8"/>
      <c r="F6006" s="8"/>
    </row>
    <row r="6007" spans="4:6">
      <c r="D6007" s="8"/>
      <c r="E6007" s="8"/>
      <c r="F6007" s="8"/>
    </row>
    <row r="6008" spans="4:6">
      <c r="D6008" s="8"/>
      <c r="E6008" s="8"/>
      <c r="F6008" s="8"/>
    </row>
    <row r="6009" spans="4:6">
      <c r="D6009" s="8"/>
      <c r="E6009" s="8"/>
      <c r="F6009" s="8"/>
    </row>
    <row r="6010" spans="4:6">
      <c r="D6010" s="8"/>
      <c r="E6010" s="8"/>
      <c r="F6010" s="8"/>
    </row>
    <row r="6011" spans="4:6">
      <c r="D6011" s="8"/>
      <c r="E6011" s="8"/>
      <c r="F6011" s="8"/>
    </row>
    <row r="6012" spans="4:6">
      <c r="D6012" s="8"/>
      <c r="E6012" s="8"/>
      <c r="F6012" s="8"/>
    </row>
    <row r="6013" spans="4:6">
      <c r="D6013" s="8"/>
      <c r="E6013" s="8"/>
      <c r="F6013" s="8"/>
    </row>
    <row r="6014" spans="4:6">
      <c r="D6014" s="8"/>
      <c r="E6014" s="8"/>
      <c r="F6014" s="8"/>
    </row>
    <row r="6015" spans="4:6">
      <c r="D6015" s="8"/>
      <c r="E6015" s="8"/>
      <c r="F6015" s="8"/>
    </row>
    <row r="6016" spans="4:6">
      <c r="D6016" s="8"/>
      <c r="E6016" s="8"/>
      <c r="F6016" s="8"/>
    </row>
    <row r="6017" spans="4:6">
      <c r="D6017" s="8"/>
      <c r="E6017" s="8"/>
      <c r="F6017" s="8"/>
    </row>
    <row r="6018" spans="4:6">
      <c r="D6018" s="8"/>
      <c r="E6018" s="8"/>
      <c r="F6018" s="8"/>
    </row>
    <row r="6019" spans="4:6">
      <c r="D6019" s="8"/>
      <c r="E6019" s="8"/>
      <c r="F6019" s="8"/>
    </row>
    <row r="6020" spans="4:6">
      <c r="D6020" s="8"/>
      <c r="E6020" s="8"/>
      <c r="F6020" s="8"/>
    </row>
    <row r="6021" spans="4:6">
      <c r="D6021" s="8"/>
      <c r="E6021" s="8"/>
      <c r="F6021" s="8"/>
    </row>
    <row r="6022" spans="4:6">
      <c r="D6022" s="8"/>
      <c r="E6022" s="8"/>
      <c r="F6022" s="8"/>
    </row>
    <row r="6023" spans="4:6">
      <c r="D6023" s="8"/>
      <c r="E6023" s="8"/>
      <c r="F6023" s="8"/>
    </row>
    <row r="6024" spans="4:6">
      <c r="D6024" s="8"/>
      <c r="E6024" s="8"/>
      <c r="F6024" s="8"/>
    </row>
    <row r="6025" spans="4:6">
      <c r="D6025" s="8"/>
      <c r="E6025" s="8"/>
      <c r="F6025" s="8"/>
    </row>
    <row r="6026" spans="4:6">
      <c r="D6026" s="8"/>
      <c r="E6026" s="8"/>
      <c r="F6026" s="8"/>
    </row>
    <row r="6027" spans="4:6">
      <c r="D6027" s="8"/>
      <c r="E6027" s="8"/>
      <c r="F6027" s="8"/>
    </row>
    <row r="6028" spans="4:6">
      <c r="D6028" s="8"/>
      <c r="E6028" s="8"/>
      <c r="F6028" s="8"/>
    </row>
    <row r="6029" spans="4:6">
      <c r="D6029" s="8"/>
      <c r="E6029" s="8"/>
      <c r="F6029" s="8"/>
    </row>
    <row r="6030" spans="4:6">
      <c r="D6030" s="8"/>
      <c r="E6030" s="8"/>
      <c r="F6030" s="8"/>
    </row>
    <row r="6031" spans="4:6">
      <c r="D6031" s="8"/>
      <c r="E6031" s="8"/>
      <c r="F6031" s="8"/>
    </row>
    <row r="6032" spans="4:6">
      <c r="D6032" s="8"/>
      <c r="E6032" s="8"/>
      <c r="F6032" s="8"/>
    </row>
    <row r="6033" spans="4:6">
      <c r="D6033" s="8"/>
      <c r="E6033" s="8"/>
      <c r="F6033" s="8"/>
    </row>
    <row r="6034" spans="4:6">
      <c r="D6034" s="8"/>
      <c r="E6034" s="8"/>
      <c r="F6034" s="8"/>
    </row>
    <row r="6035" spans="4:6">
      <c r="D6035" s="8"/>
      <c r="E6035" s="8"/>
      <c r="F6035" s="8"/>
    </row>
    <row r="6036" spans="4:6">
      <c r="D6036" s="8"/>
      <c r="E6036" s="8"/>
      <c r="F6036" s="8"/>
    </row>
    <row r="6037" spans="4:6">
      <c r="D6037" s="8"/>
      <c r="E6037" s="8"/>
      <c r="F6037" s="8"/>
    </row>
    <row r="6038" spans="4:6">
      <c r="D6038" s="8"/>
      <c r="E6038" s="8"/>
      <c r="F6038" s="8"/>
    </row>
    <row r="6039" spans="4:6">
      <c r="D6039" s="8"/>
      <c r="E6039" s="8"/>
      <c r="F6039" s="8"/>
    </row>
    <row r="6040" spans="4:6">
      <c r="D6040" s="8"/>
      <c r="E6040" s="8"/>
      <c r="F6040" s="8"/>
    </row>
    <row r="6041" spans="4:6">
      <c r="D6041" s="8"/>
      <c r="E6041" s="8"/>
      <c r="F6041" s="8"/>
    </row>
    <row r="6042" spans="4:6">
      <c r="D6042" s="8"/>
      <c r="E6042" s="8"/>
      <c r="F6042" s="8"/>
    </row>
    <row r="6043" spans="4:6">
      <c r="D6043" s="8"/>
      <c r="E6043" s="8"/>
      <c r="F6043" s="8"/>
    </row>
    <row r="6044" spans="4:6">
      <c r="D6044" s="8"/>
      <c r="E6044" s="8"/>
      <c r="F6044" s="8"/>
    </row>
    <row r="6045" spans="4:6">
      <c r="D6045" s="8"/>
      <c r="E6045" s="8"/>
      <c r="F6045" s="8"/>
    </row>
    <row r="6046" spans="4:6">
      <c r="D6046" s="8"/>
      <c r="E6046" s="8"/>
      <c r="F6046" s="8"/>
    </row>
    <row r="6047" spans="4:6">
      <c r="D6047" s="8"/>
      <c r="E6047" s="8"/>
      <c r="F6047" s="8"/>
    </row>
    <row r="6048" spans="4:6">
      <c r="D6048" s="8"/>
      <c r="E6048" s="8"/>
      <c r="F6048" s="8"/>
    </row>
    <row r="6049" spans="4:6">
      <c r="D6049" s="8"/>
      <c r="E6049" s="8"/>
      <c r="F6049" s="8"/>
    </row>
    <row r="6050" spans="4:6">
      <c r="D6050" s="8"/>
      <c r="E6050" s="8"/>
      <c r="F6050" s="8"/>
    </row>
    <row r="6051" spans="4:6">
      <c r="D6051" s="8"/>
      <c r="E6051" s="8"/>
      <c r="F6051" s="8"/>
    </row>
    <row r="6052" spans="4:6">
      <c r="D6052" s="8"/>
      <c r="E6052" s="8"/>
      <c r="F6052" s="8"/>
    </row>
    <row r="6053" spans="4:6">
      <c r="D6053" s="8"/>
      <c r="E6053" s="8"/>
      <c r="F6053" s="8"/>
    </row>
    <row r="6054" spans="4:6">
      <c r="D6054" s="8"/>
      <c r="E6054" s="8"/>
      <c r="F6054" s="8"/>
    </row>
    <row r="6055" spans="4:6">
      <c r="D6055" s="8"/>
      <c r="E6055" s="8"/>
      <c r="F6055" s="8"/>
    </row>
    <row r="6056" spans="4:6">
      <c r="D6056" s="8"/>
      <c r="E6056" s="8"/>
      <c r="F6056" s="8"/>
    </row>
    <row r="6057" spans="4:6">
      <c r="D6057" s="8"/>
      <c r="E6057" s="8"/>
      <c r="F6057" s="8"/>
    </row>
    <row r="6058" spans="4:6">
      <c r="D6058" s="8"/>
      <c r="E6058" s="8"/>
      <c r="F6058" s="8"/>
    </row>
    <row r="6059" spans="4:6">
      <c r="D6059" s="8"/>
      <c r="E6059" s="8"/>
      <c r="F6059" s="8"/>
    </row>
    <row r="6060" spans="4:6">
      <c r="D6060" s="8"/>
      <c r="E6060" s="8"/>
      <c r="F6060" s="8"/>
    </row>
    <row r="6061" spans="4:6">
      <c r="D6061" s="8"/>
      <c r="E6061" s="8"/>
      <c r="F6061" s="8"/>
    </row>
    <row r="6062" spans="4:6">
      <c r="D6062" s="8"/>
      <c r="E6062" s="8"/>
      <c r="F6062" s="8"/>
    </row>
    <row r="6063" spans="4:6">
      <c r="D6063" s="8"/>
      <c r="E6063" s="8"/>
      <c r="F6063" s="8"/>
    </row>
    <row r="6064" spans="4:6">
      <c r="D6064" s="8"/>
      <c r="E6064" s="8"/>
      <c r="F6064" s="8"/>
    </row>
    <row r="6065" spans="4:6">
      <c r="D6065" s="8"/>
      <c r="E6065" s="8"/>
      <c r="F6065" s="8"/>
    </row>
    <row r="6066" spans="4:6">
      <c r="D6066" s="8"/>
      <c r="E6066" s="8"/>
      <c r="F6066" s="8"/>
    </row>
    <row r="6067" spans="4:6">
      <c r="D6067" s="8"/>
      <c r="E6067" s="8"/>
      <c r="F6067" s="8"/>
    </row>
    <row r="6068" spans="4:6">
      <c r="D6068" s="8"/>
      <c r="E6068" s="8"/>
      <c r="F6068" s="8"/>
    </row>
    <row r="6069" spans="4:6">
      <c r="D6069" s="8"/>
      <c r="E6069" s="8"/>
      <c r="F6069" s="8"/>
    </row>
    <row r="6070" spans="4:6">
      <c r="D6070" s="8"/>
      <c r="E6070" s="8"/>
      <c r="F6070" s="8"/>
    </row>
    <row r="6071" spans="4:6">
      <c r="D6071" s="8"/>
      <c r="E6071" s="8"/>
      <c r="F6071" s="8"/>
    </row>
    <row r="6072" spans="4:6">
      <c r="D6072" s="8"/>
      <c r="E6072" s="8"/>
      <c r="F6072" s="8"/>
    </row>
    <row r="6073" spans="4:6">
      <c r="D6073" s="8"/>
      <c r="E6073" s="8"/>
      <c r="F6073" s="8"/>
    </row>
    <row r="6074" spans="4:6">
      <c r="D6074" s="8"/>
      <c r="E6074" s="8"/>
      <c r="F6074" s="8"/>
    </row>
    <row r="6075" spans="4:6">
      <c r="D6075" s="8"/>
      <c r="E6075" s="8"/>
      <c r="F6075" s="8"/>
    </row>
    <row r="6076" spans="4:6">
      <c r="D6076" s="8"/>
      <c r="E6076" s="8"/>
      <c r="F6076" s="8"/>
    </row>
    <row r="6077" spans="4:6">
      <c r="D6077" s="8"/>
      <c r="E6077" s="8"/>
      <c r="F6077" s="8"/>
    </row>
    <row r="6078" spans="4:6">
      <c r="D6078" s="8"/>
      <c r="E6078" s="8"/>
      <c r="F6078" s="8"/>
    </row>
    <row r="6079" spans="4:6">
      <c r="D6079" s="8"/>
      <c r="E6079" s="8"/>
      <c r="F6079" s="8"/>
    </row>
    <row r="6080" spans="4:6">
      <c r="D6080" s="8"/>
      <c r="E6080" s="8"/>
      <c r="F6080" s="8"/>
    </row>
    <row r="6081" spans="4:6">
      <c r="D6081" s="8"/>
      <c r="E6081" s="8"/>
      <c r="F6081" s="8"/>
    </row>
    <row r="6082" spans="4:6">
      <c r="D6082" s="8"/>
      <c r="E6082" s="8"/>
      <c r="F6082" s="8"/>
    </row>
    <row r="6083" spans="4:6">
      <c r="D6083" s="8"/>
      <c r="E6083" s="8"/>
      <c r="F6083" s="8"/>
    </row>
    <row r="6084" spans="4:6">
      <c r="D6084" s="8"/>
      <c r="E6084" s="8"/>
      <c r="F6084" s="8"/>
    </row>
    <row r="6085" spans="4:6">
      <c r="D6085" s="8"/>
      <c r="E6085" s="8"/>
      <c r="F6085" s="8"/>
    </row>
    <row r="6086" spans="4:6">
      <c r="D6086" s="8"/>
      <c r="E6086" s="8"/>
      <c r="F6086" s="8"/>
    </row>
    <row r="6087" spans="4:6">
      <c r="D6087" s="8"/>
      <c r="E6087" s="8"/>
      <c r="F6087" s="8"/>
    </row>
    <row r="6088" spans="4:6">
      <c r="D6088" s="8"/>
      <c r="E6088" s="8"/>
      <c r="F6088" s="8"/>
    </row>
    <row r="6089" spans="4:6">
      <c r="D6089" s="8"/>
      <c r="E6089" s="8"/>
      <c r="F6089" s="8"/>
    </row>
    <row r="6090" spans="4:6">
      <c r="D6090" s="8"/>
      <c r="E6090" s="8"/>
      <c r="F6090" s="8"/>
    </row>
    <row r="6091" spans="4:6">
      <c r="D6091" s="8"/>
      <c r="E6091" s="8"/>
      <c r="F6091" s="8"/>
    </row>
    <row r="6092" spans="4:6">
      <c r="D6092" s="8"/>
      <c r="E6092" s="8"/>
      <c r="F6092" s="8"/>
    </row>
    <row r="6093" spans="4:6">
      <c r="D6093" s="8"/>
      <c r="E6093" s="8"/>
      <c r="F6093" s="8"/>
    </row>
    <row r="6094" spans="4:6">
      <c r="D6094" s="8"/>
      <c r="E6094" s="8"/>
      <c r="F6094" s="8"/>
    </row>
    <row r="6095" spans="4:6">
      <c r="D6095" s="8"/>
      <c r="E6095" s="8"/>
      <c r="F6095" s="8"/>
    </row>
    <row r="6096" spans="4:6">
      <c r="D6096" s="8"/>
      <c r="E6096" s="8"/>
      <c r="F6096" s="8"/>
    </row>
    <row r="6097" spans="4:6">
      <c r="D6097" s="8"/>
      <c r="E6097" s="8"/>
      <c r="F6097" s="8"/>
    </row>
    <row r="6098" spans="4:6">
      <c r="D6098" s="8"/>
      <c r="E6098" s="8"/>
      <c r="F6098" s="8"/>
    </row>
    <row r="6099" spans="4:6">
      <c r="D6099" s="8"/>
      <c r="E6099" s="8"/>
      <c r="F6099" s="8"/>
    </row>
    <row r="6100" spans="4:6">
      <c r="D6100" s="8"/>
      <c r="E6100" s="8"/>
      <c r="F6100" s="8"/>
    </row>
    <row r="6101" spans="4:6">
      <c r="D6101" s="8"/>
      <c r="E6101" s="8"/>
      <c r="F6101" s="8"/>
    </row>
    <row r="6102" spans="4:6">
      <c r="D6102" s="8"/>
      <c r="E6102" s="8"/>
      <c r="F6102" s="8"/>
    </row>
    <row r="6103" spans="4:6">
      <c r="D6103" s="8"/>
      <c r="E6103" s="8"/>
      <c r="F6103" s="8"/>
    </row>
    <row r="6104" spans="4:6">
      <c r="D6104" s="8"/>
      <c r="E6104" s="8"/>
      <c r="F6104" s="8"/>
    </row>
    <row r="6105" spans="4:6">
      <c r="D6105" s="8"/>
      <c r="E6105" s="8"/>
      <c r="F6105" s="8"/>
    </row>
    <row r="6106" spans="4:6">
      <c r="D6106" s="8"/>
      <c r="E6106" s="8"/>
      <c r="F6106" s="8"/>
    </row>
    <row r="6107" spans="4:6">
      <c r="D6107" s="8"/>
      <c r="E6107" s="8"/>
      <c r="F6107" s="8"/>
    </row>
    <row r="6108" spans="4:6">
      <c r="D6108" s="8"/>
      <c r="E6108" s="8"/>
      <c r="F6108" s="8"/>
    </row>
    <row r="6109" spans="4:6">
      <c r="D6109" s="8"/>
      <c r="E6109" s="8"/>
      <c r="F6109" s="8"/>
    </row>
    <row r="6110" spans="4:6">
      <c r="D6110" s="8"/>
      <c r="E6110" s="8"/>
      <c r="F6110" s="8"/>
    </row>
    <row r="6111" spans="4:6">
      <c r="D6111" s="8"/>
      <c r="E6111" s="8"/>
      <c r="F6111" s="8"/>
    </row>
    <row r="6112" spans="4:6">
      <c r="D6112" s="8"/>
      <c r="E6112" s="8"/>
      <c r="F6112" s="8"/>
    </row>
    <row r="6113" spans="4:6">
      <c r="D6113" s="8"/>
      <c r="E6113" s="8"/>
      <c r="F6113" s="8"/>
    </row>
    <row r="6114" spans="4:6">
      <c r="D6114" s="8"/>
      <c r="E6114" s="8"/>
      <c r="F6114" s="8"/>
    </row>
    <row r="6115" spans="4:6">
      <c r="D6115" s="8"/>
      <c r="E6115" s="8"/>
      <c r="F6115" s="8"/>
    </row>
    <row r="6116" spans="4:6">
      <c r="D6116" s="8"/>
      <c r="E6116" s="8"/>
      <c r="F6116" s="8"/>
    </row>
    <row r="6117" spans="4:6">
      <c r="D6117" s="8"/>
      <c r="E6117" s="8"/>
      <c r="F6117" s="8"/>
    </row>
    <row r="6118" spans="4:6">
      <c r="D6118" s="8"/>
      <c r="E6118" s="8"/>
      <c r="F6118" s="8"/>
    </row>
    <row r="6119" spans="4:6">
      <c r="D6119" s="8"/>
      <c r="E6119" s="8"/>
      <c r="F6119" s="8"/>
    </row>
    <row r="6120" spans="4:6">
      <c r="D6120" s="8"/>
      <c r="E6120" s="8"/>
      <c r="F6120" s="8"/>
    </row>
    <row r="6121" spans="4:6">
      <c r="D6121" s="8"/>
      <c r="E6121" s="8"/>
      <c r="F6121" s="8"/>
    </row>
    <row r="6122" spans="4:6">
      <c r="D6122" s="8"/>
      <c r="E6122" s="8"/>
      <c r="F6122" s="8"/>
    </row>
    <row r="6123" spans="4:6">
      <c r="D6123" s="8"/>
      <c r="E6123" s="8"/>
      <c r="F6123" s="8"/>
    </row>
    <row r="6124" spans="4:6">
      <c r="D6124" s="8"/>
      <c r="E6124" s="8"/>
      <c r="F6124" s="8"/>
    </row>
    <row r="6125" spans="4:6">
      <c r="D6125" s="8"/>
      <c r="E6125" s="8"/>
      <c r="F6125" s="8"/>
    </row>
    <row r="6126" spans="4:6">
      <c r="D6126" s="8"/>
      <c r="E6126" s="8"/>
      <c r="F6126" s="8"/>
    </row>
    <row r="6127" spans="4:6">
      <c r="D6127" s="8"/>
      <c r="E6127" s="8"/>
      <c r="F6127" s="8"/>
    </row>
    <row r="6128" spans="4:6">
      <c r="D6128" s="8"/>
      <c r="E6128" s="8"/>
      <c r="F6128" s="8"/>
    </row>
    <row r="6129" spans="4:6">
      <c r="D6129" s="8"/>
      <c r="E6129" s="8"/>
      <c r="F6129" s="8"/>
    </row>
    <row r="6130" spans="4:6">
      <c r="D6130" s="8"/>
      <c r="E6130" s="8"/>
      <c r="F6130" s="8"/>
    </row>
    <row r="6131" spans="4:6">
      <c r="D6131" s="8"/>
      <c r="E6131" s="8"/>
      <c r="F6131" s="8"/>
    </row>
    <row r="6132" spans="4:6">
      <c r="D6132" s="8"/>
      <c r="E6132" s="8"/>
      <c r="F6132" s="8"/>
    </row>
    <row r="6133" spans="4:6">
      <c r="D6133" s="8"/>
      <c r="E6133" s="8"/>
      <c r="F6133" s="8"/>
    </row>
    <row r="6134" spans="4:6">
      <c r="D6134" s="8"/>
      <c r="E6134" s="8"/>
      <c r="F6134" s="8"/>
    </row>
    <row r="6135" spans="4:6">
      <c r="D6135" s="8"/>
      <c r="E6135" s="8"/>
      <c r="F6135" s="8"/>
    </row>
    <row r="6136" spans="4:6">
      <c r="D6136" s="8"/>
      <c r="E6136" s="8"/>
      <c r="F6136" s="8"/>
    </row>
    <row r="6137" spans="4:6">
      <c r="D6137" s="8"/>
      <c r="E6137" s="8"/>
      <c r="F6137" s="8"/>
    </row>
    <row r="6138" spans="4:6">
      <c r="D6138" s="8"/>
      <c r="E6138" s="8"/>
      <c r="F6138" s="8"/>
    </row>
    <row r="6139" spans="4:6">
      <c r="D6139" s="8"/>
      <c r="E6139" s="8"/>
      <c r="F6139" s="8"/>
    </row>
    <row r="6140" spans="4:6">
      <c r="D6140" s="8"/>
      <c r="E6140" s="8"/>
      <c r="F6140" s="8"/>
    </row>
    <row r="6141" spans="4:6">
      <c r="D6141" s="8"/>
      <c r="E6141" s="8"/>
      <c r="F6141" s="8"/>
    </row>
    <row r="6142" spans="4:6">
      <c r="D6142" s="8"/>
      <c r="E6142" s="8"/>
      <c r="F6142" s="8"/>
    </row>
    <row r="6143" spans="4:6">
      <c r="D6143" s="8"/>
      <c r="E6143" s="8"/>
      <c r="F6143" s="8"/>
    </row>
    <row r="6144" spans="4:6">
      <c r="D6144" s="8"/>
      <c r="E6144" s="8"/>
      <c r="F6144" s="8"/>
    </row>
    <row r="6145" spans="4:6">
      <c r="D6145" s="8"/>
      <c r="E6145" s="8"/>
      <c r="F6145" s="8"/>
    </row>
    <row r="6146" spans="4:6">
      <c r="D6146" s="8"/>
      <c r="E6146" s="8"/>
      <c r="F6146" s="8"/>
    </row>
    <row r="6147" spans="4:6">
      <c r="D6147" s="8"/>
      <c r="E6147" s="8"/>
      <c r="F6147" s="8"/>
    </row>
    <row r="6148" spans="4:6">
      <c r="D6148" s="8"/>
      <c r="E6148" s="8"/>
      <c r="F6148" s="8"/>
    </row>
    <row r="6149" spans="4:6">
      <c r="D6149" s="8"/>
      <c r="E6149" s="8"/>
      <c r="F6149" s="8"/>
    </row>
    <row r="6150" spans="4:6">
      <c r="D6150" s="8"/>
      <c r="E6150" s="8"/>
      <c r="F6150" s="8"/>
    </row>
    <row r="6151" spans="4:6">
      <c r="D6151" s="8"/>
      <c r="E6151" s="8"/>
      <c r="F6151" s="8"/>
    </row>
    <row r="6152" spans="4:6">
      <c r="D6152" s="8"/>
      <c r="E6152" s="8"/>
      <c r="F6152" s="8"/>
    </row>
    <row r="6153" spans="4:6">
      <c r="D6153" s="8"/>
      <c r="E6153" s="8"/>
      <c r="F6153" s="8"/>
    </row>
    <row r="6154" spans="4:6">
      <c r="D6154" s="8"/>
      <c r="E6154" s="8"/>
      <c r="F6154" s="8"/>
    </row>
    <row r="6155" spans="4:6">
      <c r="D6155" s="8"/>
      <c r="E6155" s="8"/>
      <c r="F6155" s="8"/>
    </row>
    <row r="6156" spans="4:6">
      <c r="D6156" s="8"/>
      <c r="E6156" s="8"/>
      <c r="F6156" s="8"/>
    </row>
    <row r="6157" spans="4:6">
      <c r="D6157" s="8"/>
      <c r="E6157" s="8"/>
      <c r="F6157" s="8"/>
    </row>
    <row r="6158" spans="4:6">
      <c r="D6158" s="8"/>
      <c r="E6158" s="8"/>
      <c r="F6158" s="8"/>
    </row>
    <row r="6159" spans="4:6">
      <c r="D6159" s="8"/>
      <c r="E6159" s="8"/>
      <c r="F6159" s="8"/>
    </row>
    <row r="6160" spans="4:6">
      <c r="D6160" s="8"/>
      <c r="E6160" s="8"/>
      <c r="F6160" s="8"/>
    </row>
    <row r="6161" spans="4:6">
      <c r="D6161" s="8"/>
      <c r="E6161" s="8"/>
      <c r="F6161" s="8"/>
    </row>
    <row r="6162" spans="4:6">
      <c r="D6162" s="8"/>
      <c r="E6162" s="8"/>
      <c r="F6162" s="8"/>
    </row>
    <row r="6163" spans="4:6">
      <c r="D6163" s="8"/>
      <c r="E6163" s="8"/>
      <c r="F6163" s="8"/>
    </row>
    <row r="6164" spans="4:6">
      <c r="D6164" s="8"/>
      <c r="E6164" s="8"/>
      <c r="F6164" s="8"/>
    </row>
    <row r="6165" spans="4:6">
      <c r="D6165" s="8"/>
      <c r="E6165" s="8"/>
      <c r="F6165" s="8"/>
    </row>
    <row r="6166" spans="4:6">
      <c r="D6166" s="8"/>
      <c r="E6166" s="8"/>
      <c r="F6166" s="8"/>
    </row>
    <row r="6167" spans="4:6">
      <c r="D6167" s="8"/>
      <c r="E6167" s="8"/>
      <c r="F6167" s="8"/>
    </row>
    <row r="6168" spans="4:6">
      <c r="D6168" s="8"/>
      <c r="E6168" s="8"/>
      <c r="F6168" s="8"/>
    </row>
    <row r="6169" spans="4:6">
      <c r="D6169" s="8"/>
      <c r="E6169" s="8"/>
      <c r="F6169" s="8"/>
    </row>
    <row r="6170" spans="4:6">
      <c r="D6170" s="8"/>
      <c r="E6170" s="8"/>
      <c r="F6170" s="8"/>
    </row>
    <row r="6171" spans="4:6">
      <c r="D6171" s="8"/>
      <c r="E6171" s="8"/>
      <c r="F6171" s="8"/>
    </row>
    <row r="6172" spans="4:6">
      <c r="D6172" s="8"/>
      <c r="E6172" s="8"/>
      <c r="F6172" s="8"/>
    </row>
    <row r="6173" spans="4:6">
      <c r="D6173" s="8"/>
      <c r="E6173" s="8"/>
      <c r="F6173" s="8"/>
    </row>
    <row r="6174" spans="4:6">
      <c r="D6174" s="8"/>
      <c r="E6174" s="8"/>
      <c r="F6174" s="8"/>
    </row>
    <row r="6175" spans="4:6">
      <c r="D6175" s="8"/>
      <c r="E6175" s="8"/>
      <c r="F6175" s="8"/>
    </row>
    <row r="6176" spans="4:6">
      <c r="D6176" s="8"/>
      <c r="E6176" s="8"/>
      <c r="F6176" s="8"/>
    </row>
    <row r="6177" spans="4:6">
      <c r="D6177" s="8"/>
      <c r="E6177" s="8"/>
      <c r="F6177" s="8"/>
    </row>
    <row r="6178" spans="4:6">
      <c r="D6178" s="8"/>
      <c r="E6178" s="8"/>
      <c r="F6178" s="8"/>
    </row>
    <row r="6179" spans="4:6">
      <c r="D6179" s="8"/>
      <c r="E6179" s="8"/>
      <c r="F6179" s="8"/>
    </row>
    <row r="6180" spans="4:6">
      <c r="D6180" s="8"/>
      <c r="E6180" s="8"/>
      <c r="F6180" s="8"/>
    </row>
    <row r="6181" spans="4:6">
      <c r="D6181" s="8"/>
      <c r="E6181" s="8"/>
      <c r="F6181" s="8"/>
    </row>
    <row r="6182" spans="4:6">
      <c r="D6182" s="8"/>
      <c r="E6182" s="8"/>
      <c r="F6182" s="8"/>
    </row>
    <row r="6183" spans="4:6">
      <c r="D6183" s="8"/>
      <c r="E6183" s="8"/>
      <c r="F6183" s="8"/>
    </row>
    <row r="6184" spans="4:6">
      <c r="D6184" s="8"/>
      <c r="E6184" s="8"/>
      <c r="F6184" s="8"/>
    </row>
    <row r="6185" spans="4:6">
      <c r="D6185" s="8"/>
      <c r="E6185" s="8"/>
      <c r="F6185" s="8"/>
    </row>
    <row r="6186" spans="4:6">
      <c r="D6186" s="8"/>
      <c r="E6186" s="8"/>
      <c r="F6186" s="8"/>
    </row>
    <row r="6187" spans="4:6">
      <c r="D6187" s="8"/>
      <c r="E6187" s="8"/>
      <c r="F6187" s="8"/>
    </row>
    <row r="6188" spans="4:6">
      <c r="D6188" s="8"/>
      <c r="E6188" s="8"/>
      <c r="F6188" s="8"/>
    </row>
    <row r="6189" spans="4:6">
      <c r="D6189" s="8"/>
      <c r="E6189" s="8"/>
      <c r="F6189" s="8"/>
    </row>
    <row r="6190" spans="4:6">
      <c r="D6190" s="8"/>
      <c r="E6190" s="8"/>
      <c r="F6190" s="8"/>
    </row>
    <row r="6191" spans="4:6">
      <c r="D6191" s="8"/>
      <c r="E6191" s="8"/>
      <c r="F6191" s="8"/>
    </row>
    <row r="6192" spans="4:6">
      <c r="D6192" s="8"/>
      <c r="E6192" s="8"/>
      <c r="F6192" s="8"/>
    </row>
    <row r="6193" spans="4:6">
      <c r="D6193" s="8"/>
      <c r="E6193" s="8"/>
      <c r="F6193" s="8"/>
    </row>
    <row r="6194" spans="4:6">
      <c r="D6194" s="8"/>
      <c r="E6194" s="8"/>
      <c r="F6194" s="8"/>
    </row>
    <row r="6195" spans="4:6">
      <c r="D6195" s="8"/>
      <c r="E6195" s="8"/>
      <c r="F6195" s="8"/>
    </row>
    <row r="6196" spans="4:6">
      <c r="D6196" s="8"/>
      <c r="E6196" s="8"/>
      <c r="F6196" s="8"/>
    </row>
    <row r="6197" spans="4:6">
      <c r="D6197" s="8"/>
      <c r="E6197" s="8"/>
      <c r="F6197" s="8"/>
    </row>
    <row r="6198" spans="4:6">
      <c r="D6198" s="8"/>
      <c r="E6198" s="8"/>
      <c r="F6198" s="8"/>
    </row>
    <row r="6199" spans="4:6">
      <c r="D6199" s="8"/>
      <c r="E6199" s="8"/>
      <c r="F6199" s="8"/>
    </row>
    <row r="6200" spans="4:6">
      <c r="D6200" s="8"/>
      <c r="E6200" s="8"/>
      <c r="F6200" s="8"/>
    </row>
    <row r="6201" spans="4:6">
      <c r="D6201" s="8"/>
      <c r="E6201" s="8"/>
      <c r="F6201" s="8"/>
    </row>
    <row r="6202" spans="4:6">
      <c r="D6202" s="8"/>
      <c r="E6202" s="8"/>
      <c r="F6202" s="8"/>
    </row>
    <row r="6203" spans="4:6">
      <c r="D6203" s="8"/>
      <c r="E6203" s="8"/>
      <c r="F6203" s="8"/>
    </row>
    <row r="6204" spans="4:6">
      <c r="D6204" s="8"/>
      <c r="E6204" s="8"/>
      <c r="F6204" s="8"/>
    </row>
    <row r="6205" spans="4:6">
      <c r="D6205" s="8"/>
      <c r="E6205" s="8"/>
      <c r="F6205" s="8"/>
    </row>
    <row r="6206" spans="4:6">
      <c r="D6206" s="8"/>
      <c r="E6206" s="8"/>
      <c r="F6206" s="8"/>
    </row>
    <row r="6207" spans="4:6">
      <c r="D6207" s="8"/>
      <c r="E6207" s="8"/>
      <c r="F6207" s="8"/>
    </row>
    <row r="6208" spans="4:6">
      <c r="D6208" s="8"/>
      <c r="E6208" s="8"/>
      <c r="F6208" s="8"/>
    </row>
    <row r="6209" spans="4:6">
      <c r="D6209" s="8"/>
      <c r="E6209" s="8"/>
      <c r="F6209" s="8"/>
    </row>
    <row r="6210" spans="4:6">
      <c r="D6210" s="8"/>
      <c r="E6210" s="8"/>
      <c r="F6210" s="8"/>
    </row>
    <row r="6211" spans="4:6">
      <c r="D6211" s="8"/>
      <c r="E6211" s="8"/>
      <c r="F6211" s="8"/>
    </row>
    <row r="6212" spans="4:6">
      <c r="D6212" s="8"/>
      <c r="E6212" s="8"/>
      <c r="F6212" s="8"/>
    </row>
    <row r="6213" spans="4:6">
      <c r="D6213" s="8"/>
      <c r="E6213" s="8"/>
      <c r="F6213" s="8"/>
    </row>
    <row r="6214" spans="4:6">
      <c r="D6214" s="8"/>
      <c r="E6214" s="8"/>
      <c r="F6214" s="8"/>
    </row>
    <row r="6215" spans="4:6">
      <c r="D6215" s="8"/>
      <c r="E6215" s="8"/>
      <c r="F6215" s="8"/>
    </row>
    <row r="6216" spans="4:6">
      <c r="D6216" s="8"/>
      <c r="E6216" s="8"/>
      <c r="F6216" s="8"/>
    </row>
    <row r="6217" spans="4:6">
      <c r="D6217" s="8"/>
      <c r="E6217" s="8"/>
      <c r="F6217" s="8"/>
    </row>
    <row r="6218" spans="4:6">
      <c r="D6218" s="8"/>
      <c r="E6218" s="8"/>
      <c r="F6218" s="8"/>
    </row>
    <row r="6219" spans="4:6">
      <c r="D6219" s="8"/>
      <c r="E6219" s="8"/>
      <c r="F6219" s="8"/>
    </row>
    <row r="6220" spans="4:6">
      <c r="D6220" s="8"/>
      <c r="E6220" s="8"/>
      <c r="F6220" s="8"/>
    </row>
    <row r="6221" spans="4:6">
      <c r="D6221" s="8"/>
      <c r="E6221" s="8"/>
      <c r="F6221" s="8"/>
    </row>
    <row r="6222" spans="4:6">
      <c r="D6222" s="8"/>
      <c r="E6222" s="8"/>
      <c r="F6222" s="8"/>
    </row>
    <row r="6223" spans="4:6">
      <c r="D6223" s="8"/>
      <c r="E6223" s="8"/>
      <c r="F6223" s="8"/>
    </row>
    <row r="6224" spans="4:6">
      <c r="D6224" s="8"/>
      <c r="E6224" s="8"/>
      <c r="F6224" s="8"/>
    </row>
    <row r="6225" spans="4:6">
      <c r="D6225" s="8"/>
      <c r="E6225" s="8"/>
      <c r="F6225" s="8"/>
    </row>
    <row r="6226" spans="4:6">
      <c r="D6226" s="8"/>
      <c r="E6226" s="8"/>
      <c r="F6226" s="8"/>
    </row>
    <row r="6227" spans="4:6">
      <c r="D6227" s="8"/>
      <c r="E6227" s="8"/>
      <c r="F6227" s="8"/>
    </row>
    <row r="6228" spans="4:6">
      <c r="D6228" s="8"/>
      <c r="E6228" s="8"/>
      <c r="F6228" s="8"/>
    </row>
    <row r="6229" spans="4:6">
      <c r="D6229" s="8"/>
      <c r="E6229" s="8"/>
      <c r="F6229" s="8"/>
    </row>
    <row r="6230" spans="4:6">
      <c r="D6230" s="8"/>
      <c r="E6230" s="8"/>
      <c r="F6230" s="8"/>
    </row>
    <row r="6231" spans="4:6">
      <c r="D6231" s="8"/>
      <c r="E6231" s="8"/>
      <c r="F6231" s="8"/>
    </row>
    <row r="6232" spans="4:6">
      <c r="D6232" s="8"/>
      <c r="E6232" s="8"/>
      <c r="F6232" s="8"/>
    </row>
    <row r="6233" spans="4:6">
      <c r="D6233" s="8"/>
      <c r="E6233" s="8"/>
      <c r="F6233" s="8"/>
    </row>
    <row r="6234" spans="4:6">
      <c r="D6234" s="8"/>
      <c r="E6234" s="8"/>
      <c r="F6234" s="8"/>
    </row>
    <row r="6235" spans="4:6">
      <c r="D6235" s="8"/>
      <c r="E6235" s="8"/>
      <c r="F6235" s="8"/>
    </row>
    <row r="6236" spans="4:6">
      <c r="D6236" s="8"/>
      <c r="E6236" s="8"/>
      <c r="F6236" s="8"/>
    </row>
    <row r="6237" spans="4:6">
      <c r="D6237" s="8"/>
      <c r="E6237" s="8"/>
      <c r="F6237" s="8"/>
    </row>
    <row r="6238" spans="4:6">
      <c r="D6238" s="8"/>
      <c r="E6238" s="8"/>
      <c r="F6238" s="8"/>
    </row>
    <row r="6239" spans="4:6">
      <c r="D6239" s="8"/>
      <c r="E6239" s="8"/>
      <c r="F6239" s="8"/>
    </row>
    <row r="6240" spans="4:6">
      <c r="D6240" s="8"/>
      <c r="E6240" s="8"/>
      <c r="F6240" s="8"/>
    </row>
    <row r="6241" spans="4:6">
      <c r="D6241" s="8"/>
      <c r="E6241" s="8"/>
      <c r="F6241" s="8"/>
    </row>
    <row r="6242" spans="4:6">
      <c r="D6242" s="8"/>
      <c r="E6242" s="8"/>
      <c r="F6242" s="8"/>
    </row>
    <row r="6243" spans="4:6">
      <c r="D6243" s="8"/>
      <c r="E6243" s="8"/>
      <c r="F6243" s="8"/>
    </row>
    <row r="6244" spans="4:6">
      <c r="D6244" s="8"/>
      <c r="E6244" s="8"/>
      <c r="F6244" s="8"/>
    </row>
    <row r="6245" spans="4:6">
      <c r="D6245" s="8"/>
      <c r="E6245" s="8"/>
      <c r="F6245" s="8"/>
    </row>
    <row r="6246" spans="4:6">
      <c r="D6246" s="8"/>
      <c r="E6246" s="8"/>
      <c r="F6246" s="8"/>
    </row>
    <row r="6247" spans="4:6">
      <c r="D6247" s="8"/>
      <c r="E6247" s="8"/>
      <c r="F6247" s="8"/>
    </row>
    <row r="6248" spans="4:6">
      <c r="D6248" s="8"/>
      <c r="E6248" s="8"/>
      <c r="F6248" s="8"/>
    </row>
    <row r="6249" spans="4:6">
      <c r="D6249" s="8"/>
      <c r="E6249" s="8"/>
      <c r="F6249" s="8"/>
    </row>
    <row r="6250" spans="4:6">
      <c r="D6250" s="8"/>
      <c r="E6250" s="8"/>
      <c r="F6250" s="8"/>
    </row>
    <row r="6251" spans="4:6">
      <c r="D6251" s="8"/>
      <c r="E6251" s="8"/>
      <c r="F6251" s="8"/>
    </row>
    <row r="6252" spans="4:6">
      <c r="D6252" s="8"/>
      <c r="E6252" s="8"/>
      <c r="F6252" s="8"/>
    </row>
    <row r="6253" spans="4:6">
      <c r="D6253" s="8"/>
      <c r="E6253" s="8"/>
      <c r="F6253" s="8"/>
    </row>
    <row r="6254" spans="4:6">
      <c r="D6254" s="8"/>
      <c r="E6254" s="8"/>
      <c r="F6254" s="8"/>
    </row>
    <row r="6255" spans="4:6">
      <c r="D6255" s="8"/>
      <c r="E6255" s="8"/>
      <c r="F6255" s="8"/>
    </row>
    <row r="6256" spans="4:6">
      <c r="D6256" s="8"/>
      <c r="E6256" s="8"/>
      <c r="F6256" s="8"/>
    </row>
    <row r="6257" spans="4:6">
      <c r="D6257" s="8"/>
      <c r="E6257" s="8"/>
      <c r="F6257" s="8"/>
    </row>
    <row r="6258" spans="4:6">
      <c r="D6258" s="8"/>
      <c r="E6258" s="8"/>
      <c r="F6258" s="8"/>
    </row>
    <row r="6259" spans="4:6">
      <c r="D6259" s="8"/>
      <c r="E6259" s="8"/>
      <c r="F6259" s="8"/>
    </row>
    <row r="6260" spans="4:6">
      <c r="D6260" s="8"/>
      <c r="E6260" s="8"/>
      <c r="F6260" s="8"/>
    </row>
    <row r="6261" spans="4:6">
      <c r="D6261" s="8"/>
      <c r="E6261" s="8"/>
      <c r="F6261" s="8"/>
    </row>
    <row r="6262" spans="4:6">
      <c r="D6262" s="8"/>
      <c r="E6262" s="8"/>
      <c r="F6262" s="8"/>
    </row>
    <row r="6263" spans="4:6">
      <c r="D6263" s="8"/>
      <c r="E6263" s="8"/>
      <c r="F6263" s="8"/>
    </row>
    <row r="6264" spans="4:6">
      <c r="D6264" s="8"/>
      <c r="E6264" s="8"/>
      <c r="F6264" s="8"/>
    </row>
    <row r="6265" spans="4:6">
      <c r="D6265" s="8"/>
      <c r="E6265" s="8"/>
      <c r="F6265" s="8"/>
    </row>
    <row r="6266" spans="4:6">
      <c r="D6266" s="8"/>
      <c r="E6266" s="8"/>
      <c r="F6266" s="8"/>
    </row>
    <row r="6267" spans="4:6">
      <c r="D6267" s="8"/>
      <c r="E6267" s="8"/>
      <c r="F6267" s="8"/>
    </row>
    <row r="6268" spans="4:6">
      <c r="D6268" s="8"/>
      <c r="E6268" s="8"/>
      <c r="F6268" s="8"/>
    </row>
    <row r="6269" spans="4:6">
      <c r="D6269" s="8"/>
      <c r="E6269" s="8"/>
      <c r="F6269" s="8"/>
    </row>
    <row r="6270" spans="4:6">
      <c r="D6270" s="8"/>
      <c r="E6270" s="8"/>
      <c r="F6270" s="8"/>
    </row>
    <row r="6271" spans="4:6">
      <c r="D6271" s="8"/>
      <c r="E6271" s="8"/>
      <c r="F6271" s="8"/>
    </row>
    <row r="6272" spans="4:6">
      <c r="D6272" s="8"/>
      <c r="E6272" s="8"/>
      <c r="F6272" s="8"/>
    </row>
    <row r="6273" spans="4:6">
      <c r="D6273" s="8"/>
      <c r="E6273" s="8"/>
      <c r="F6273" s="8"/>
    </row>
    <row r="6274" spans="4:6">
      <c r="D6274" s="8"/>
      <c r="E6274" s="8"/>
      <c r="F6274" s="8"/>
    </row>
    <row r="6275" spans="4:6">
      <c r="D6275" s="8"/>
      <c r="E6275" s="8"/>
      <c r="F6275" s="8"/>
    </row>
    <row r="6276" spans="4:6">
      <c r="D6276" s="8"/>
      <c r="E6276" s="8"/>
      <c r="F6276" s="8"/>
    </row>
    <row r="6277" spans="4:6">
      <c r="D6277" s="8"/>
      <c r="E6277" s="8"/>
      <c r="F6277" s="8"/>
    </row>
    <row r="6278" spans="4:6">
      <c r="D6278" s="8"/>
      <c r="E6278" s="8"/>
      <c r="F6278" s="8"/>
    </row>
    <row r="6279" spans="4:6">
      <c r="D6279" s="8"/>
      <c r="E6279" s="8"/>
      <c r="F6279" s="8"/>
    </row>
    <row r="6280" spans="4:6">
      <c r="D6280" s="8"/>
      <c r="E6280" s="8"/>
      <c r="F6280" s="8"/>
    </row>
    <row r="6281" spans="4:6">
      <c r="D6281" s="8"/>
      <c r="E6281" s="8"/>
      <c r="F6281" s="8"/>
    </row>
    <row r="6282" spans="4:6">
      <c r="D6282" s="8"/>
      <c r="E6282" s="8"/>
      <c r="F6282" s="8"/>
    </row>
    <row r="6283" spans="4:6">
      <c r="D6283" s="8"/>
      <c r="E6283" s="8"/>
      <c r="F6283" s="8"/>
    </row>
    <row r="6284" spans="4:6">
      <c r="D6284" s="8"/>
      <c r="E6284" s="8"/>
      <c r="F6284" s="8"/>
    </row>
    <row r="6285" spans="4:6">
      <c r="D6285" s="8"/>
      <c r="E6285" s="8"/>
      <c r="F6285" s="8"/>
    </row>
    <row r="6286" spans="4:6">
      <c r="D6286" s="8"/>
      <c r="E6286" s="8"/>
      <c r="F6286" s="8"/>
    </row>
    <row r="6287" spans="4:6">
      <c r="D6287" s="8"/>
      <c r="E6287" s="8"/>
      <c r="F6287" s="8"/>
    </row>
    <row r="6288" spans="4:6">
      <c r="D6288" s="8"/>
      <c r="E6288" s="8"/>
      <c r="F6288" s="8"/>
    </row>
    <row r="6289" spans="4:6">
      <c r="D6289" s="8"/>
      <c r="E6289" s="8"/>
      <c r="F6289" s="8"/>
    </row>
    <row r="6290" spans="4:6">
      <c r="D6290" s="8"/>
      <c r="E6290" s="8"/>
      <c r="F6290" s="8"/>
    </row>
    <row r="6291" spans="4:6">
      <c r="D6291" s="8"/>
      <c r="E6291" s="8"/>
      <c r="F6291" s="8"/>
    </row>
    <row r="6292" spans="4:6">
      <c r="D6292" s="8"/>
      <c r="E6292" s="8"/>
      <c r="F6292" s="8"/>
    </row>
    <row r="6293" spans="4:6">
      <c r="D6293" s="8"/>
      <c r="E6293" s="8"/>
      <c r="F6293" s="8"/>
    </row>
    <row r="6294" spans="4:6">
      <c r="D6294" s="8"/>
      <c r="E6294" s="8"/>
      <c r="F6294" s="8"/>
    </row>
    <row r="6295" spans="4:6">
      <c r="D6295" s="8"/>
      <c r="E6295" s="8"/>
      <c r="F6295" s="8"/>
    </row>
    <row r="6296" spans="4:6">
      <c r="D6296" s="8"/>
      <c r="E6296" s="8"/>
      <c r="F6296" s="8"/>
    </row>
    <row r="6297" spans="4:6">
      <c r="D6297" s="8"/>
      <c r="E6297" s="8"/>
      <c r="F6297" s="8"/>
    </row>
    <row r="6298" spans="4:6">
      <c r="D6298" s="8"/>
      <c r="E6298" s="8"/>
      <c r="F6298" s="8"/>
    </row>
    <row r="6299" spans="4:6">
      <c r="D6299" s="8"/>
      <c r="E6299" s="8"/>
      <c r="F6299" s="8"/>
    </row>
    <row r="6300" spans="4:6">
      <c r="D6300" s="8"/>
      <c r="E6300" s="8"/>
      <c r="F6300" s="8"/>
    </row>
    <row r="6301" spans="4:6">
      <c r="D6301" s="8"/>
      <c r="E6301" s="8"/>
      <c r="F6301" s="8"/>
    </row>
    <row r="6302" spans="4:6">
      <c r="D6302" s="8"/>
      <c r="E6302" s="8"/>
      <c r="F6302" s="8"/>
    </row>
    <row r="6303" spans="4:6">
      <c r="D6303" s="8"/>
      <c r="E6303" s="8"/>
      <c r="F6303" s="8"/>
    </row>
    <row r="6304" spans="4:6">
      <c r="D6304" s="8"/>
      <c r="E6304" s="8"/>
      <c r="F6304" s="8"/>
    </row>
    <row r="6305" spans="4:6">
      <c r="D6305" s="8"/>
      <c r="E6305" s="8"/>
      <c r="F6305" s="8"/>
    </row>
    <row r="6306" spans="4:6">
      <c r="D6306" s="8"/>
      <c r="E6306" s="8"/>
      <c r="F6306" s="8"/>
    </row>
    <row r="6307" spans="4:6">
      <c r="D6307" s="8"/>
      <c r="E6307" s="8"/>
      <c r="F6307" s="8"/>
    </row>
    <row r="6308" spans="4:6">
      <c r="D6308" s="8"/>
      <c r="E6308" s="8"/>
      <c r="F6308" s="8"/>
    </row>
    <row r="6309" spans="4:6">
      <c r="D6309" s="8"/>
      <c r="E6309" s="8"/>
      <c r="F6309" s="8"/>
    </row>
    <row r="6310" spans="4:6">
      <c r="D6310" s="8"/>
      <c r="E6310" s="8"/>
      <c r="F6310" s="8"/>
    </row>
    <row r="6311" spans="4:6">
      <c r="D6311" s="8"/>
      <c r="E6311" s="8"/>
      <c r="F6311" s="8"/>
    </row>
    <row r="6312" spans="4:6">
      <c r="D6312" s="8"/>
      <c r="E6312" s="8"/>
      <c r="F6312" s="8"/>
    </row>
    <row r="6313" spans="4:6">
      <c r="D6313" s="8"/>
      <c r="E6313" s="8"/>
      <c r="F6313" s="8"/>
    </row>
    <row r="6314" spans="4:6">
      <c r="D6314" s="8"/>
      <c r="E6314" s="8"/>
      <c r="F6314" s="8"/>
    </row>
    <row r="6315" spans="4:6">
      <c r="D6315" s="8"/>
      <c r="E6315" s="8"/>
      <c r="F6315" s="8"/>
    </row>
    <row r="6316" spans="4:6">
      <c r="D6316" s="8"/>
      <c r="E6316" s="8"/>
      <c r="F6316" s="8"/>
    </row>
    <row r="6317" spans="4:6">
      <c r="D6317" s="8"/>
      <c r="E6317" s="8"/>
      <c r="F6317" s="8"/>
    </row>
    <row r="6318" spans="4:6">
      <c r="D6318" s="8"/>
      <c r="E6318" s="8"/>
      <c r="F6318" s="8"/>
    </row>
    <row r="6319" spans="4:6">
      <c r="D6319" s="8"/>
      <c r="E6319" s="8"/>
      <c r="F6319" s="8"/>
    </row>
    <row r="6320" spans="4:6">
      <c r="D6320" s="8"/>
      <c r="E6320" s="8"/>
      <c r="F6320" s="8"/>
    </row>
    <row r="6321" spans="4:6">
      <c r="D6321" s="8"/>
      <c r="E6321" s="8"/>
      <c r="F6321" s="8"/>
    </row>
    <row r="6322" spans="4:6">
      <c r="D6322" s="8"/>
      <c r="E6322" s="8"/>
      <c r="F6322" s="8"/>
    </row>
    <row r="6323" spans="4:6">
      <c r="D6323" s="8"/>
      <c r="E6323" s="8"/>
      <c r="F6323" s="8"/>
    </row>
    <row r="6324" spans="4:6">
      <c r="D6324" s="8"/>
      <c r="E6324" s="8"/>
      <c r="F6324" s="8"/>
    </row>
    <row r="6325" spans="4:6">
      <c r="D6325" s="8"/>
      <c r="E6325" s="8"/>
      <c r="F6325" s="8"/>
    </row>
    <row r="6326" spans="4:6">
      <c r="D6326" s="8"/>
      <c r="E6326" s="8"/>
      <c r="F6326" s="8"/>
    </row>
    <row r="6327" spans="4:6">
      <c r="D6327" s="8"/>
      <c r="E6327" s="8"/>
      <c r="F6327" s="8"/>
    </row>
    <row r="6328" spans="4:6">
      <c r="D6328" s="8"/>
      <c r="E6328" s="8"/>
      <c r="F6328" s="8"/>
    </row>
    <row r="6329" spans="4:6">
      <c r="D6329" s="8"/>
      <c r="E6329" s="8"/>
      <c r="F6329" s="8"/>
    </row>
    <row r="6330" spans="4:6">
      <c r="D6330" s="8"/>
      <c r="E6330" s="8"/>
      <c r="F6330" s="8"/>
    </row>
    <row r="6331" spans="4:6">
      <c r="D6331" s="8"/>
      <c r="E6331" s="8"/>
      <c r="F6331" s="8"/>
    </row>
    <row r="6332" spans="4:6">
      <c r="D6332" s="8"/>
      <c r="E6332" s="8"/>
      <c r="F6332" s="8"/>
    </row>
    <row r="6333" spans="4:6">
      <c r="D6333" s="8"/>
      <c r="E6333" s="8"/>
      <c r="F6333" s="8"/>
    </row>
    <row r="6334" spans="4:6">
      <c r="D6334" s="8"/>
      <c r="E6334" s="8"/>
      <c r="F6334" s="8"/>
    </row>
    <row r="6335" spans="4:6">
      <c r="D6335" s="8"/>
      <c r="E6335" s="8"/>
      <c r="F6335" s="8"/>
    </row>
    <row r="6336" spans="4:6">
      <c r="D6336" s="8"/>
      <c r="E6336" s="8"/>
      <c r="F6336" s="8"/>
    </row>
    <row r="6337" spans="4:6">
      <c r="D6337" s="8"/>
      <c r="E6337" s="8"/>
      <c r="F6337" s="8"/>
    </row>
    <row r="6338" spans="4:6">
      <c r="D6338" s="8"/>
      <c r="E6338" s="8"/>
      <c r="F6338" s="8"/>
    </row>
    <row r="6339" spans="4:6">
      <c r="D6339" s="8"/>
      <c r="E6339" s="8"/>
      <c r="F6339" s="8"/>
    </row>
    <row r="6340" spans="4:6">
      <c r="D6340" s="8"/>
      <c r="E6340" s="8"/>
      <c r="F6340" s="8"/>
    </row>
    <row r="6341" spans="4:6">
      <c r="D6341" s="8"/>
      <c r="E6341" s="8"/>
      <c r="F6341" s="8"/>
    </row>
    <row r="6342" spans="4:6">
      <c r="D6342" s="8"/>
      <c r="E6342" s="8"/>
      <c r="F6342" s="8"/>
    </row>
    <row r="6343" spans="4:6">
      <c r="D6343" s="8"/>
      <c r="E6343" s="8"/>
      <c r="F6343" s="8"/>
    </row>
    <row r="6344" spans="4:6">
      <c r="D6344" s="8"/>
      <c r="E6344" s="8"/>
      <c r="F6344" s="8"/>
    </row>
    <row r="6345" spans="4:6">
      <c r="D6345" s="8"/>
      <c r="E6345" s="8"/>
      <c r="F6345" s="8"/>
    </row>
    <row r="6346" spans="4:6">
      <c r="D6346" s="8"/>
      <c r="E6346" s="8"/>
      <c r="F6346" s="8"/>
    </row>
    <row r="6347" spans="4:6">
      <c r="D6347" s="8"/>
      <c r="E6347" s="8"/>
      <c r="F6347" s="8"/>
    </row>
    <row r="6348" spans="4:6">
      <c r="D6348" s="8"/>
      <c r="E6348" s="8"/>
      <c r="F6348" s="8"/>
    </row>
    <row r="6349" spans="4:6">
      <c r="D6349" s="8"/>
      <c r="E6349" s="8"/>
      <c r="F6349" s="8"/>
    </row>
    <row r="6350" spans="4:6">
      <c r="D6350" s="8"/>
      <c r="E6350" s="8"/>
      <c r="F6350" s="8"/>
    </row>
    <row r="6351" spans="4:6">
      <c r="D6351" s="8"/>
      <c r="E6351" s="8"/>
      <c r="F6351" s="8"/>
    </row>
    <row r="6352" spans="4:6">
      <c r="D6352" s="8"/>
      <c r="E6352" s="8"/>
      <c r="F6352" s="8"/>
    </row>
    <row r="6353" spans="4:6">
      <c r="D6353" s="8"/>
      <c r="E6353" s="8"/>
      <c r="F6353" s="8"/>
    </row>
    <row r="6354" spans="4:6">
      <c r="D6354" s="8"/>
      <c r="E6354" s="8"/>
      <c r="F6354" s="8"/>
    </row>
    <row r="6355" spans="4:6">
      <c r="D6355" s="8"/>
      <c r="E6355" s="8"/>
      <c r="F6355" s="8"/>
    </row>
    <row r="6356" spans="4:6">
      <c r="D6356" s="8"/>
      <c r="E6356" s="8"/>
      <c r="F6356" s="8"/>
    </row>
    <row r="6357" spans="4:6">
      <c r="D6357" s="8"/>
      <c r="E6357" s="8"/>
      <c r="F6357" s="8"/>
    </row>
    <row r="6358" spans="4:6">
      <c r="D6358" s="8"/>
      <c r="E6358" s="8"/>
      <c r="F6358" s="8"/>
    </row>
    <row r="6359" spans="4:6">
      <c r="D6359" s="8"/>
      <c r="E6359" s="8"/>
      <c r="F6359" s="8"/>
    </row>
    <row r="6360" spans="4:6">
      <c r="D6360" s="8"/>
      <c r="E6360" s="8"/>
      <c r="F6360" s="8"/>
    </row>
    <row r="6361" spans="4:6">
      <c r="D6361" s="8"/>
      <c r="E6361" s="8"/>
      <c r="F6361" s="8"/>
    </row>
    <row r="6362" spans="4:6">
      <c r="D6362" s="8"/>
      <c r="E6362" s="8"/>
      <c r="F6362" s="8"/>
    </row>
    <row r="6363" spans="4:6">
      <c r="D6363" s="8"/>
      <c r="E6363" s="8"/>
      <c r="F6363" s="8"/>
    </row>
    <row r="6364" spans="4:6">
      <c r="D6364" s="8"/>
      <c r="E6364" s="8"/>
      <c r="F6364" s="8"/>
    </row>
    <row r="6365" spans="4:6">
      <c r="D6365" s="8"/>
      <c r="E6365" s="8"/>
      <c r="F6365" s="8"/>
    </row>
    <row r="6366" spans="4:6">
      <c r="D6366" s="8"/>
      <c r="E6366" s="8"/>
      <c r="F6366" s="8"/>
    </row>
    <row r="6367" spans="4:6">
      <c r="D6367" s="8"/>
      <c r="E6367" s="8"/>
      <c r="F6367" s="8"/>
    </row>
    <row r="6368" spans="4:6">
      <c r="D6368" s="8"/>
      <c r="E6368" s="8"/>
      <c r="F6368" s="8"/>
    </row>
    <row r="6369" spans="4:6">
      <c r="D6369" s="8"/>
      <c r="E6369" s="8"/>
      <c r="F6369" s="8"/>
    </row>
    <row r="6370" spans="4:6">
      <c r="D6370" s="8"/>
      <c r="E6370" s="8"/>
      <c r="F6370" s="8"/>
    </row>
    <row r="6371" spans="4:6">
      <c r="D6371" s="8"/>
      <c r="E6371" s="8"/>
      <c r="F6371" s="8"/>
    </row>
    <row r="6372" spans="4:6">
      <c r="D6372" s="8"/>
      <c r="E6372" s="8"/>
      <c r="F6372" s="8"/>
    </row>
    <row r="6373" spans="4:6">
      <c r="D6373" s="8"/>
      <c r="E6373" s="8"/>
      <c r="F6373" s="8"/>
    </row>
    <row r="6374" spans="4:6">
      <c r="D6374" s="8"/>
      <c r="E6374" s="8"/>
      <c r="F6374" s="8"/>
    </row>
    <row r="6375" spans="4:6">
      <c r="D6375" s="8"/>
      <c r="E6375" s="8"/>
      <c r="F6375" s="8"/>
    </row>
    <row r="6376" spans="4:6">
      <c r="D6376" s="8"/>
      <c r="E6376" s="8"/>
      <c r="F6376" s="8"/>
    </row>
    <row r="6377" spans="4:6">
      <c r="D6377" s="8"/>
      <c r="E6377" s="8"/>
      <c r="F6377" s="8"/>
    </row>
    <row r="6378" spans="4:6">
      <c r="D6378" s="8"/>
      <c r="E6378" s="8"/>
      <c r="F6378" s="8"/>
    </row>
    <row r="6379" spans="4:6">
      <c r="D6379" s="8"/>
      <c r="E6379" s="8"/>
      <c r="F6379" s="8"/>
    </row>
    <row r="6380" spans="4:6">
      <c r="D6380" s="8"/>
      <c r="E6380" s="8"/>
      <c r="F6380" s="8"/>
    </row>
    <row r="6381" spans="4:6">
      <c r="D6381" s="8"/>
      <c r="E6381" s="8"/>
      <c r="F6381" s="8"/>
    </row>
    <row r="6382" spans="4:6">
      <c r="D6382" s="8"/>
      <c r="E6382" s="8"/>
      <c r="F6382" s="8"/>
    </row>
    <row r="6383" spans="4:6">
      <c r="D6383" s="8"/>
      <c r="E6383" s="8"/>
      <c r="F6383" s="8"/>
    </row>
    <row r="6384" spans="4:6">
      <c r="D6384" s="8"/>
      <c r="E6384" s="8"/>
      <c r="F6384" s="8"/>
    </row>
    <row r="6385" spans="4:6">
      <c r="D6385" s="8"/>
      <c r="E6385" s="8"/>
      <c r="F6385" s="8"/>
    </row>
    <row r="6386" spans="4:6">
      <c r="D6386" s="8"/>
      <c r="E6386" s="8"/>
      <c r="F6386" s="8"/>
    </row>
    <row r="6387" spans="4:6">
      <c r="D6387" s="8"/>
      <c r="E6387" s="8"/>
      <c r="F6387" s="8"/>
    </row>
    <row r="6388" spans="4:6">
      <c r="D6388" s="8"/>
      <c r="E6388" s="8"/>
      <c r="F6388" s="8"/>
    </row>
    <row r="6389" spans="4:6">
      <c r="D6389" s="8"/>
      <c r="E6389" s="8"/>
      <c r="F6389" s="8"/>
    </row>
    <row r="6390" spans="4:6">
      <c r="D6390" s="8"/>
      <c r="E6390" s="8"/>
      <c r="F6390" s="8"/>
    </row>
    <row r="6391" spans="4:6">
      <c r="D6391" s="8"/>
      <c r="E6391" s="8"/>
      <c r="F6391" s="8"/>
    </row>
    <row r="6392" spans="4:6">
      <c r="D6392" s="8"/>
      <c r="E6392" s="8"/>
      <c r="F6392" s="8"/>
    </row>
    <row r="6393" spans="4:6">
      <c r="D6393" s="8"/>
      <c r="E6393" s="8"/>
      <c r="F6393" s="8"/>
    </row>
    <row r="6394" spans="4:6">
      <c r="D6394" s="8"/>
      <c r="E6394" s="8"/>
      <c r="F6394" s="8"/>
    </row>
    <row r="6395" spans="4:6">
      <c r="D6395" s="8"/>
      <c r="E6395" s="8"/>
      <c r="F6395" s="8"/>
    </row>
    <row r="6396" spans="4:6">
      <c r="D6396" s="8"/>
      <c r="E6396" s="8"/>
      <c r="F6396" s="8"/>
    </row>
    <row r="6397" spans="4:6">
      <c r="D6397" s="8"/>
      <c r="E6397" s="8"/>
      <c r="F6397" s="8"/>
    </row>
    <row r="6398" spans="4:6">
      <c r="D6398" s="8"/>
      <c r="E6398" s="8"/>
      <c r="F6398" s="8"/>
    </row>
    <row r="6399" spans="4:6">
      <c r="D6399" s="8"/>
      <c r="E6399" s="8"/>
      <c r="F6399" s="8"/>
    </row>
    <row r="6400" spans="4:6">
      <c r="D6400" s="8"/>
      <c r="E6400" s="8"/>
      <c r="F6400" s="8"/>
    </row>
    <row r="6401" spans="4:6">
      <c r="D6401" s="8"/>
      <c r="E6401" s="8"/>
      <c r="F6401" s="8"/>
    </row>
    <row r="6402" spans="4:6">
      <c r="D6402" s="8"/>
      <c r="E6402" s="8"/>
      <c r="F6402" s="8"/>
    </row>
    <row r="6403" spans="4:6">
      <c r="D6403" s="8"/>
      <c r="E6403" s="8"/>
      <c r="F6403" s="8"/>
    </row>
    <row r="6404" spans="4:6">
      <c r="D6404" s="8"/>
      <c r="E6404" s="8"/>
      <c r="F6404" s="8"/>
    </row>
    <row r="6405" spans="4:6">
      <c r="D6405" s="8"/>
      <c r="E6405" s="8"/>
      <c r="F6405" s="8"/>
    </row>
    <row r="6406" spans="4:6">
      <c r="D6406" s="8"/>
      <c r="E6406" s="8"/>
      <c r="F6406" s="8"/>
    </row>
    <row r="6407" spans="4:6">
      <c r="D6407" s="8"/>
      <c r="E6407" s="8"/>
      <c r="F6407" s="8"/>
    </row>
    <row r="6408" spans="4:6">
      <c r="D6408" s="8"/>
      <c r="E6408" s="8"/>
      <c r="F6408" s="8"/>
    </row>
    <row r="6409" spans="4:6">
      <c r="D6409" s="8"/>
      <c r="E6409" s="8"/>
      <c r="F6409" s="8"/>
    </row>
    <row r="6410" spans="4:6">
      <c r="D6410" s="8"/>
      <c r="E6410" s="8"/>
      <c r="F6410" s="8"/>
    </row>
    <row r="6411" spans="4:6">
      <c r="D6411" s="8"/>
      <c r="E6411" s="8"/>
      <c r="F6411" s="8"/>
    </row>
    <row r="6412" spans="4:6">
      <c r="D6412" s="8"/>
      <c r="E6412" s="8"/>
      <c r="F6412" s="8"/>
    </row>
    <row r="6413" spans="4:6">
      <c r="D6413" s="8"/>
      <c r="E6413" s="8"/>
      <c r="F6413" s="8"/>
    </row>
    <row r="6414" spans="4:6">
      <c r="D6414" s="8"/>
      <c r="E6414" s="8"/>
      <c r="F6414" s="8"/>
    </row>
    <row r="6415" spans="4:6">
      <c r="D6415" s="8"/>
      <c r="E6415" s="8"/>
      <c r="F6415" s="8"/>
    </row>
    <row r="6416" spans="4:6">
      <c r="D6416" s="8"/>
      <c r="E6416" s="8"/>
      <c r="F6416" s="8"/>
    </row>
    <row r="6417" spans="4:6">
      <c r="D6417" s="8"/>
      <c r="E6417" s="8"/>
      <c r="F6417" s="8"/>
    </row>
    <row r="6418" spans="4:6">
      <c r="D6418" s="8"/>
      <c r="E6418" s="8"/>
      <c r="F6418" s="8"/>
    </row>
    <row r="6419" spans="4:6">
      <c r="D6419" s="8"/>
      <c r="E6419" s="8"/>
      <c r="F6419" s="8"/>
    </row>
    <row r="6420" spans="4:6">
      <c r="D6420" s="8"/>
      <c r="E6420" s="8"/>
      <c r="F6420" s="8"/>
    </row>
    <row r="6421" spans="4:6">
      <c r="D6421" s="8"/>
      <c r="E6421" s="8"/>
      <c r="F6421" s="8"/>
    </row>
    <row r="6422" spans="4:6">
      <c r="D6422" s="8"/>
      <c r="E6422" s="8"/>
      <c r="F6422" s="8"/>
    </row>
    <row r="6423" spans="4:6">
      <c r="D6423" s="8"/>
      <c r="E6423" s="8"/>
      <c r="F6423" s="8"/>
    </row>
    <row r="6424" spans="4:6">
      <c r="D6424" s="8"/>
      <c r="E6424" s="8"/>
      <c r="F6424" s="8"/>
    </row>
    <row r="6425" spans="4:6">
      <c r="D6425" s="8"/>
      <c r="E6425" s="8"/>
      <c r="F6425" s="8"/>
    </row>
    <row r="6426" spans="4:6">
      <c r="D6426" s="8"/>
      <c r="E6426" s="8"/>
      <c r="F6426" s="8"/>
    </row>
    <row r="6427" spans="4:6">
      <c r="D6427" s="8"/>
      <c r="E6427" s="8"/>
      <c r="F6427" s="8"/>
    </row>
    <row r="6428" spans="4:6">
      <c r="D6428" s="8"/>
      <c r="E6428" s="8"/>
      <c r="F6428" s="8"/>
    </row>
    <row r="6429" spans="4:6">
      <c r="D6429" s="8"/>
      <c r="E6429" s="8"/>
      <c r="F6429" s="8"/>
    </row>
    <row r="6430" spans="4:6">
      <c r="D6430" s="8"/>
      <c r="E6430" s="8"/>
      <c r="F6430" s="8"/>
    </row>
    <row r="6431" spans="4:6">
      <c r="D6431" s="8"/>
      <c r="E6431" s="8"/>
      <c r="F6431" s="8"/>
    </row>
    <row r="6432" spans="4:6">
      <c r="D6432" s="8"/>
      <c r="E6432" s="8"/>
      <c r="F6432" s="8"/>
    </row>
    <row r="6433" spans="4:6">
      <c r="D6433" s="8"/>
      <c r="E6433" s="8"/>
      <c r="F6433" s="8"/>
    </row>
    <row r="6434" spans="4:6">
      <c r="D6434" s="8"/>
      <c r="E6434" s="8"/>
      <c r="F6434" s="8"/>
    </row>
    <row r="6435" spans="4:6">
      <c r="D6435" s="8"/>
      <c r="E6435" s="8"/>
      <c r="F6435" s="8"/>
    </row>
    <row r="6436" spans="4:6">
      <c r="D6436" s="8"/>
      <c r="E6436" s="8"/>
      <c r="F6436" s="8"/>
    </row>
    <row r="6437" spans="4:6">
      <c r="D6437" s="8"/>
      <c r="E6437" s="8"/>
      <c r="F6437" s="8"/>
    </row>
    <row r="6438" spans="4:6">
      <c r="D6438" s="8"/>
      <c r="E6438" s="8"/>
      <c r="F6438" s="8"/>
    </row>
    <row r="6439" spans="4:6">
      <c r="D6439" s="8"/>
      <c r="E6439" s="8"/>
      <c r="F6439" s="8"/>
    </row>
    <row r="6440" spans="4:6">
      <c r="D6440" s="8"/>
      <c r="E6440" s="8"/>
      <c r="F6440" s="8"/>
    </row>
    <row r="6441" spans="4:6">
      <c r="D6441" s="8"/>
      <c r="E6441" s="8"/>
      <c r="F6441" s="8"/>
    </row>
    <row r="6442" spans="4:6">
      <c r="D6442" s="8"/>
      <c r="E6442" s="8"/>
      <c r="F6442" s="8"/>
    </row>
    <row r="6443" spans="4:6">
      <c r="D6443" s="8"/>
      <c r="E6443" s="8"/>
      <c r="F6443" s="8"/>
    </row>
    <row r="6444" spans="4:6">
      <c r="D6444" s="8"/>
      <c r="E6444" s="8"/>
      <c r="F6444" s="8"/>
    </row>
    <row r="6445" spans="4:6">
      <c r="D6445" s="8"/>
      <c r="E6445" s="8"/>
      <c r="F6445" s="8"/>
    </row>
    <row r="6446" spans="4:6">
      <c r="D6446" s="8"/>
      <c r="E6446" s="8"/>
      <c r="F6446" s="8"/>
    </row>
    <row r="6447" spans="4:6">
      <c r="D6447" s="8"/>
      <c r="E6447" s="8"/>
      <c r="F6447" s="8"/>
    </row>
    <row r="6448" spans="4:6">
      <c r="D6448" s="8"/>
      <c r="E6448" s="8"/>
      <c r="F6448" s="8"/>
    </row>
    <row r="6449" spans="4:6">
      <c r="D6449" s="8"/>
      <c r="E6449" s="8"/>
      <c r="F6449" s="8"/>
    </row>
    <row r="6450" spans="4:6">
      <c r="D6450" s="8"/>
      <c r="E6450" s="8"/>
      <c r="F6450" s="8"/>
    </row>
    <row r="6451" spans="4:6">
      <c r="D6451" s="8"/>
      <c r="E6451" s="8"/>
      <c r="F6451" s="8"/>
    </row>
    <row r="6452" spans="4:6">
      <c r="D6452" s="8"/>
      <c r="E6452" s="8"/>
      <c r="F6452" s="8"/>
    </row>
    <row r="6453" spans="4:6">
      <c r="D6453" s="8"/>
      <c r="E6453" s="8"/>
      <c r="F6453" s="8"/>
    </row>
    <row r="6454" spans="4:6">
      <c r="D6454" s="8"/>
      <c r="E6454" s="8"/>
      <c r="F6454" s="8"/>
    </row>
    <row r="6455" spans="4:6">
      <c r="D6455" s="8"/>
      <c r="E6455" s="8"/>
      <c r="F6455" s="8"/>
    </row>
    <row r="6456" spans="4:6">
      <c r="D6456" s="8"/>
      <c r="E6456" s="8"/>
      <c r="F6456" s="8"/>
    </row>
    <row r="6457" spans="4:6">
      <c r="D6457" s="8"/>
      <c r="E6457" s="8"/>
      <c r="F6457" s="8"/>
    </row>
    <row r="6458" spans="4:6">
      <c r="D6458" s="8"/>
      <c r="E6458" s="8"/>
      <c r="F6458" s="8"/>
    </row>
    <row r="6459" spans="4:6">
      <c r="D6459" s="8"/>
      <c r="E6459" s="8"/>
      <c r="F6459" s="8"/>
    </row>
    <row r="6460" spans="4:6">
      <c r="D6460" s="8"/>
      <c r="E6460" s="8"/>
      <c r="F6460" s="8"/>
    </row>
    <row r="6461" spans="4:6">
      <c r="D6461" s="8"/>
      <c r="E6461" s="8"/>
      <c r="F6461" s="8"/>
    </row>
    <row r="6462" spans="4:6">
      <c r="D6462" s="8"/>
      <c r="E6462" s="8"/>
      <c r="F6462" s="8"/>
    </row>
    <row r="6463" spans="4:6">
      <c r="D6463" s="8"/>
      <c r="E6463" s="8"/>
      <c r="F6463" s="8"/>
    </row>
    <row r="6464" spans="4:6">
      <c r="D6464" s="8"/>
      <c r="E6464" s="8"/>
      <c r="F6464" s="8"/>
    </row>
    <row r="6465" spans="4:6">
      <c r="D6465" s="8"/>
      <c r="E6465" s="8"/>
      <c r="F6465" s="8"/>
    </row>
    <row r="6466" spans="4:6">
      <c r="D6466" s="8"/>
      <c r="E6466" s="8"/>
      <c r="F6466" s="8"/>
    </row>
    <row r="6467" spans="4:6">
      <c r="D6467" s="8"/>
      <c r="E6467" s="8"/>
      <c r="F6467" s="8"/>
    </row>
    <row r="6468" spans="4:6">
      <c r="D6468" s="8"/>
      <c r="E6468" s="8"/>
      <c r="F6468" s="8"/>
    </row>
    <row r="6469" spans="4:6">
      <c r="D6469" s="8"/>
      <c r="E6469" s="8"/>
      <c r="F6469" s="8"/>
    </row>
    <row r="6470" spans="4:6">
      <c r="D6470" s="8"/>
      <c r="E6470" s="8"/>
      <c r="F6470" s="8"/>
    </row>
    <row r="6471" spans="4:6">
      <c r="D6471" s="8"/>
      <c r="E6471" s="8"/>
      <c r="F6471" s="8"/>
    </row>
    <row r="6472" spans="4:6">
      <c r="D6472" s="8"/>
      <c r="E6472" s="8"/>
      <c r="F6472" s="8"/>
    </row>
    <row r="6473" spans="4:6">
      <c r="D6473" s="8"/>
      <c r="E6473" s="8"/>
      <c r="F6473" s="8"/>
    </row>
    <row r="6474" spans="4:6">
      <c r="D6474" s="8"/>
      <c r="E6474" s="8"/>
      <c r="F6474" s="8"/>
    </row>
    <row r="6475" spans="4:6">
      <c r="D6475" s="8"/>
      <c r="E6475" s="8"/>
      <c r="F6475" s="8"/>
    </row>
    <row r="6476" spans="4:6">
      <c r="D6476" s="8"/>
      <c r="E6476" s="8"/>
      <c r="F6476" s="8"/>
    </row>
    <row r="6477" spans="4:6">
      <c r="D6477" s="8"/>
      <c r="E6477" s="8"/>
      <c r="F6477" s="8"/>
    </row>
    <row r="6478" spans="4:6">
      <c r="D6478" s="8"/>
      <c r="E6478" s="8"/>
      <c r="F6478" s="8"/>
    </row>
    <row r="6479" spans="4:6">
      <c r="D6479" s="8"/>
      <c r="E6479" s="8"/>
      <c r="F6479" s="8"/>
    </row>
    <row r="6480" spans="4:6">
      <c r="D6480" s="8"/>
      <c r="E6480" s="8"/>
      <c r="F6480" s="8"/>
    </row>
    <row r="6481" spans="4:6">
      <c r="D6481" s="8"/>
      <c r="E6481" s="8"/>
      <c r="F6481" s="8"/>
    </row>
    <row r="6482" spans="4:6">
      <c r="D6482" s="8"/>
      <c r="E6482" s="8"/>
      <c r="F6482" s="8"/>
    </row>
    <row r="6483" spans="4:6">
      <c r="D6483" s="8"/>
      <c r="E6483" s="8"/>
      <c r="F6483" s="8"/>
    </row>
    <row r="6484" spans="4:6">
      <c r="D6484" s="8"/>
      <c r="E6484" s="8"/>
      <c r="F6484" s="8"/>
    </row>
    <row r="6485" spans="4:6">
      <c r="D6485" s="8"/>
      <c r="E6485" s="8"/>
      <c r="F6485" s="8"/>
    </row>
    <row r="6486" spans="4:6">
      <c r="D6486" s="8"/>
      <c r="E6486" s="8"/>
      <c r="F6486" s="8"/>
    </row>
    <row r="6487" spans="4:6">
      <c r="D6487" s="8"/>
      <c r="E6487" s="8"/>
      <c r="F6487" s="8"/>
    </row>
    <row r="6488" spans="4:6">
      <c r="D6488" s="8"/>
      <c r="E6488" s="8"/>
      <c r="F6488" s="8"/>
    </row>
    <row r="6489" spans="4:6">
      <c r="D6489" s="8"/>
      <c r="E6489" s="8"/>
      <c r="F6489" s="8"/>
    </row>
    <row r="6490" spans="4:6">
      <c r="D6490" s="8"/>
      <c r="E6490" s="8"/>
      <c r="F6490" s="8"/>
    </row>
    <row r="6491" spans="4:6">
      <c r="D6491" s="8"/>
      <c r="E6491" s="8"/>
      <c r="F6491" s="8"/>
    </row>
    <row r="6492" spans="4:6">
      <c r="D6492" s="8"/>
      <c r="E6492" s="8"/>
      <c r="F6492" s="8"/>
    </row>
    <row r="6493" spans="4:6">
      <c r="D6493" s="8"/>
      <c r="E6493" s="8"/>
      <c r="F6493" s="8"/>
    </row>
    <row r="6494" spans="4:6">
      <c r="D6494" s="8"/>
      <c r="E6494" s="8"/>
      <c r="F6494" s="8"/>
    </row>
    <row r="6495" spans="4:6">
      <c r="D6495" s="8"/>
      <c r="E6495" s="8"/>
      <c r="F6495" s="8"/>
    </row>
    <row r="6496" spans="4:6">
      <c r="D6496" s="8"/>
      <c r="E6496" s="8"/>
      <c r="F6496" s="8"/>
    </row>
    <row r="6497" spans="4:6">
      <c r="D6497" s="8"/>
      <c r="E6497" s="8"/>
      <c r="F6497" s="8"/>
    </row>
    <row r="6498" spans="4:6">
      <c r="D6498" s="8"/>
      <c r="E6498" s="8"/>
      <c r="F6498" s="8"/>
    </row>
    <row r="6499" spans="4:6">
      <c r="D6499" s="8"/>
      <c r="E6499" s="8"/>
      <c r="F6499" s="8"/>
    </row>
    <row r="6500" spans="4:6">
      <c r="D6500" s="8"/>
      <c r="E6500" s="8"/>
      <c r="F6500" s="8"/>
    </row>
    <row r="6501" spans="4:6">
      <c r="D6501" s="8"/>
      <c r="E6501" s="8"/>
      <c r="F6501" s="8"/>
    </row>
    <row r="6502" spans="4:6">
      <c r="D6502" s="8"/>
      <c r="E6502" s="8"/>
      <c r="F6502" s="8"/>
    </row>
    <row r="6503" spans="4:6">
      <c r="D6503" s="8"/>
      <c r="E6503" s="8"/>
      <c r="F6503" s="8"/>
    </row>
    <row r="6504" spans="4:6">
      <c r="D6504" s="8"/>
      <c r="E6504" s="8"/>
      <c r="F6504" s="8"/>
    </row>
    <row r="6505" spans="4:6">
      <c r="D6505" s="8"/>
      <c r="E6505" s="8"/>
      <c r="F6505" s="8"/>
    </row>
    <row r="6506" spans="4:6">
      <c r="D6506" s="8"/>
      <c r="E6506" s="8"/>
      <c r="F6506" s="8"/>
    </row>
    <row r="6507" spans="4:6">
      <c r="D6507" s="8"/>
      <c r="E6507" s="8"/>
      <c r="F6507" s="8"/>
    </row>
    <row r="6508" spans="4:6">
      <c r="D6508" s="8"/>
      <c r="E6508" s="8"/>
      <c r="F6508" s="8"/>
    </row>
    <row r="6509" spans="4:6">
      <c r="D6509" s="8"/>
      <c r="E6509" s="8"/>
      <c r="F6509" s="8"/>
    </row>
    <row r="6510" spans="4:6">
      <c r="D6510" s="8"/>
      <c r="E6510" s="8"/>
      <c r="F6510" s="8"/>
    </row>
    <row r="6511" spans="4:6">
      <c r="D6511" s="8"/>
      <c r="E6511" s="8"/>
      <c r="F6511" s="8"/>
    </row>
    <row r="6512" spans="4:6">
      <c r="D6512" s="8"/>
      <c r="E6512" s="8"/>
      <c r="F6512" s="8"/>
    </row>
    <row r="6513" spans="4:6">
      <c r="D6513" s="8"/>
      <c r="E6513" s="8"/>
      <c r="F6513" s="8"/>
    </row>
    <row r="6514" spans="4:6">
      <c r="D6514" s="8"/>
      <c r="E6514" s="8"/>
      <c r="F6514" s="8"/>
    </row>
    <row r="6515" spans="4:6">
      <c r="D6515" s="8"/>
      <c r="E6515" s="8"/>
      <c r="F6515" s="8"/>
    </row>
    <row r="6516" spans="4:6">
      <c r="D6516" s="8"/>
      <c r="E6516" s="8"/>
      <c r="F6516" s="8"/>
    </row>
    <row r="6517" spans="4:6">
      <c r="D6517" s="8"/>
      <c r="E6517" s="8"/>
      <c r="F6517" s="8"/>
    </row>
    <row r="6518" spans="4:6">
      <c r="D6518" s="8"/>
      <c r="E6518" s="8"/>
      <c r="F6518" s="8"/>
    </row>
    <row r="6519" spans="4:6">
      <c r="D6519" s="8"/>
      <c r="E6519" s="8"/>
      <c r="F6519" s="8"/>
    </row>
    <row r="6520" spans="4:6">
      <c r="D6520" s="8"/>
      <c r="E6520" s="8"/>
      <c r="F6520" s="8"/>
    </row>
    <row r="6521" spans="4:6">
      <c r="D6521" s="8"/>
      <c r="E6521" s="8"/>
      <c r="F6521" s="8"/>
    </row>
    <row r="6522" spans="4:6">
      <c r="D6522" s="8"/>
      <c r="E6522" s="8"/>
      <c r="F6522" s="8"/>
    </row>
    <row r="6523" spans="4:6">
      <c r="D6523" s="8"/>
      <c r="E6523" s="8"/>
      <c r="F6523" s="8"/>
    </row>
    <row r="6524" spans="4:6">
      <c r="D6524" s="8"/>
      <c r="E6524" s="8"/>
      <c r="F6524" s="8"/>
    </row>
    <row r="6525" spans="4:6">
      <c r="D6525" s="8"/>
      <c r="E6525" s="8"/>
      <c r="F6525" s="8"/>
    </row>
    <row r="6526" spans="4:6">
      <c r="D6526" s="8"/>
      <c r="E6526" s="8"/>
      <c r="F6526" s="8"/>
    </row>
    <row r="6527" spans="4:6">
      <c r="D6527" s="8"/>
      <c r="E6527" s="8"/>
      <c r="F6527" s="8"/>
    </row>
    <row r="6528" spans="4:6">
      <c r="D6528" s="8"/>
      <c r="E6528" s="8"/>
      <c r="F6528" s="8"/>
    </row>
    <row r="6529" spans="4:6">
      <c r="D6529" s="8"/>
      <c r="E6529" s="8"/>
      <c r="F6529" s="8"/>
    </row>
    <row r="6530" spans="4:6">
      <c r="D6530" s="8"/>
      <c r="E6530" s="8"/>
      <c r="F6530" s="8"/>
    </row>
    <row r="6531" spans="4:6">
      <c r="D6531" s="8"/>
      <c r="E6531" s="8"/>
      <c r="F6531" s="8"/>
    </row>
    <row r="6532" spans="4:6">
      <c r="D6532" s="8"/>
      <c r="E6532" s="8"/>
      <c r="F6532" s="8"/>
    </row>
    <row r="6533" spans="4:6">
      <c r="D6533" s="8"/>
      <c r="E6533" s="8"/>
      <c r="F6533" s="8"/>
    </row>
    <row r="6534" spans="4:6">
      <c r="D6534" s="8"/>
      <c r="E6534" s="8"/>
      <c r="F6534" s="8"/>
    </row>
    <row r="6535" spans="4:6">
      <c r="D6535" s="8"/>
      <c r="E6535" s="8"/>
      <c r="F6535" s="8"/>
    </row>
    <row r="6536" spans="4:6">
      <c r="D6536" s="8"/>
      <c r="E6536" s="8"/>
      <c r="F6536" s="8"/>
    </row>
    <row r="6537" spans="4:6">
      <c r="D6537" s="8"/>
      <c r="E6537" s="8"/>
      <c r="F6537" s="8"/>
    </row>
    <row r="6538" spans="4:6">
      <c r="D6538" s="8"/>
      <c r="E6538" s="8"/>
      <c r="F6538" s="8"/>
    </row>
    <row r="6539" spans="4:6">
      <c r="D6539" s="8"/>
      <c r="E6539" s="8"/>
      <c r="F6539" s="8"/>
    </row>
    <row r="6540" spans="4:6">
      <c r="D6540" s="8"/>
      <c r="E6540" s="8"/>
      <c r="F6540" s="8"/>
    </row>
    <row r="6541" spans="4:6">
      <c r="D6541" s="8"/>
      <c r="E6541" s="8"/>
      <c r="F6541" s="8"/>
    </row>
    <row r="6542" spans="4:6">
      <c r="D6542" s="8"/>
      <c r="E6542" s="8"/>
      <c r="F6542" s="8"/>
    </row>
    <row r="6543" spans="4:6">
      <c r="D6543" s="8"/>
      <c r="E6543" s="8"/>
      <c r="F6543" s="8"/>
    </row>
    <row r="6544" spans="4:6">
      <c r="D6544" s="8"/>
      <c r="E6544" s="8"/>
      <c r="F6544" s="8"/>
    </row>
    <row r="6545" spans="4:6">
      <c r="D6545" s="8"/>
      <c r="E6545" s="8"/>
      <c r="F6545" s="8"/>
    </row>
    <row r="6546" spans="4:6">
      <c r="D6546" s="8"/>
      <c r="E6546" s="8"/>
      <c r="F6546" s="8"/>
    </row>
    <row r="6547" spans="4:6">
      <c r="D6547" s="8"/>
      <c r="E6547" s="8"/>
      <c r="F6547" s="8"/>
    </row>
    <row r="6548" spans="4:6">
      <c r="D6548" s="8"/>
      <c r="E6548" s="8"/>
      <c r="F6548" s="8"/>
    </row>
    <row r="6549" spans="4:6">
      <c r="D6549" s="8"/>
      <c r="E6549" s="8"/>
      <c r="F6549" s="8"/>
    </row>
    <row r="6550" spans="4:6">
      <c r="D6550" s="8"/>
      <c r="E6550" s="8"/>
      <c r="F6550" s="8"/>
    </row>
    <row r="6551" spans="4:6">
      <c r="D6551" s="8"/>
      <c r="E6551" s="8"/>
      <c r="F6551" s="8"/>
    </row>
    <row r="6552" spans="4:6">
      <c r="D6552" s="8"/>
      <c r="E6552" s="8"/>
      <c r="F6552" s="8"/>
    </row>
    <row r="6553" spans="4:6">
      <c r="D6553" s="8"/>
      <c r="E6553" s="8"/>
      <c r="F6553" s="8"/>
    </row>
    <row r="6554" spans="4:6">
      <c r="D6554" s="8"/>
      <c r="E6554" s="8"/>
      <c r="F6554" s="8"/>
    </row>
    <row r="6555" spans="4:6">
      <c r="D6555" s="8"/>
      <c r="E6555" s="8"/>
      <c r="F6555" s="8"/>
    </row>
    <row r="6556" spans="4:6">
      <c r="D6556" s="8"/>
      <c r="E6556" s="8"/>
      <c r="F6556" s="8"/>
    </row>
    <row r="6557" spans="4:6">
      <c r="D6557" s="8"/>
      <c r="E6557" s="8"/>
      <c r="F6557" s="8"/>
    </row>
    <row r="6558" spans="4:6">
      <c r="D6558" s="8"/>
      <c r="E6558" s="8"/>
      <c r="F6558" s="8"/>
    </row>
    <row r="6559" spans="4:6">
      <c r="D6559" s="8"/>
      <c r="E6559" s="8"/>
      <c r="F6559" s="8"/>
    </row>
    <row r="6560" spans="4:6">
      <c r="D6560" s="8"/>
      <c r="E6560" s="8"/>
      <c r="F6560" s="8"/>
    </row>
    <row r="6561" spans="4:6">
      <c r="D6561" s="8"/>
      <c r="E6561" s="8"/>
      <c r="F6561" s="8"/>
    </row>
    <row r="6562" spans="4:6">
      <c r="D6562" s="8"/>
      <c r="E6562" s="8"/>
      <c r="F6562" s="8"/>
    </row>
    <row r="6563" spans="4:6">
      <c r="D6563" s="8"/>
      <c r="E6563" s="8"/>
      <c r="F6563" s="8"/>
    </row>
    <row r="6564" spans="4:6">
      <c r="D6564" s="8"/>
      <c r="E6564" s="8"/>
      <c r="F6564" s="8"/>
    </row>
    <row r="6565" spans="4:6">
      <c r="D6565" s="8"/>
      <c r="E6565" s="8"/>
      <c r="F6565" s="8"/>
    </row>
    <row r="6566" spans="4:6">
      <c r="D6566" s="8"/>
      <c r="E6566" s="8"/>
      <c r="F6566" s="8"/>
    </row>
    <row r="6567" spans="4:6">
      <c r="D6567" s="8"/>
      <c r="E6567" s="8"/>
      <c r="F6567" s="8"/>
    </row>
    <row r="6568" spans="4:6">
      <c r="D6568" s="8"/>
      <c r="E6568" s="8"/>
      <c r="F6568" s="8"/>
    </row>
    <row r="6569" spans="4:6">
      <c r="D6569" s="8"/>
      <c r="E6569" s="8"/>
      <c r="F6569" s="8"/>
    </row>
    <row r="6570" spans="4:6">
      <c r="D6570" s="8"/>
      <c r="E6570" s="8"/>
      <c r="F6570" s="8"/>
    </row>
    <row r="6571" spans="4:6">
      <c r="D6571" s="8"/>
      <c r="E6571" s="8"/>
      <c r="F6571" s="8"/>
    </row>
    <row r="6572" spans="4:6">
      <c r="D6572" s="8"/>
      <c r="E6572" s="8"/>
      <c r="F6572" s="8"/>
    </row>
    <row r="6573" spans="4:6">
      <c r="D6573" s="8"/>
      <c r="E6573" s="8"/>
      <c r="F6573" s="8"/>
    </row>
    <row r="6574" spans="4:6">
      <c r="D6574" s="8"/>
      <c r="E6574" s="8"/>
      <c r="F6574" s="8"/>
    </row>
    <row r="6575" spans="4:6">
      <c r="D6575" s="8"/>
      <c r="E6575" s="8"/>
      <c r="F6575" s="8"/>
    </row>
    <row r="6576" spans="4:6">
      <c r="D6576" s="8"/>
      <c r="E6576" s="8"/>
      <c r="F6576" s="8"/>
    </row>
    <row r="6577" spans="4:6">
      <c r="D6577" s="8"/>
      <c r="E6577" s="8"/>
      <c r="F6577" s="8"/>
    </row>
    <row r="6578" spans="4:6">
      <c r="D6578" s="8"/>
      <c r="E6578" s="8"/>
      <c r="F6578" s="8"/>
    </row>
    <row r="6579" spans="4:6">
      <c r="D6579" s="8"/>
      <c r="E6579" s="8"/>
      <c r="F6579" s="8"/>
    </row>
    <row r="6580" spans="4:6">
      <c r="D6580" s="8"/>
      <c r="E6580" s="8"/>
      <c r="F6580" s="8"/>
    </row>
    <row r="6581" spans="4:6">
      <c r="D6581" s="8"/>
      <c r="E6581" s="8"/>
      <c r="F6581" s="8"/>
    </row>
    <row r="6582" spans="4:6">
      <c r="D6582" s="8"/>
      <c r="E6582" s="8"/>
      <c r="F6582" s="8"/>
    </row>
    <row r="6583" spans="4:6">
      <c r="D6583" s="8"/>
      <c r="E6583" s="8"/>
      <c r="F6583" s="8"/>
    </row>
    <row r="6584" spans="4:6">
      <c r="D6584" s="8"/>
      <c r="E6584" s="8"/>
      <c r="F6584" s="8"/>
    </row>
    <row r="6585" spans="4:6">
      <c r="D6585" s="8"/>
      <c r="E6585" s="8"/>
      <c r="F6585" s="8"/>
    </row>
    <row r="6586" spans="4:6">
      <c r="D6586" s="8"/>
      <c r="E6586" s="8"/>
      <c r="F6586" s="8"/>
    </row>
    <row r="6587" spans="4:6">
      <c r="D6587" s="8"/>
      <c r="E6587" s="8"/>
      <c r="F6587" s="8"/>
    </row>
    <row r="6588" spans="4:6">
      <c r="D6588" s="8"/>
      <c r="E6588" s="8"/>
      <c r="F6588" s="8"/>
    </row>
    <row r="6589" spans="4:6">
      <c r="D6589" s="8"/>
      <c r="E6589" s="8"/>
      <c r="F6589" s="8"/>
    </row>
    <row r="6590" spans="4:6">
      <c r="D6590" s="8"/>
      <c r="E6590" s="8"/>
      <c r="F6590" s="8"/>
    </row>
    <row r="6591" spans="4:6">
      <c r="D6591" s="8"/>
      <c r="E6591" s="8"/>
      <c r="F6591" s="8"/>
    </row>
    <row r="6592" spans="4:6">
      <c r="D6592" s="8"/>
      <c r="E6592" s="8"/>
      <c r="F6592" s="8"/>
    </row>
    <row r="6593" spans="4:6">
      <c r="D6593" s="8"/>
      <c r="E6593" s="8"/>
      <c r="F6593" s="8"/>
    </row>
    <row r="6594" spans="4:6">
      <c r="D6594" s="8"/>
      <c r="E6594" s="8"/>
      <c r="F6594" s="8"/>
    </row>
    <row r="6595" spans="4:6">
      <c r="D6595" s="8"/>
      <c r="E6595" s="8"/>
      <c r="F6595" s="8"/>
    </row>
    <row r="6596" spans="4:6">
      <c r="D6596" s="8"/>
      <c r="E6596" s="8"/>
      <c r="F6596" s="8"/>
    </row>
    <row r="6597" spans="4:6">
      <c r="D6597" s="8"/>
      <c r="E6597" s="8"/>
      <c r="F6597" s="8"/>
    </row>
    <row r="6598" spans="4:6">
      <c r="D6598" s="8"/>
      <c r="E6598" s="8"/>
      <c r="F6598" s="8"/>
    </row>
    <row r="6599" spans="4:6">
      <c r="D6599" s="8"/>
      <c r="E6599" s="8"/>
      <c r="F6599" s="8"/>
    </row>
    <row r="6600" spans="4:6">
      <c r="D6600" s="8"/>
      <c r="E6600" s="8"/>
      <c r="F6600" s="8"/>
    </row>
    <row r="6601" spans="4:6">
      <c r="D6601" s="8"/>
      <c r="E6601" s="8"/>
      <c r="F6601" s="8"/>
    </row>
    <row r="6602" spans="4:6">
      <c r="D6602" s="8"/>
      <c r="E6602" s="8"/>
      <c r="F6602" s="8"/>
    </row>
    <row r="6603" spans="4:6">
      <c r="D6603" s="8"/>
      <c r="E6603" s="8"/>
      <c r="F6603" s="8"/>
    </row>
    <row r="6604" spans="4:6">
      <c r="D6604" s="8"/>
      <c r="E6604" s="8"/>
      <c r="F6604" s="8"/>
    </row>
    <row r="6605" spans="4:6">
      <c r="D6605" s="8"/>
      <c r="E6605" s="8"/>
      <c r="F6605" s="8"/>
    </row>
    <row r="6606" spans="4:6">
      <c r="D6606" s="8"/>
      <c r="E6606" s="8"/>
      <c r="F6606" s="8"/>
    </row>
    <row r="6607" spans="4:6">
      <c r="D6607" s="8"/>
      <c r="E6607" s="8"/>
      <c r="F6607" s="8"/>
    </row>
    <row r="6608" spans="4:6">
      <c r="D6608" s="8"/>
      <c r="E6608" s="8"/>
      <c r="F6608" s="8"/>
    </row>
    <row r="6609" spans="4:6">
      <c r="D6609" s="8"/>
      <c r="E6609" s="8"/>
      <c r="F6609" s="8"/>
    </row>
    <row r="6610" spans="4:6">
      <c r="D6610" s="8"/>
      <c r="E6610" s="8"/>
      <c r="F6610" s="8"/>
    </row>
    <row r="6611" spans="4:6">
      <c r="D6611" s="8"/>
      <c r="E6611" s="8"/>
      <c r="F6611" s="8"/>
    </row>
    <row r="6612" spans="4:6">
      <c r="D6612" s="8"/>
      <c r="E6612" s="8"/>
      <c r="F6612" s="8"/>
    </row>
    <row r="6613" spans="4:6">
      <c r="D6613" s="8"/>
      <c r="E6613" s="8"/>
      <c r="F6613" s="8"/>
    </row>
    <row r="6614" spans="4:6">
      <c r="D6614" s="8"/>
      <c r="E6614" s="8"/>
      <c r="F6614" s="8"/>
    </row>
    <row r="6615" spans="4:6">
      <c r="D6615" s="8"/>
      <c r="E6615" s="8"/>
      <c r="F6615" s="8"/>
    </row>
    <row r="6616" spans="4:6">
      <c r="D6616" s="8"/>
      <c r="E6616" s="8"/>
      <c r="F6616" s="8"/>
    </row>
    <row r="6617" spans="4:6">
      <c r="D6617" s="8"/>
      <c r="E6617" s="8"/>
      <c r="F6617" s="8"/>
    </row>
    <row r="6618" spans="4:6">
      <c r="D6618" s="8"/>
      <c r="E6618" s="8"/>
      <c r="F6618" s="8"/>
    </row>
    <row r="6619" spans="4:6">
      <c r="D6619" s="8"/>
      <c r="E6619" s="8"/>
      <c r="F6619" s="8"/>
    </row>
    <row r="6620" spans="4:6">
      <c r="D6620" s="8"/>
      <c r="E6620" s="8"/>
      <c r="F6620" s="8"/>
    </row>
    <row r="6621" spans="4:6">
      <c r="D6621" s="8"/>
      <c r="E6621" s="8"/>
      <c r="F6621" s="8"/>
    </row>
    <row r="6622" spans="4:6">
      <c r="D6622" s="8"/>
      <c r="E6622" s="8"/>
      <c r="F6622" s="8"/>
    </row>
    <row r="6623" spans="4:6">
      <c r="D6623" s="8"/>
      <c r="E6623" s="8"/>
      <c r="F6623" s="8"/>
    </row>
    <row r="6624" spans="4:6">
      <c r="D6624" s="8"/>
      <c r="E6624" s="8"/>
      <c r="F6624" s="8"/>
    </row>
    <row r="6625" spans="4:6">
      <c r="D6625" s="8"/>
      <c r="E6625" s="8"/>
      <c r="F6625" s="8"/>
    </row>
    <row r="6626" spans="4:6">
      <c r="D6626" s="8"/>
      <c r="E6626" s="8"/>
      <c r="F6626" s="8"/>
    </row>
    <row r="6627" spans="4:6">
      <c r="D6627" s="8"/>
      <c r="E6627" s="8"/>
      <c r="F6627" s="8"/>
    </row>
    <row r="6628" spans="4:6">
      <c r="D6628" s="8"/>
      <c r="E6628" s="8"/>
      <c r="F6628" s="8"/>
    </row>
    <row r="6629" spans="4:6">
      <c r="D6629" s="8"/>
      <c r="E6629" s="8"/>
      <c r="F6629" s="8"/>
    </row>
    <row r="6630" spans="4:6">
      <c r="D6630" s="8"/>
      <c r="E6630" s="8"/>
      <c r="F6630" s="8"/>
    </row>
    <row r="6631" spans="4:6">
      <c r="D6631" s="8"/>
      <c r="E6631" s="8"/>
      <c r="F6631" s="8"/>
    </row>
    <row r="6632" spans="4:6">
      <c r="D6632" s="8"/>
      <c r="E6632" s="8"/>
      <c r="F6632" s="8"/>
    </row>
    <row r="6633" spans="4:6">
      <c r="D6633" s="8"/>
      <c r="E6633" s="8"/>
      <c r="F6633" s="8"/>
    </row>
    <row r="6634" spans="4:6">
      <c r="D6634" s="8"/>
      <c r="E6634" s="8"/>
      <c r="F6634" s="8"/>
    </row>
    <row r="6635" spans="4:6">
      <c r="D6635" s="8"/>
      <c r="E6635" s="8"/>
      <c r="F6635" s="8"/>
    </row>
    <row r="6636" spans="4:6">
      <c r="D6636" s="8"/>
      <c r="E6636" s="8"/>
      <c r="F6636" s="8"/>
    </row>
    <row r="6637" spans="4:6">
      <c r="D6637" s="8"/>
      <c r="E6637" s="8"/>
      <c r="F6637" s="8"/>
    </row>
    <row r="6638" spans="4:6">
      <c r="D6638" s="8"/>
      <c r="E6638" s="8"/>
      <c r="F6638" s="8"/>
    </row>
    <row r="6639" spans="4:6">
      <c r="D6639" s="8"/>
      <c r="E6639" s="8"/>
      <c r="F6639" s="8"/>
    </row>
    <row r="6640" spans="4:6">
      <c r="D6640" s="8"/>
      <c r="E6640" s="8"/>
      <c r="F6640" s="8"/>
    </row>
    <row r="6641" spans="4:6">
      <c r="D6641" s="8"/>
      <c r="E6641" s="8"/>
      <c r="F6641" s="8"/>
    </row>
    <row r="6642" spans="4:6">
      <c r="D6642" s="8"/>
      <c r="E6642" s="8"/>
      <c r="F6642" s="8"/>
    </row>
    <row r="6643" spans="4:6">
      <c r="D6643" s="8"/>
      <c r="E6643" s="8"/>
      <c r="F6643" s="8"/>
    </row>
    <row r="6644" spans="4:6">
      <c r="D6644" s="8"/>
      <c r="E6644" s="8"/>
      <c r="F6644" s="8"/>
    </row>
    <row r="6645" spans="4:6">
      <c r="D6645" s="8"/>
      <c r="E6645" s="8"/>
      <c r="F6645" s="8"/>
    </row>
    <row r="6646" spans="4:6">
      <c r="D6646" s="8"/>
      <c r="E6646" s="8"/>
      <c r="F6646" s="8"/>
    </row>
    <row r="6647" spans="4:6">
      <c r="D6647" s="8"/>
      <c r="E6647" s="8"/>
      <c r="F6647" s="8"/>
    </row>
    <row r="6648" spans="4:6">
      <c r="D6648" s="8"/>
      <c r="E6648" s="8"/>
      <c r="F6648" s="8"/>
    </row>
    <row r="6649" spans="4:6">
      <c r="D6649" s="8"/>
      <c r="E6649" s="8"/>
      <c r="F6649" s="8"/>
    </row>
    <row r="6650" spans="4:6">
      <c r="D6650" s="8"/>
      <c r="E6650" s="8"/>
      <c r="F6650" s="8"/>
    </row>
    <row r="6651" spans="4:6">
      <c r="D6651" s="8"/>
      <c r="E6651" s="8"/>
      <c r="F6651" s="8"/>
    </row>
    <row r="6652" spans="4:6">
      <c r="D6652" s="8"/>
      <c r="E6652" s="8"/>
      <c r="F6652" s="8"/>
    </row>
    <row r="6653" spans="4:6">
      <c r="D6653" s="8"/>
      <c r="E6653" s="8"/>
      <c r="F6653" s="8"/>
    </row>
    <row r="6654" spans="4:6">
      <c r="D6654" s="8"/>
      <c r="E6654" s="8"/>
      <c r="F6654" s="8"/>
    </row>
    <row r="6655" spans="4:6">
      <c r="D6655" s="8"/>
      <c r="E6655" s="8"/>
      <c r="F6655" s="8"/>
    </row>
    <row r="6656" spans="4:6">
      <c r="D6656" s="8"/>
      <c r="E6656" s="8"/>
      <c r="F6656" s="8"/>
    </row>
    <row r="6657" spans="4:6">
      <c r="D6657" s="8"/>
      <c r="E6657" s="8"/>
      <c r="F6657" s="8"/>
    </row>
    <row r="6658" spans="4:6">
      <c r="D6658" s="8"/>
      <c r="E6658" s="8"/>
      <c r="F6658" s="8"/>
    </row>
    <row r="6659" spans="4:6">
      <c r="D6659" s="8"/>
      <c r="E6659" s="8"/>
      <c r="F6659" s="8"/>
    </row>
    <row r="6660" spans="4:6">
      <c r="D6660" s="8"/>
      <c r="E6660" s="8"/>
      <c r="F6660" s="8"/>
    </row>
    <row r="6661" spans="4:6">
      <c r="D6661" s="8"/>
      <c r="E6661" s="8"/>
      <c r="F6661" s="8"/>
    </row>
    <row r="6662" spans="4:6">
      <c r="D6662" s="8"/>
      <c r="E6662" s="8"/>
      <c r="F6662" s="8"/>
    </row>
    <row r="6663" spans="4:6">
      <c r="D6663" s="8"/>
      <c r="E6663" s="8"/>
      <c r="F6663" s="8"/>
    </row>
    <row r="6664" spans="4:6">
      <c r="D6664" s="8"/>
      <c r="E6664" s="8"/>
      <c r="F6664" s="8"/>
    </row>
    <row r="6665" spans="4:6">
      <c r="D6665" s="8"/>
      <c r="E6665" s="8"/>
      <c r="F6665" s="8"/>
    </row>
    <row r="6666" spans="4:6">
      <c r="D6666" s="8"/>
      <c r="E6666" s="8"/>
      <c r="F6666" s="8"/>
    </row>
    <row r="6667" spans="4:6">
      <c r="D6667" s="8"/>
      <c r="E6667" s="8"/>
      <c r="F6667" s="8"/>
    </row>
    <row r="6668" spans="4:6">
      <c r="D6668" s="8"/>
      <c r="E6668" s="8"/>
      <c r="F6668" s="8"/>
    </row>
    <row r="6669" spans="4:6">
      <c r="D6669" s="8"/>
      <c r="E6669" s="8"/>
      <c r="F6669" s="8"/>
    </row>
    <row r="6670" spans="4:6">
      <c r="D6670" s="8"/>
      <c r="E6670" s="8"/>
      <c r="F6670" s="8"/>
    </row>
    <row r="6671" spans="4:6">
      <c r="D6671" s="8"/>
      <c r="E6671" s="8"/>
      <c r="F6671" s="8"/>
    </row>
    <row r="6672" spans="4:6">
      <c r="D6672" s="8"/>
      <c r="E6672" s="8"/>
      <c r="F6672" s="8"/>
    </row>
    <row r="6673" spans="4:6">
      <c r="D6673" s="8"/>
      <c r="E6673" s="8"/>
      <c r="F6673" s="8"/>
    </row>
    <row r="6674" spans="4:6">
      <c r="D6674" s="8"/>
      <c r="E6674" s="8"/>
      <c r="F6674" s="8"/>
    </row>
    <row r="6675" spans="4:6">
      <c r="D6675" s="8"/>
      <c r="E6675" s="8"/>
      <c r="F6675" s="8"/>
    </row>
    <row r="6676" spans="4:6">
      <c r="D6676" s="8"/>
      <c r="E6676" s="8"/>
      <c r="F6676" s="8"/>
    </row>
    <row r="6677" spans="4:6">
      <c r="D6677" s="8"/>
      <c r="E6677" s="8"/>
      <c r="F6677" s="8"/>
    </row>
    <row r="6678" spans="4:6">
      <c r="D6678" s="8"/>
      <c r="E6678" s="8"/>
      <c r="F6678" s="8"/>
    </row>
    <row r="6679" spans="4:6">
      <c r="D6679" s="8"/>
      <c r="E6679" s="8"/>
      <c r="F6679" s="8"/>
    </row>
    <row r="6680" spans="4:6">
      <c r="D6680" s="8"/>
      <c r="E6680" s="8"/>
      <c r="F6680" s="8"/>
    </row>
    <row r="6681" spans="4:6">
      <c r="D6681" s="8"/>
      <c r="E6681" s="8"/>
      <c r="F6681" s="8"/>
    </row>
    <row r="6682" spans="4:6">
      <c r="D6682" s="8"/>
      <c r="E6682" s="8"/>
      <c r="F6682" s="8"/>
    </row>
    <row r="6683" spans="4:6">
      <c r="D6683" s="8"/>
      <c r="E6683" s="8"/>
      <c r="F6683" s="8"/>
    </row>
    <row r="6684" spans="4:6">
      <c r="D6684" s="8"/>
      <c r="E6684" s="8"/>
      <c r="F6684" s="8"/>
    </row>
    <row r="6685" spans="4:6">
      <c r="D6685" s="8"/>
      <c r="E6685" s="8"/>
      <c r="F6685" s="8"/>
    </row>
    <row r="6686" spans="4:6">
      <c r="D6686" s="8"/>
      <c r="E6686" s="8"/>
      <c r="F6686" s="8"/>
    </row>
    <row r="6687" spans="4:6">
      <c r="D6687" s="8"/>
      <c r="E6687" s="8"/>
      <c r="F6687" s="8"/>
    </row>
    <row r="6688" spans="4:6">
      <c r="D6688" s="8"/>
      <c r="E6688" s="8"/>
      <c r="F6688" s="8"/>
    </row>
    <row r="6689" spans="4:6">
      <c r="D6689" s="8"/>
      <c r="E6689" s="8"/>
      <c r="F6689" s="8"/>
    </row>
    <row r="6690" spans="4:6">
      <c r="D6690" s="8"/>
      <c r="E6690" s="8"/>
      <c r="F6690" s="8"/>
    </row>
    <row r="6691" spans="4:6">
      <c r="D6691" s="8"/>
      <c r="E6691" s="8"/>
      <c r="F6691" s="8"/>
    </row>
    <row r="6692" spans="4:6">
      <c r="D6692" s="8"/>
      <c r="E6692" s="8"/>
      <c r="F6692" s="8"/>
    </row>
    <row r="6693" spans="4:6">
      <c r="D6693" s="8"/>
      <c r="E6693" s="8"/>
      <c r="F6693" s="8"/>
    </row>
    <row r="6694" spans="4:6">
      <c r="D6694" s="8"/>
      <c r="E6694" s="8"/>
      <c r="F6694" s="8"/>
    </row>
    <row r="6695" spans="4:6">
      <c r="D6695" s="8"/>
      <c r="E6695" s="8"/>
      <c r="F6695" s="8"/>
    </row>
    <row r="6696" spans="4:6">
      <c r="D6696" s="8"/>
      <c r="E6696" s="8"/>
      <c r="F6696" s="8"/>
    </row>
    <row r="6697" spans="4:6">
      <c r="D6697" s="8"/>
      <c r="E6697" s="8"/>
      <c r="F6697" s="8"/>
    </row>
    <row r="6698" spans="4:6">
      <c r="D6698" s="8"/>
      <c r="E6698" s="8"/>
      <c r="F6698" s="8"/>
    </row>
    <row r="6699" spans="4:6">
      <c r="D6699" s="8"/>
      <c r="E6699" s="8"/>
      <c r="F6699" s="8"/>
    </row>
    <row r="6700" spans="4:6">
      <c r="D6700" s="8"/>
      <c r="E6700" s="8"/>
      <c r="F6700" s="8"/>
    </row>
    <row r="6701" spans="4:6">
      <c r="D6701" s="8"/>
      <c r="E6701" s="8"/>
      <c r="F6701" s="8"/>
    </row>
    <row r="6702" spans="4:6">
      <c r="D6702" s="8"/>
      <c r="E6702" s="8"/>
      <c r="F6702" s="8"/>
    </row>
    <row r="6703" spans="4:6">
      <c r="D6703" s="8"/>
      <c r="E6703" s="8"/>
      <c r="F6703" s="8"/>
    </row>
    <row r="6704" spans="4:6">
      <c r="D6704" s="8"/>
      <c r="E6704" s="8"/>
      <c r="F6704" s="8"/>
    </row>
    <row r="6705" spans="4:6">
      <c r="D6705" s="8"/>
      <c r="E6705" s="8"/>
      <c r="F6705" s="8"/>
    </row>
    <row r="6706" spans="4:6">
      <c r="D6706" s="8"/>
      <c r="E6706" s="8"/>
      <c r="F6706" s="8"/>
    </row>
    <row r="6707" spans="4:6">
      <c r="D6707" s="8"/>
      <c r="E6707" s="8"/>
      <c r="F6707" s="8"/>
    </row>
    <row r="6708" spans="4:6">
      <c r="D6708" s="8"/>
      <c r="E6708" s="8"/>
      <c r="F6708" s="8"/>
    </row>
    <row r="6709" spans="4:6">
      <c r="D6709" s="8"/>
      <c r="E6709" s="8"/>
      <c r="F6709" s="8"/>
    </row>
    <row r="6710" spans="4:6">
      <c r="D6710" s="8"/>
      <c r="E6710" s="8"/>
      <c r="F6710" s="8"/>
    </row>
    <row r="6711" spans="4:6">
      <c r="D6711" s="8"/>
      <c r="E6711" s="8"/>
      <c r="F6711" s="8"/>
    </row>
    <row r="6712" spans="4:6">
      <c r="D6712" s="8"/>
      <c r="E6712" s="8"/>
      <c r="F6712" s="8"/>
    </row>
    <row r="6713" spans="4:6">
      <c r="D6713" s="8"/>
      <c r="E6713" s="8"/>
      <c r="F6713" s="8"/>
    </row>
    <row r="6714" spans="4:6">
      <c r="D6714" s="8"/>
      <c r="E6714" s="8"/>
      <c r="F6714" s="8"/>
    </row>
    <row r="6715" spans="4:6">
      <c r="D6715" s="8"/>
      <c r="E6715" s="8"/>
      <c r="F6715" s="8"/>
    </row>
    <row r="6716" spans="4:6">
      <c r="D6716" s="8"/>
      <c r="E6716" s="8"/>
      <c r="F6716" s="8"/>
    </row>
    <row r="6717" spans="4:6">
      <c r="D6717" s="8"/>
      <c r="E6717" s="8"/>
      <c r="F6717" s="8"/>
    </row>
    <row r="6718" spans="4:6">
      <c r="D6718" s="8"/>
      <c r="E6718" s="8"/>
      <c r="F6718" s="8"/>
    </row>
    <row r="6719" spans="4:6">
      <c r="D6719" s="8"/>
      <c r="E6719" s="8"/>
      <c r="F6719" s="8"/>
    </row>
    <row r="6720" spans="4:6">
      <c r="D6720" s="8"/>
      <c r="E6720" s="8"/>
      <c r="F6720" s="8"/>
    </row>
    <row r="6721" spans="4:6">
      <c r="D6721" s="8"/>
      <c r="E6721" s="8"/>
      <c r="F6721" s="8"/>
    </row>
    <row r="6722" spans="4:6">
      <c r="D6722" s="8"/>
      <c r="E6722" s="8"/>
      <c r="F6722" s="8"/>
    </row>
    <row r="6723" spans="4:6">
      <c r="D6723" s="8"/>
      <c r="E6723" s="8"/>
      <c r="F6723" s="8"/>
    </row>
    <row r="6724" spans="4:6">
      <c r="D6724" s="8"/>
      <c r="E6724" s="8"/>
      <c r="F6724" s="8"/>
    </row>
    <row r="6725" spans="4:6">
      <c r="D6725" s="8"/>
      <c r="E6725" s="8"/>
      <c r="F6725" s="8"/>
    </row>
    <row r="6726" spans="4:6">
      <c r="D6726" s="8"/>
      <c r="E6726" s="8"/>
      <c r="F6726" s="8"/>
    </row>
    <row r="6727" spans="4:6">
      <c r="D6727" s="8"/>
      <c r="E6727" s="8"/>
      <c r="F6727" s="8"/>
    </row>
    <row r="6728" spans="4:6">
      <c r="D6728" s="8"/>
      <c r="E6728" s="8"/>
      <c r="F6728" s="8"/>
    </row>
    <row r="6729" spans="4:6">
      <c r="D6729" s="8"/>
      <c r="E6729" s="8"/>
      <c r="F6729" s="8"/>
    </row>
    <row r="6730" spans="4:6">
      <c r="D6730" s="8"/>
      <c r="E6730" s="8"/>
      <c r="F6730" s="8"/>
    </row>
    <row r="6731" spans="4:6">
      <c r="D6731" s="8"/>
      <c r="E6731" s="8"/>
      <c r="F6731" s="8"/>
    </row>
    <row r="6732" spans="4:6">
      <c r="D6732" s="8"/>
      <c r="E6732" s="8"/>
      <c r="F6732" s="8"/>
    </row>
    <row r="6733" spans="4:6">
      <c r="D6733" s="8"/>
      <c r="E6733" s="8"/>
      <c r="F6733" s="8"/>
    </row>
    <row r="6734" spans="4:6">
      <c r="D6734" s="8"/>
      <c r="E6734" s="8"/>
      <c r="F6734" s="8"/>
    </row>
    <row r="6735" spans="4:6">
      <c r="D6735" s="8"/>
      <c r="E6735" s="8"/>
      <c r="F6735" s="8"/>
    </row>
    <row r="6736" spans="4:6">
      <c r="D6736" s="8"/>
      <c r="E6736" s="8"/>
      <c r="F6736" s="8"/>
    </row>
    <row r="6737" spans="4:6">
      <c r="D6737" s="8"/>
      <c r="E6737" s="8"/>
      <c r="F6737" s="8"/>
    </row>
    <row r="6738" spans="4:6">
      <c r="D6738" s="8"/>
      <c r="E6738" s="8"/>
      <c r="F6738" s="8"/>
    </row>
    <row r="6739" spans="4:6">
      <c r="D6739" s="8"/>
      <c r="E6739" s="8"/>
      <c r="F6739" s="8"/>
    </row>
    <row r="6740" spans="4:6">
      <c r="D6740" s="8"/>
      <c r="E6740" s="8"/>
      <c r="F6740" s="8"/>
    </row>
    <row r="6741" spans="4:6">
      <c r="D6741" s="8"/>
      <c r="E6741" s="8"/>
      <c r="F6741" s="8"/>
    </row>
    <row r="6742" spans="4:6">
      <c r="D6742" s="8"/>
      <c r="E6742" s="8"/>
      <c r="F6742" s="8"/>
    </row>
    <row r="6743" spans="4:6">
      <c r="D6743" s="8"/>
      <c r="E6743" s="8"/>
      <c r="F6743" s="8"/>
    </row>
    <row r="6744" spans="4:6">
      <c r="D6744" s="8"/>
      <c r="E6744" s="8"/>
      <c r="F6744" s="8"/>
    </row>
    <row r="6745" spans="4:6">
      <c r="D6745" s="8"/>
      <c r="E6745" s="8"/>
      <c r="F6745" s="8"/>
    </row>
    <row r="6746" spans="4:6">
      <c r="D6746" s="8"/>
      <c r="E6746" s="8"/>
      <c r="F6746" s="8"/>
    </row>
    <row r="6747" spans="4:6">
      <c r="D6747" s="8"/>
      <c r="E6747" s="8"/>
      <c r="F6747" s="8"/>
    </row>
    <row r="6748" spans="4:6">
      <c r="D6748" s="8"/>
      <c r="E6748" s="8"/>
      <c r="F6748" s="8"/>
    </row>
    <row r="6749" spans="4:6">
      <c r="D6749" s="8"/>
      <c r="E6749" s="8"/>
      <c r="F6749" s="8"/>
    </row>
    <row r="6750" spans="4:6">
      <c r="D6750" s="8"/>
      <c r="E6750" s="8"/>
      <c r="F6750" s="8"/>
    </row>
    <row r="6751" spans="4:6">
      <c r="D6751" s="8"/>
      <c r="E6751" s="8"/>
      <c r="F6751" s="8"/>
    </row>
    <row r="6752" spans="4:6">
      <c r="D6752" s="8"/>
      <c r="E6752" s="8"/>
      <c r="F6752" s="8"/>
    </row>
    <row r="6753" spans="4:6">
      <c r="D6753" s="8"/>
      <c r="E6753" s="8"/>
      <c r="F6753" s="8"/>
    </row>
    <row r="6754" spans="4:6">
      <c r="D6754" s="8"/>
      <c r="E6754" s="8"/>
      <c r="F6754" s="8"/>
    </row>
    <row r="6755" spans="4:6">
      <c r="D6755" s="8"/>
      <c r="E6755" s="8"/>
      <c r="F6755" s="8"/>
    </row>
    <row r="6756" spans="4:6">
      <c r="D6756" s="8"/>
      <c r="E6756" s="8"/>
      <c r="F6756" s="8"/>
    </row>
    <row r="6757" spans="4:6">
      <c r="D6757" s="8"/>
      <c r="E6757" s="8"/>
      <c r="F6757" s="8"/>
    </row>
    <row r="6758" spans="4:6">
      <c r="D6758" s="8"/>
      <c r="E6758" s="8"/>
      <c r="F6758" s="8"/>
    </row>
    <row r="6759" spans="4:6">
      <c r="D6759" s="8"/>
      <c r="E6759" s="8"/>
      <c r="F6759" s="8"/>
    </row>
    <row r="6760" spans="4:6">
      <c r="D6760" s="8"/>
      <c r="E6760" s="8"/>
      <c r="F6760" s="8"/>
    </row>
    <row r="6761" spans="4:6">
      <c r="D6761" s="8"/>
      <c r="E6761" s="8"/>
      <c r="F6761" s="8"/>
    </row>
    <row r="6762" spans="4:6">
      <c r="D6762" s="8"/>
      <c r="E6762" s="8"/>
      <c r="F6762" s="8"/>
    </row>
    <row r="6763" spans="4:6">
      <c r="D6763" s="8"/>
      <c r="E6763" s="8"/>
      <c r="F6763" s="8"/>
    </row>
    <row r="6764" spans="4:6">
      <c r="D6764" s="8"/>
      <c r="E6764" s="8"/>
      <c r="F6764" s="8"/>
    </row>
    <row r="6765" spans="4:6">
      <c r="D6765" s="8"/>
      <c r="E6765" s="8"/>
      <c r="F6765" s="8"/>
    </row>
    <row r="6766" spans="4:6">
      <c r="D6766" s="8"/>
      <c r="E6766" s="8"/>
      <c r="F6766" s="8"/>
    </row>
    <row r="6767" spans="4:6">
      <c r="D6767" s="8"/>
      <c r="E6767" s="8"/>
      <c r="F6767" s="8"/>
    </row>
    <row r="6768" spans="4:6">
      <c r="D6768" s="8"/>
      <c r="E6768" s="8"/>
      <c r="F6768" s="8"/>
    </row>
    <row r="6769" spans="4:6">
      <c r="D6769" s="8"/>
      <c r="E6769" s="8"/>
      <c r="F6769" s="8"/>
    </row>
    <row r="6770" spans="4:6">
      <c r="D6770" s="8"/>
      <c r="E6770" s="8"/>
      <c r="F6770" s="8"/>
    </row>
    <row r="6771" spans="4:6">
      <c r="D6771" s="8"/>
      <c r="E6771" s="8"/>
      <c r="F6771" s="8"/>
    </row>
    <row r="6772" spans="4:6">
      <c r="D6772" s="8"/>
      <c r="E6772" s="8"/>
      <c r="F6772" s="8"/>
    </row>
    <row r="6773" spans="4:6">
      <c r="D6773" s="8"/>
      <c r="E6773" s="8"/>
      <c r="F6773" s="8"/>
    </row>
    <row r="6774" spans="4:6">
      <c r="D6774" s="8"/>
      <c r="E6774" s="8"/>
      <c r="F6774" s="8"/>
    </row>
    <row r="6775" spans="4:6">
      <c r="D6775" s="8"/>
      <c r="E6775" s="8"/>
      <c r="F6775" s="8"/>
    </row>
    <row r="6776" spans="4:6">
      <c r="D6776" s="8"/>
      <c r="E6776" s="8"/>
      <c r="F6776" s="8"/>
    </row>
    <row r="6777" spans="4:6">
      <c r="D6777" s="8"/>
      <c r="E6777" s="8"/>
      <c r="F6777" s="8"/>
    </row>
    <row r="6778" spans="4:6">
      <c r="D6778" s="8"/>
      <c r="E6778" s="8"/>
      <c r="F6778" s="8"/>
    </row>
    <row r="6779" spans="4:6">
      <c r="D6779" s="8"/>
      <c r="E6779" s="8"/>
      <c r="F6779" s="8"/>
    </row>
    <row r="6780" spans="4:6">
      <c r="D6780" s="8"/>
      <c r="E6780" s="8"/>
      <c r="F6780" s="8"/>
    </row>
    <row r="6781" spans="4:6">
      <c r="D6781" s="8"/>
      <c r="E6781" s="8"/>
      <c r="F6781" s="8"/>
    </row>
    <row r="6782" spans="4:6">
      <c r="D6782" s="8"/>
      <c r="E6782" s="8"/>
      <c r="F6782" s="8"/>
    </row>
    <row r="6783" spans="4:6">
      <c r="D6783" s="8"/>
      <c r="E6783" s="8"/>
      <c r="F6783" s="8"/>
    </row>
    <row r="6784" spans="4:6">
      <c r="D6784" s="8"/>
      <c r="E6784" s="8"/>
      <c r="F6784" s="8"/>
    </row>
    <row r="6785" spans="4:6">
      <c r="D6785" s="8"/>
      <c r="E6785" s="8"/>
      <c r="F6785" s="8"/>
    </row>
    <row r="6786" spans="4:6">
      <c r="D6786" s="8"/>
      <c r="E6786" s="8"/>
      <c r="F6786" s="8"/>
    </row>
    <row r="6787" spans="4:6">
      <c r="D6787" s="8"/>
      <c r="E6787" s="8"/>
      <c r="F6787" s="8"/>
    </row>
    <row r="6788" spans="4:6">
      <c r="D6788" s="8"/>
      <c r="E6788" s="8"/>
      <c r="F6788" s="8"/>
    </row>
    <row r="6789" spans="4:6">
      <c r="D6789" s="8"/>
      <c r="E6789" s="8"/>
      <c r="F6789" s="8"/>
    </row>
    <row r="6790" spans="4:6">
      <c r="D6790" s="8"/>
      <c r="E6790" s="8"/>
      <c r="F6790" s="8"/>
    </row>
    <row r="6791" spans="4:6">
      <c r="D6791" s="8"/>
      <c r="E6791" s="8"/>
      <c r="F6791" s="8"/>
    </row>
    <row r="6792" spans="4:6">
      <c r="D6792" s="8"/>
      <c r="E6792" s="8"/>
      <c r="F6792" s="8"/>
    </row>
    <row r="6793" spans="4:6">
      <c r="D6793" s="8"/>
      <c r="E6793" s="8"/>
      <c r="F6793" s="8"/>
    </row>
    <row r="6794" spans="4:6">
      <c r="D6794" s="8"/>
      <c r="E6794" s="8"/>
      <c r="F6794" s="8"/>
    </row>
    <row r="6795" spans="4:6">
      <c r="D6795" s="8"/>
      <c r="E6795" s="8"/>
      <c r="F6795" s="8"/>
    </row>
    <row r="6796" spans="4:6">
      <c r="D6796" s="8"/>
      <c r="E6796" s="8"/>
      <c r="F6796" s="8"/>
    </row>
    <row r="6797" spans="4:6">
      <c r="D6797" s="8"/>
      <c r="E6797" s="8"/>
      <c r="F6797" s="8"/>
    </row>
    <row r="6798" spans="4:6">
      <c r="D6798" s="8"/>
      <c r="E6798" s="8"/>
      <c r="F6798" s="8"/>
    </row>
    <row r="6799" spans="4:6">
      <c r="D6799" s="8"/>
      <c r="E6799" s="8"/>
      <c r="F6799" s="8"/>
    </row>
    <row r="6800" spans="4:6">
      <c r="D6800" s="8"/>
      <c r="E6800" s="8"/>
      <c r="F6800" s="8"/>
    </row>
    <row r="6801" spans="4:6">
      <c r="D6801" s="8"/>
      <c r="E6801" s="8"/>
      <c r="F6801" s="8"/>
    </row>
    <row r="6802" spans="4:6">
      <c r="D6802" s="8"/>
      <c r="E6802" s="8"/>
      <c r="F6802" s="8"/>
    </row>
    <row r="6803" spans="4:6">
      <c r="D6803" s="8"/>
      <c r="E6803" s="8"/>
      <c r="F6803" s="8"/>
    </row>
    <row r="6804" spans="4:6">
      <c r="D6804" s="8"/>
      <c r="E6804" s="8"/>
      <c r="F6804" s="8"/>
    </row>
    <row r="6805" spans="4:6">
      <c r="D6805" s="8"/>
      <c r="E6805" s="8"/>
      <c r="F6805" s="8"/>
    </row>
    <row r="6806" spans="4:6">
      <c r="D6806" s="8"/>
      <c r="E6806" s="8"/>
      <c r="F6806" s="8"/>
    </row>
    <row r="6807" spans="4:6">
      <c r="D6807" s="8"/>
      <c r="E6807" s="8"/>
      <c r="F6807" s="8"/>
    </row>
    <row r="6808" spans="4:6">
      <c r="D6808" s="8"/>
      <c r="E6808" s="8"/>
      <c r="F6808" s="8"/>
    </row>
    <row r="6809" spans="4:6">
      <c r="D6809" s="8"/>
      <c r="E6809" s="8"/>
      <c r="F6809" s="8"/>
    </row>
    <row r="6810" spans="4:6">
      <c r="D6810" s="8"/>
      <c r="E6810" s="8"/>
      <c r="F6810" s="8"/>
    </row>
    <row r="6811" spans="4:6">
      <c r="D6811" s="8"/>
      <c r="E6811" s="8"/>
      <c r="F6811" s="8"/>
    </row>
    <row r="6812" spans="4:6">
      <c r="D6812" s="8"/>
      <c r="E6812" s="8"/>
      <c r="F6812" s="8"/>
    </row>
    <row r="6813" spans="4:6">
      <c r="D6813" s="8"/>
      <c r="E6813" s="8"/>
      <c r="F6813" s="8"/>
    </row>
    <row r="6814" spans="4:6">
      <c r="D6814" s="8"/>
      <c r="E6814" s="8"/>
      <c r="F6814" s="8"/>
    </row>
    <row r="6815" spans="4:6">
      <c r="D6815" s="8"/>
      <c r="E6815" s="8"/>
      <c r="F6815" s="8"/>
    </row>
    <row r="6816" spans="4:6">
      <c r="D6816" s="8"/>
      <c r="E6816" s="8"/>
      <c r="F6816" s="8"/>
    </row>
    <row r="6817" spans="4:6">
      <c r="D6817" s="8"/>
      <c r="E6817" s="8"/>
      <c r="F6817" s="8"/>
    </row>
    <row r="6818" spans="4:6">
      <c r="D6818" s="8"/>
      <c r="E6818" s="8"/>
      <c r="F6818" s="8"/>
    </row>
    <row r="6819" spans="4:6">
      <c r="D6819" s="8"/>
      <c r="E6819" s="8"/>
      <c r="F6819" s="8"/>
    </row>
    <row r="6820" spans="4:6">
      <c r="D6820" s="8"/>
      <c r="E6820" s="8"/>
      <c r="F6820" s="8"/>
    </row>
    <row r="6821" spans="4:6">
      <c r="D6821" s="8"/>
      <c r="E6821" s="8"/>
      <c r="F6821" s="8"/>
    </row>
    <row r="6822" spans="4:6">
      <c r="D6822" s="8"/>
      <c r="E6822" s="8"/>
      <c r="F6822" s="8"/>
    </row>
    <row r="6823" spans="4:6">
      <c r="D6823" s="8"/>
      <c r="E6823" s="8"/>
      <c r="F6823" s="8"/>
    </row>
    <row r="6824" spans="4:6">
      <c r="D6824" s="8"/>
      <c r="E6824" s="8"/>
      <c r="F6824" s="8"/>
    </row>
    <row r="6825" spans="4:6">
      <c r="D6825" s="8"/>
      <c r="E6825" s="8"/>
      <c r="F6825" s="8"/>
    </row>
    <row r="6826" spans="4:6">
      <c r="D6826" s="8"/>
      <c r="E6826" s="8"/>
      <c r="F6826" s="8"/>
    </row>
    <row r="6827" spans="4:6">
      <c r="D6827" s="8"/>
      <c r="E6827" s="8"/>
      <c r="F6827" s="8"/>
    </row>
    <row r="6828" spans="4:6">
      <c r="D6828" s="8"/>
      <c r="E6828" s="8"/>
      <c r="F6828" s="8"/>
    </row>
    <row r="6829" spans="4:6">
      <c r="D6829" s="8"/>
      <c r="E6829" s="8"/>
      <c r="F6829" s="8"/>
    </row>
    <row r="6830" spans="4:6">
      <c r="D6830" s="8"/>
      <c r="E6830" s="8"/>
      <c r="F6830" s="8"/>
    </row>
    <row r="6831" spans="4:6">
      <c r="D6831" s="8"/>
      <c r="E6831" s="8"/>
      <c r="F6831" s="8"/>
    </row>
    <row r="6832" spans="4:6">
      <c r="D6832" s="8"/>
      <c r="E6832" s="8"/>
      <c r="F6832" s="8"/>
    </row>
    <row r="6833" spans="4:6">
      <c r="D6833" s="8"/>
      <c r="E6833" s="8"/>
      <c r="F6833" s="8"/>
    </row>
    <row r="6834" spans="4:6">
      <c r="D6834" s="8"/>
      <c r="E6834" s="8"/>
      <c r="F6834" s="8"/>
    </row>
    <row r="6835" spans="4:6">
      <c r="D6835" s="8"/>
      <c r="E6835" s="8"/>
      <c r="F6835" s="8"/>
    </row>
    <row r="6836" spans="4:6">
      <c r="D6836" s="8"/>
      <c r="E6836" s="8"/>
      <c r="F6836" s="8"/>
    </row>
    <row r="6837" spans="4:6">
      <c r="D6837" s="8"/>
      <c r="E6837" s="8"/>
      <c r="F6837" s="8"/>
    </row>
    <row r="6838" spans="4:6">
      <c r="D6838" s="8"/>
      <c r="E6838" s="8"/>
      <c r="F6838" s="8"/>
    </row>
    <row r="6839" spans="4:6">
      <c r="D6839" s="8"/>
      <c r="E6839" s="8"/>
      <c r="F6839" s="8"/>
    </row>
    <row r="6840" spans="4:6">
      <c r="D6840" s="8"/>
      <c r="E6840" s="8"/>
      <c r="F6840" s="8"/>
    </row>
    <row r="6841" spans="4:6">
      <c r="D6841" s="8"/>
      <c r="E6841" s="8"/>
      <c r="F6841" s="8"/>
    </row>
    <row r="6842" spans="4:6">
      <c r="D6842" s="8"/>
      <c r="E6842" s="8"/>
      <c r="F6842" s="8"/>
    </row>
    <row r="6843" spans="4:6">
      <c r="D6843" s="8"/>
      <c r="E6843" s="8"/>
      <c r="F6843" s="8"/>
    </row>
    <row r="6844" spans="4:6">
      <c r="D6844" s="8"/>
      <c r="E6844" s="8"/>
      <c r="F6844" s="8"/>
    </row>
    <row r="6845" spans="4:6">
      <c r="D6845" s="8"/>
      <c r="E6845" s="8"/>
      <c r="F6845" s="8"/>
    </row>
    <row r="6846" spans="4:6">
      <c r="D6846" s="8"/>
      <c r="E6846" s="8"/>
      <c r="F6846" s="8"/>
    </row>
    <row r="6847" spans="4:6">
      <c r="D6847" s="8"/>
      <c r="E6847" s="8"/>
      <c r="F6847" s="8"/>
    </row>
    <row r="6848" spans="4:6">
      <c r="D6848" s="8"/>
      <c r="E6848" s="8"/>
      <c r="F6848" s="8"/>
    </row>
    <row r="6849" spans="4:6">
      <c r="D6849" s="8"/>
      <c r="E6849" s="8"/>
      <c r="F6849" s="8"/>
    </row>
    <row r="6850" spans="4:6">
      <c r="D6850" s="8"/>
      <c r="E6850" s="8"/>
      <c r="F6850" s="8"/>
    </row>
    <row r="6851" spans="4:6">
      <c r="D6851" s="8"/>
      <c r="E6851" s="8"/>
      <c r="F6851" s="8"/>
    </row>
    <row r="6852" spans="4:6">
      <c r="D6852" s="8"/>
      <c r="E6852" s="8"/>
      <c r="F6852" s="8"/>
    </row>
    <row r="6853" spans="4:6">
      <c r="D6853" s="8"/>
      <c r="E6853" s="8"/>
      <c r="F6853" s="8"/>
    </row>
    <row r="6854" spans="4:6">
      <c r="D6854" s="8"/>
      <c r="E6854" s="8"/>
      <c r="F6854" s="8"/>
    </row>
    <row r="6855" spans="4:6">
      <c r="D6855" s="8"/>
      <c r="E6855" s="8"/>
      <c r="F6855" s="8"/>
    </row>
    <row r="6856" spans="4:6">
      <c r="D6856" s="8"/>
      <c r="E6856" s="8"/>
      <c r="F6856" s="8"/>
    </row>
    <row r="6857" spans="4:6">
      <c r="D6857" s="8"/>
      <c r="E6857" s="8"/>
      <c r="F6857" s="8"/>
    </row>
    <row r="6858" spans="4:6">
      <c r="D6858" s="8"/>
      <c r="E6858" s="8"/>
      <c r="F6858" s="8"/>
    </row>
    <row r="6859" spans="4:6">
      <c r="D6859" s="8"/>
      <c r="E6859" s="8"/>
      <c r="F6859" s="8"/>
    </row>
    <row r="6860" spans="4:6">
      <c r="D6860" s="8"/>
      <c r="E6860" s="8"/>
      <c r="F6860" s="8"/>
    </row>
    <row r="6861" spans="4:6">
      <c r="D6861" s="8"/>
      <c r="E6861" s="8"/>
      <c r="F6861" s="8"/>
    </row>
    <row r="6862" spans="4:6">
      <c r="D6862" s="8"/>
      <c r="E6862" s="8"/>
      <c r="F6862" s="8"/>
    </row>
    <row r="6863" spans="4:6">
      <c r="D6863" s="8"/>
      <c r="E6863" s="8"/>
      <c r="F6863" s="8"/>
    </row>
    <row r="6864" spans="4:6">
      <c r="D6864" s="8"/>
      <c r="E6864" s="8"/>
      <c r="F6864" s="8"/>
    </row>
    <row r="6865" spans="4:6">
      <c r="D6865" s="8"/>
      <c r="E6865" s="8"/>
      <c r="F6865" s="8"/>
    </row>
    <row r="6866" spans="4:6">
      <c r="D6866" s="8"/>
      <c r="E6866" s="8"/>
      <c r="F6866" s="8"/>
    </row>
    <row r="6867" spans="4:6">
      <c r="D6867" s="8"/>
      <c r="E6867" s="8"/>
      <c r="F6867" s="8"/>
    </row>
    <row r="6868" spans="4:6">
      <c r="D6868" s="8"/>
      <c r="E6868" s="8"/>
      <c r="F6868" s="8"/>
    </row>
    <row r="6869" spans="4:6">
      <c r="D6869" s="8"/>
      <c r="E6869" s="8"/>
      <c r="F6869" s="8"/>
    </row>
    <row r="6870" spans="4:6">
      <c r="D6870" s="8"/>
      <c r="E6870" s="8"/>
      <c r="F6870" s="8"/>
    </row>
    <row r="6871" spans="4:6">
      <c r="D6871" s="8"/>
      <c r="E6871" s="8"/>
      <c r="F6871" s="8"/>
    </row>
    <row r="6872" spans="4:6">
      <c r="D6872" s="8"/>
      <c r="E6872" s="8"/>
      <c r="F6872" s="8"/>
    </row>
    <row r="6873" spans="4:6">
      <c r="D6873" s="8"/>
      <c r="E6873" s="8"/>
      <c r="F6873" s="8"/>
    </row>
    <row r="6874" spans="4:6">
      <c r="D6874" s="8"/>
      <c r="E6874" s="8"/>
      <c r="F6874" s="8"/>
    </row>
    <row r="6875" spans="4:6">
      <c r="D6875" s="8"/>
      <c r="E6875" s="8"/>
      <c r="F6875" s="8"/>
    </row>
    <row r="6876" spans="4:6">
      <c r="D6876" s="8"/>
      <c r="E6876" s="8"/>
      <c r="F6876" s="8"/>
    </row>
    <row r="6877" spans="4:6">
      <c r="D6877" s="8"/>
      <c r="E6877" s="8"/>
      <c r="F6877" s="8"/>
    </row>
    <row r="6878" spans="4:6">
      <c r="D6878" s="8"/>
      <c r="E6878" s="8"/>
      <c r="F6878" s="8"/>
    </row>
    <row r="6879" spans="4:6">
      <c r="D6879" s="8"/>
      <c r="E6879" s="8"/>
      <c r="F6879" s="8"/>
    </row>
    <row r="6880" spans="4:6">
      <c r="D6880" s="8"/>
      <c r="E6880" s="8"/>
      <c r="F6880" s="8"/>
    </row>
    <row r="6881" spans="4:6">
      <c r="D6881" s="8"/>
      <c r="E6881" s="8"/>
      <c r="F6881" s="8"/>
    </row>
    <row r="6882" spans="4:6">
      <c r="D6882" s="8"/>
      <c r="E6882" s="8"/>
      <c r="F6882" s="8"/>
    </row>
    <row r="6883" spans="4:6">
      <c r="D6883" s="8"/>
      <c r="E6883" s="8"/>
      <c r="F6883" s="8"/>
    </row>
    <row r="6884" spans="4:6">
      <c r="D6884" s="8"/>
      <c r="E6884" s="8"/>
      <c r="F6884" s="8"/>
    </row>
    <row r="6885" spans="4:6">
      <c r="D6885" s="8"/>
      <c r="E6885" s="8"/>
      <c r="F6885" s="8"/>
    </row>
    <row r="6886" spans="4:6">
      <c r="D6886" s="8"/>
      <c r="E6886" s="8"/>
      <c r="F6886" s="8"/>
    </row>
    <row r="6887" spans="4:6">
      <c r="D6887" s="8"/>
      <c r="E6887" s="8"/>
      <c r="F6887" s="8"/>
    </row>
    <row r="6888" spans="4:6">
      <c r="D6888" s="8"/>
      <c r="E6888" s="8"/>
      <c r="F6888" s="8"/>
    </row>
    <row r="6889" spans="4:6">
      <c r="D6889" s="8"/>
      <c r="E6889" s="8"/>
      <c r="F6889" s="8"/>
    </row>
    <row r="6890" spans="4:6">
      <c r="D6890" s="8"/>
      <c r="E6890" s="8"/>
      <c r="F6890" s="8"/>
    </row>
    <row r="6891" spans="4:6">
      <c r="D6891" s="8"/>
      <c r="E6891" s="8"/>
      <c r="F6891" s="8"/>
    </row>
    <row r="6892" spans="4:6">
      <c r="D6892" s="8"/>
      <c r="E6892" s="8"/>
      <c r="F6892" s="8"/>
    </row>
    <row r="6893" spans="4:6">
      <c r="D6893" s="8"/>
      <c r="E6893" s="8"/>
      <c r="F6893" s="8"/>
    </row>
    <row r="6894" spans="4:6">
      <c r="D6894" s="8"/>
      <c r="E6894" s="8"/>
      <c r="F6894" s="8"/>
    </row>
    <row r="6895" spans="4:6">
      <c r="D6895" s="8"/>
      <c r="E6895" s="8"/>
      <c r="F6895" s="8"/>
    </row>
    <row r="6896" spans="4:6">
      <c r="D6896" s="8"/>
      <c r="E6896" s="8"/>
      <c r="F6896" s="8"/>
    </row>
    <row r="6897" spans="4:6">
      <c r="D6897" s="8"/>
      <c r="E6897" s="8"/>
      <c r="F6897" s="8"/>
    </row>
    <row r="6898" spans="4:6">
      <c r="D6898" s="8"/>
      <c r="E6898" s="8"/>
      <c r="F6898" s="8"/>
    </row>
    <row r="6899" spans="4:6">
      <c r="D6899" s="8"/>
      <c r="E6899" s="8"/>
      <c r="F6899" s="8"/>
    </row>
    <row r="6900" spans="4:6">
      <c r="D6900" s="8"/>
      <c r="E6900" s="8"/>
      <c r="F6900" s="8"/>
    </row>
    <row r="6901" spans="4:6">
      <c r="D6901" s="8"/>
      <c r="E6901" s="8"/>
      <c r="F6901" s="8"/>
    </row>
    <row r="6902" spans="4:6">
      <c r="D6902" s="8"/>
      <c r="E6902" s="8"/>
      <c r="F6902" s="8"/>
    </row>
    <row r="6903" spans="4:6">
      <c r="D6903" s="8"/>
      <c r="E6903" s="8"/>
      <c r="F6903" s="8"/>
    </row>
    <row r="6904" spans="4:6">
      <c r="D6904" s="8"/>
      <c r="E6904" s="8"/>
      <c r="F6904" s="8"/>
    </row>
    <row r="6905" spans="4:6">
      <c r="D6905" s="8"/>
      <c r="E6905" s="8"/>
      <c r="F6905" s="8"/>
    </row>
    <row r="6906" spans="4:6">
      <c r="D6906" s="8"/>
      <c r="E6906" s="8"/>
      <c r="F6906" s="8"/>
    </row>
    <row r="6907" spans="4:6">
      <c r="D6907" s="8"/>
      <c r="E6907" s="8"/>
      <c r="F6907" s="8"/>
    </row>
    <row r="6908" spans="4:6">
      <c r="D6908" s="8"/>
      <c r="E6908" s="8"/>
      <c r="F6908" s="8"/>
    </row>
    <row r="6909" spans="4:6">
      <c r="D6909" s="8"/>
      <c r="E6909" s="8"/>
      <c r="F6909" s="8"/>
    </row>
    <row r="6910" spans="4:6">
      <c r="D6910" s="8"/>
      <c r="E6910" s="8"/>
      <c r="F6910" s="8"/>
    </row>
    <row r="6911" spans="4:6">
      <c r="D6911" s="8"/>
      <c r="E6911" s="8"/>
      <c r="F6911" s="8"/>
    </row>
    <row r="6912" spans="4:6">
      <c r="D6912" s="8"/>
      <c r="E6912" s="8"/>
      <c r="F6912" s="8"/>
    </row>
    <row r="6913" spans="4:6">
      <c r="D6913" s="8"/>
      <c r="E6913" s="8"/>
      <c r="F6913" s="8"/>
    </row>
    <row r="6914" spans="4:6">
      <c r="D6914" s="8"/>
      <c r="E6914" s="8"/>
      <c r="F6914" s="8"/>
    </row>
    <row r="6915" spans="4:6">
      <c r="D6915" s="8"/>
      <c r="E6915" s="8"/>
      <c r="F6915" s="8"/>
    </row>
    <row r="6916" spans="4:6">
      <c r="D6916" s="8"/>
      <c r="E6916" s="8"/>
      <c r="F6916" s="8"/>
    </row>
    <row r="6917" spans="4:6">
      <c r="D6917" s="8"/>
      <c r="E6917" s="8"/>
      <c r="F6917" s="8"/>
    </row>
    <row r="6918" spans="4:6">
      <c r="D6918" s="8"/>
      <c r="E6918" s="8"/>
      <c r="F6918" s="8"/>
    </row>
    <row r="6919" spans="4:6">
      <c r="D6919" s="8"/>
      <c r="E6919" s="8"/>
      <c r="F6919" s="8"/>
    </row>
    <row r="6920" spans="4:6">
      <c r="D6920" s="8"/>
      <c r="E6920" s="8"/>
      <c r="F6920" s="8"/>
    </row>
    <row r="6921" spans="4:6">
      <c r="D6921" s="8"/>
      <c r="E6921" s="8"/>
      <c r="F6921" s="8"/>
    </row>
    <row r="6922" spans="4:6">
      <c r="D6922" s="8"/>
      <c r="E6922" s="8"/>
      <c r="F6922" s="8"/>
    </row>
    <row r="6923" spans="4:6">
      <c r="D6923" s="8"/>
      <c r="E6923" s="8"/>
      <c r="F6923" s="8"/>
    </row>
    <row r="6924" spans="4:6">
      <c r="D6924" s="8"/>
      <c r="E6924" s="8"/>
      <c r="F6924" s="8"/>
    </row>
    <row r="6925" spans="4:6">
      <c r="D6925" s="8"/>
      <c r="E6925" s="8"/>
      <c r="F6925" s="8"/>
    </row>
    <row r="6926" spans="4:6">
      <c r="D6926" s="8"/>
      <c r="E6926" s="8"/>
      <c r="F6926" s="8"/>
    </row>
    <row r="6927" spans="4:6">
      <c r="D6927" s="8"/>
      <c r="E6927" s="8"/>
      <c r="F6927" s="8"/>
    </row>
    <row r="6928" spans="4:6">
      <c r="D6928" s="8"/>
      <c r="E6928" s="8"/>
      <c r="F6928" s="8"/>
    </row>
    <row r="6929" spans="4:6">
      <c r="D6929" s="8"/>
      <c r="E6929" s="8"/>
      <c r="F6929" s="8"/>
    </row>
    <row r="6930" spans="4:6">
      <c r="D6930" s="8"/>
      <c r="E6930" s="8"/>
      <c r="F6930" s="8"/>
    </row>
    <row r="6931" spans="4:6">
      <c r="D6931" s="8"/>
      <c r="E6931" s="8"/>
      <c r="F6931" s="8"/>
    </row>
    <row r="6932" spans="4:6">
      <c r="D6932" s="8"/>
      <c r="E6932" s="8"/>
      <c r="F6932" s="8"/>
    </row>
    <row r="6933" spans="4:6">
      <c r="D6933" s="8"/>
      <c r="E6933" s="8"/>
      <c r="F6933" s="8"/>
    </row>
    <row r="6934" spans="4:6">
      <c r="D6934" s="8"/>
      <c r="E6934" s="8"/>
      <c r="F6934" s="8"/>
    </row>
    <row r="6935" spans="4:6">
      <c r="D6935" s="8"/>
      <c r="E6935" s="8"/>
      <c r="F6935" s="8"/>
    </row>
    <row r="6936" spans="4:6">
      <c r="D6936" s="8"/>
      <c r="E6936" s="8"/>
      <c r="F6936" s="8"/>
    </row>
    <row r="6937" spans="4:6">
      <c r="D6937" s="8"/>
      <c r="E6937" s="8"/>
      <c r="F6937" s="8"/>
    </row>
    <row r="6938" spans="4:6">
      <c r="D6938" s="8"/>
      <c r="E6938" s="8"/>
      <c r="F6938" s="8"/>
    </row>
    <row r="6939" spans="4:6">
      <c r="D6939" s="8"/>
      <c r="E6939" s="8"/>
      <c r="F6939" s="8"/>
    </row>
    <row r="6940" spans="4:6">
      <c r="D6940" s="8"/>
      <c r="E6940" s="8"/>
      <c r="F6940" s="8"/>
    </row>
    <row r="6941" spans="4:6">
      <c r="D6941" s="8"/>
      <c r="E6941" s="8"/>
      <c r="F6941" s="8"/>
    </row>
    <row r="6942" spans="4:6">
      <c r="D6942" s="8"/>
      <c r="E6942" s="8"/>
      <c r="F6942" s="8"/>
    </row>
    <row r="6943" spans="4:6">
      <c r="D6943" s="8"/>
      <c r="E6943" s="8"/>
      <c r="F6943" s="8"/>
    </row>
    <row r="6944" spans="4:6">
      <c r="D6944" s="8"/>
      <c r="E6944" s="8"/>
      <c r="F6944" s="8"/>
    </row>
    <row r="6945" spans="4:6">
      <c r="D6945" s="8"/>
      <c r="E6945" s="8"/>
      <c r="F6945" s="8"/>
    </row>
    <row r="6946" spans="4:6">
      <c r="D6946" s="8"/>
      <c r="E6946" s="8"/>
      <c r="F6946" s="8"/>
    </row>
    <row r="6947" spans="4:6">
      <c r="D6947" s="8"/>
      <c r="E6947" s="8"/>
      <c r="F6947" s="8"/>
    </row>
    <row r="6948" spans="4:6">
      <c r="D6948" s="8"/>
      <c r="E6948" s="8"/>
      <c r="F6948" s="8"/>
    </row>
    <row r="6949" spans="4:6">
      <c r="D6949" s="8"/>
      <c r="E6949" s="8"/>
      <c r="F6949" s="8"/>
    </row>
    <row r="6950" spans="4:6">
      <c r="D6950" s="8"/>
      <c r="E6950" s="8"/>
      <c r="F6950" s="8"/>
    </row>
    <row r="6951" spans="4:6">
      <c r="D6951" s="8"/>
      <c r="E6951" s="8"/>
      <c r="F6951" s="8"/>
    </row>
    <row r="6952" spans="4:6">
      <c r="D6952" s="8"/>
      <c r="E6952" s="8"/>
      <c r="F6952" s="8"/>
    </row>
    <row r="6953" spans="4:6">
      <c r="D6953" s="8"/>
      <c r="E6953" s="8"/>
      <c r="F6953" s="8"/>
    </row>
    <row r="6954" spans="4:6">
      <c r="D6954" s="8"/>
      <c r="E6954" s="8"/>
      <c r="F6954" s="8"/>
    </row>
    <row r="6955" spans="4:6">
      <c r="D6955" s="8"/>
      <c r="E6955" s="8"/>
      <c r="F6955" s="8"/>
    </row>
    <row r="6956" spans="4:6">
      <c r="D6956" s="8"/>
      <c r="E6956" s="8"/>
      <c r="F6956" s="8"/>
    </row>
    <row r="6957" spans="4:6">
      <c r="D6957" s="8"/>
      <c r="E6957" s="8"/>
      <c r="F6957" s="8"/>
    </row>
    <row r="6958" spans="4:6">
      <c r="D6958" s="8"/>
      <c r="E6958" s="8"/>
      <c r="F6958" s="8"/>
    </row>
    <row r="6959" spans="4:6">
      <c r="D6959" s="8"/>
      <c r="E6959" s="8"/>
      <c r="F6959" s="8"/>
    </row>
    <row r="6960" spans="4:6">
      <c r="D6960" s="8"/>
      <c r="E6960" s="8"/>
      <c r="F6960" s="8"/>
    </row>
    <row r="6961" spans="4:6">
      <c r="D6961" s="8"/>
      <c r="E6961" s="8"/>
      <c r="F6961" s="8"/>
    </row>
    <row r="6962" spans="4:6">
      <c r="D6962" s="8"/>
      <c r="E6962" s="8"/>
      <c r="F6962" s="8"/>
    </row>
    <row r="6963" spans="4:6">
      <c r="D6963" s="8"/>
      <c r="E6963" s="8"/>
      <c r="F6963" s="8"/>
    </row>
    <row r="6964" spans="4:6">
      <c r="D6964" s="8"/>
      <c r="E6964" s="8"/>
      <c r="F6964" s="8"/>
    </row>
    <row r="6965" spans="4:6">
      <c r="D6965" s="8"/>
      <c r="E6965" s="8"/>
      <c r="F6965" s="8"/>
    </row>
    <row r="6966" spans="4:6">
      <c r="D6966" s="8"/>
      <c r="E6966" s="8"/>
      <c r="F6966" s="8"/>
    </row>
    <row r="6967" spans="4:6">
      <c r="D6967" s="8"/>
      <c r="E6967" s="8"/>
      <c r="F6967" s="8"/>
    </row>
    <row r="6968" spans="4:6">
      <c r="D6968" s="8"/>
      <c r="E6968" s="8"/>
      <c r="F6968" s="8"/>
    </row>
    <row r="6969" spans="4:6">
      <c r="D6969" s="8"/>
      <c r="E6969" s="8"/>
      <c r="F6969" s="8"/>
    </row>
    <row r="6970" spans="4:6">
      <c r="D6970" s="8"/>
      <c r="E6970" s="8"/>
      <c r="F6970" s="8"/>
    </row>
    <row r="6971" spans="4:6">
      <c r="D6971" s="8"/>
      <c r="E6971" s="8"/>
      <c r="F6971" s="8"/>
    </row>
    <row r="6972" spans="4:6">
      <c r="D6972" s="8"/>
      <c r="E6972" s="8"/>
      <c r="F6972" s="8"/>
    </row>
    <row r="6973" spans="4:6">
      <c r="D6973" s="8"/>
      <c r="E6973" s="8"/>
      <c r="F6973" s="8"/>
    </row>
    <row r="6974" spans="4:6">
      <c r="D6974" s="8"/>
      <c r="E6974" s="8"/>
      <c r="F6974" s="8"/>
    </row>
    <row r="6975" spans="4:6">
      <c r="D6975" s="8"/>
      <c r="E6975" s="8"/>
      <c r="F6975" s="8"/>
    </row>
    <row r="6976" spans="4:6">
      <c r="D6976" s="8"/>
      <c r="E6976" s="8"/>
      <c r="F6976" s="8"/>
    </row>
    <row r="6977" spans="4:6">
      <c r="D6977" s="8"/>
      <c r="E6977" s="8"/>
      <c r="F6977" s="8"/>
    </row>
    <row r="6978" spans="4:6">
      <c r="D6978" s="8"/>
      <c r="E6978" s="8"/>
      <c r="F6978" s="8"/>
    </row>
    <row r="6979" spans="4:6">
      <c r="D6979" s="8"/>
      <c r="E6979" s="8"/>
      <c r="F6979" s="8"/>
    </row>
    <row r="6980" spans="4:6">
      <c r="D6980" s="8"/>
      <c r="E6980" s="8"/>
      <c r="F6980" s="8"/>
    </row>
    <row r="6981" spans="4:6">
      <c r="D6981" s="8"/>
      <c r="E6981" s="8"/>
      <c r="F6981" s="8"/>
    </row>
    <row r="6982" spans="4:6">
      <c r="D6982" s="8"/>
      <c r="E6982" s="8"/>
      <c r="F6982" s="8"/>
    </row>
    <row r="6983" spans="4:6">
      <c r="D6983" s="8"/>
      <c r="E6983" s="8"/>
      <c r="F6983" s="8"/>
    </row>
    <row r="6984" spans="4:6">
      <c r="D6984" s="8"/>
      <c r="E6984" s="8"/>
      <c r="F6984" s="8"/>
    </row>
    <row r="6985" spans="4:6">
      <c r="D6985" s="8"/>
      <c r="E6985" s="8"/>
      <c r="F6985" s="8"/>
    </row>
    <row r="6986" spans="4:6">
      <c r="D6986" s="8"/>
      <c r="E6986" s="8"/>
      <c r="F6986" s="8"/>
    </row>
    <row r="6987" spans="4:6">
      <c r="D6987" s="8"/>
      <c r="E6987" s="8"/>
      <c r="F6987" s="8"/>
    </row>
    <row r="6988" spans="4:6">
      <c r="D6988" s="8"/>
      <c r="E6988" s="8"/>
      <c r="F6988" s="8"/>
    </row>
    <row r="6989" spans="4:6">
      <c r="D6989" s="8"/>
      <c r="E6989" s="8"/>
      <c r="F6989" s="8"/>
    </row>
    <row r="6990" spans="4:6">
      <c r="D6990" s="8"/>
      <c r="E6990" s="8"/>
      <c r="F6990" s="8"/>
    </row>
    <row r="6991" spans="4:6">
      <c r="D6991" s="8"/>
      <c r="E6991" s="8"/>
      <c r="F6991" s="8"/>
    </row>
    <row r="6992" spans="4:6">
      <c r="D6992" s="8"/>
      <c r="E6992" s="8"/>
      <c r="F6992" s="8"/>
    </row>
    <row r="6993" spans="4:6">
      <c r="D6993" s="8"/>
      <c r="E6993" s="8"/>
      <c r="F6993" s="8"/>
    </row>
    <row r="6994" spans="4:6">
      <c r="D6994" s="8"/>
      <c r="E6994" s="8"/>
      <c r="F6994" s="8"/>
    </row>
    <row r="6995" spans="4:6">
      <c r="D6995" s="8"/>
      <c r="E6995" s="8"/>
      <c r="F6995" s="8"/>
    </row>
    <row r="6996" spans="4:6">
      <c r="D6996" s="8"/>
      <c r="E6996" s="8"/>
      <c r="F6996" s="8"/>
    </row>
    <row r="6997" spans="4:6">
      <c r="D6997" s="8"/>
      <c r="E6997" s="8"/>
      <c r="F6997" s="8"/>
    </row>
    <row r="6998" spans="4:6">
      <c r="D6998" s="8"/>
      <c r="E6998" s="8"/>
      <c r="F6998" s="8"/>
    </row>
    <row r="6999" spans="4:6">
      <c r="D6999" s="8"/>
      <c r="E6999" s="8"/>
      <c r="F6999" s="8"/>
    </row>
    <row r="7000" spans="4:6">
      <c r="D7000" s="8"/>
      <c r="E7000" s="8"/>
      <c r="F7000" s="8"/>
    </row>
    <row r="7001" spans="4:6">
      <c r="D7001" s="8"/>
      <c r="E7001" s="8"/>
      <c r="F7001" s="8"/>
    </row>
    <row r="7002" spans="4:6">
      <c r="D7002" s="8"/>
      <c r="E7002" s="8"/>
      <c r="F7002" s="8"/>
    </row>
    <row r="7003" spans="4:6">
      <c r="D7003" s="8"/>
      <c r="E7003" s="8"/>
      <c r="F7003" s="8"/>
    </row>
    <row r="7004" spans="4:6">
      <c r="D7004" s="8"/>
      <c r="E7004" s="8"/>
      <c r="F7004" s="8"/>
    </row>
    <row r="7005" spans="4:6">
      <c r="D7005" s="8"/>
      <c r="E7005" s="8"/>
      <c r="F7005" s="8"/>
    </row>
    <row r="7006" spans="4:6">
      <c r="D7006" s="8"/>
      <c r="E7006" s="8"/>
      <c r="F7006" s="8"/>
    </row>
    <row r="7007" spans="4:6">
      <c r="D7007" s="8"/>
      <c r="E7007" s="8"/>
      <c r="F7007" s="8"/>
    </row>
    <row r="7008" spans="4:6">
      <c r="D7008" s="8"/>
      <c r="E7008" s="8"/>
      <c r="F7008" s="8"/>
    </row>
    <row r="7009" spans="4:6">
      <c r="D7009" s="8"/>
      <c r="E7009" s="8"/>
      <c r="F7009" s="8"/>
    </row>
    <row r="7010" spans="4:6">
      <c r="D7010" s="8"/>
      <c r="E7010" s="8"/>
      <c r="F7010" s="8"/>
    </row>
    <row r="7011" spans="4:6">
      <c r="D7011" s="8"/>
      <c r="E7011" s="8"/>
      <c r="F7011" s="8"/>
    </row>
    <row r="7012" spans="4:6">
      <c r="D7012" s="8"/>
      <c r="E7012" s="8"/>
      <c r="F7012" s="8"/>
    </row>
    <row r="7013" spans="4:6">
      <c r="D7013" s="8"/>
      <c r="E7013" s="8"/>
      <c r="F7013" s="8"/>
    </row>
    <row r="7014" spans="4:6">
      <c r="D7014" s="8"/>
      <c r="E7014" s="8"/>
      <c r="F7014" s="8"/>
    </row>
    <row r="7015" spans="4:6">
      <c r="D7015" s="8"/>
      <c r="E7015" s="8"/>
      <c r="F7015" s="8"/>
    </row>
    <row r="7016" spans="4:6">
      <c r="D7016" s="8"/>
      <c r="E7016" s="8"/>
      <c r="F7016" s="8"/>
    </row>
    <row r="7017" spans="4:6">
      <c r="D7017" s="8"/>
      <c r="E7017" s="8"/>
      <c r="F7017" s="8"/>
    </row>
    <row r="7018" spans="4:6">
      <c r="D7018" s="8"/>
      <c r="E7018" s="8"/>
      <c r="F7018" s="8"/>
    </row>
    <row r="7019" spans="4:6">
      <c r="D7019" s="8"/>
      <c r="E7019" s="8"/>
      <c r="F7019" s="8"/>
    </row>
    <row r="7020" spans="4:6">
      <c r="D7020" s="8"/>
      <c r="E7020" s="8"/>
      <c r="F7020" s="8"/>
    </row>
    <row r="7021" spans="4:6">
      <c r="D7021" s="8"/>
      <c r="E7021" s="8"/>
      <c r="F7021" s="8"/>
    </row>
    <row r="7022" spans="4:6">
      <c r="D7022" s="8"/>
      <c r="E7022" s="8"/>
      <c r="F7022" s="8"/>
    </row>
    <row r="7023" spans="4:6">
      <c r="D7023" s="8"/>
      <c r="E7023" s="8"/>
      <c r="F7023" s="8"/>
    </row>
    <row r="7024" spans="4:6">
      <c r="D7024" s="8"/>
      <c r="E7024" s="8"/>
      <c r="F7024" s="8"/>
    </row>
    <row r="7025" spans="4:6">
      <c r="D7025" s="8"/>
      <c r="E7025" s="8"/>
      <c r="F7025" s="8"/>
    </row>
    <row r="7026" spans="4:6">
      <c r="D7026" s="8"/>
      <c r="E7026" s="8"/>
      <c r="F7026" s="8"/>
    </row>
    <row r="7027" spans="4:6">
      <c r="D7027" s="8"/>
      <c r="E7027" s="8"/>
      <c r="F7027" s="8"/>
    </row>
    <row r="7028" spans="4:6">
      <c r="D7028" s="8"/>
      <c r="E7028" s="8"/>
      <c r="F7028" s="8"/>
    </row>
    <row r="7029" spans="4:6">
      <c r="D7029" s="8"/>
      <c r="E7029" s="8"/>
      <c r="F7029" s="8"/>
    </row>
    <row r="7030" spans="4:6">
      <c r="D7030" s="8"/>
      <c r="E7030" s="8"/>
      <c r="F7030" s="8"/>
    </row>
    <row r="7031" spans="4:6">
      <c r="D7031" s="8"/>
      <c r="E7031" s="8"/>
      <c r="F7031" s="8"/>
    </row>
    <row r="7032" spans="4:6">
      <c r="D7032" s="8"/>
      <c r="E7032" s="8"/>
      <c r="F7032" s="8"/>
    </row>
    <row r="7033" spans="4:6">
      <c r="D7033" s="8"/>
      <c r="E7033" s="8"/>
      <c r="F7033" s="8"/>
    </row>
    <row r="7034" spans="4:6">
      <c r="D7034" s="8"/>
      <c r="E7034" s="8"/>
      <c r="F7034" s="8"/>
    </row>
    <row r="7035" spans="4:6">
      <c r="D7035" s="8"/>
      <c r="E7035" s="8"/>
      <c r="F7035" s="8"/>
    </row>
    <row r="7036" spans="4:6">
      <c r="D7036" s="8"/>
      <c r="E7036" s="8"/>
      <c r="F7036" s="8"/>
    </row>
    <row r="7037" spans="4:6">
      <c r="D7037" s="8"/>
      <c r="E7037" s="8"/>
      <c r="F7037" s="8"/>
    </row>
    <row r="7038" spans="4:6">
      <c r="D7038" s="8"/>
      <c r="E7038" s="8"/>
      <c r="F7038" s="8"/>
    </row>
    <row r="7039" spans="4:6">
      <c r="D7039" s="8"/>
      <c r="E7039" s="8"/>
      <c r="F7039" s="8"/>
    </row>
    <row r="7040" spans="4:6">
      <c r="D7040" s="8"/>
      <c r="E7040" s="8"/>
      <c r="F7040" s="8"/>
    </row>
    <row r="7041" spans="4:6">
      <c r="D7041" s="8"/>
      <c r="E7041" s="8"/>
      <c r="F7041" s="8"/>
    </row>
    <row r="7042" spans="4:6">
      <c r="D7042" s="8"/>
      <c r="E7042" s="8"/>
      <c r="F7042" s="8"/>
    </row>
    <row r="7043" spans="4:6">
      <c r="D7043" s="8"/>
      <c r="E7043" s="8"/>
      <c r="F7043" s="8"/>
    </row>
    <row r="7044" spans="4:6">
      <c r="D7044" s="8"/>
      <c r="E7044" s="8"/>
      <c r="F7044" s="8"/>
    </row>
    <row r="7045" spans="4:6">
      <c r="D7045" s="8"/>
      <c r="E7045" s="8"/>
      <c r="F7045" s="8"/>
    </row>
    <row r="7046" spans="4:6">
      <c r="D7046" s="8"/>
      <c r="E7046" s="8"/>
      <c r="F7046" s="8"/>
    </row>
    <row r="7047" spans="4:6">
      <c r="D7047" s="8"/>
      <c r="E7047" s="8"/>
      <c r="F7047" s="8"/>
    </row>
    <row r="7048" spans="4:6">
      <c r="D7048" s="8"/>
      <c r="E7048" s="8"/>
      <c r="F7048" s="8"/>
    </row>
    <row r="7049" spans="4:6">
      <c r="D7049" s="8"/>
      <c r="E7049" s="8"/>
      <c r="F7049" s="8"/>
    </row>
    <row r="7050" spans="4:6">
      <c r="D7050" s="8"/>
      <c r="E7050" s="8"/>
      <c r="F7050" s="8"/>
    </row>
    <row r="7051" spans="4:6">
      <c r="D7051" s="8"/>
      <c r="E7051" s="8"/>
      <c r="F7051" s="8"/>
    </row>
    <row r="7052" spans="4:6">
      <c r="D7052" s="8"/>
      <c r="E7052" s="8"/>
      <c r="F7052" s="8"/>
    </row>
    <row r="7053" spans="4:6">
      <c r="D7053" s="8"/>
      <c r="E7053" s="8"/>
      <c r="F7053" s="8"/>
    </row>
    <row r="7054" spans="4:6">
      <c r="D7054" s="8"/>
      <c r="E7054" s="8"/>
      <c r="F7054" s="8"/>
    </row>
    <row r="7055" spans="4:6">
      <c r="D7055" s="8"/>
      <c r="E7055" s="8"/>
      <c r="F7055" s="8"/>
    </row>
    <row r="7056" spans="4:6">
      <c r="D7056" s="8"/>
      <c r="E7056" s="8"/>
      <c r="F7056" s="8"/>
    </row>
    <row r="7057" spans="4:6">
      <c r="D7057" s="8"/>
      <c r="E7057" s="8"/>
      <c r="F7057" s="8"/>
    </row>
    <row r="7058" spans="4:6">
      <c r="D7058" s="8"/>
      <c r="E7058" s="8"/>
      <c r="F7058" s="8"/>
    </row>
    <row r="7059" spans="4:6">
      <c r="D7059" s="8"/>
      <c r="E7059" s="8"/>
      <c r="F7059" s="8"/>
    </row>
    <row r="7060" spans="4:6">
      <c r="D7060" s="8"/>
      <c r="E7060" s="8"/>
      <c r="F7060" s="8"/>
    </row>
    <row r="7061" spans="4:6">
      <c r="D7061" s="8"/>
      <c r="E7061" s="8"/>
      <c r="F7061" s="8"/>
    </row>
    <row r="7062" spans="4:6">
      <c r="D7062" s="8"/>
      <c r="E7062" s="8"/>
      <c r="F7062" s="8"/>
    </row>
    <row r="7063" spans="4:6">
      <c r="D7063" s="8"/>
      <c r="E7063" s="8"/>
      <c r="F7063" s="8"/>
    </row>
    <row r="7064" spans="4:6">
      <c r="D7064" s="8"/>
      <c r="E7064" s="8"/>
      <c r="F7064" s="8"/>
    </row>
    <row r="7065" spans="4:6">
      <c r="D7065" s="8"/>
      <c r="E7065" s="8"/>
      <c r="F7065" s="8"/>
    </row>
    <row r="7066" spans="4:6">
      <c r="D7066" s="8"/>
      <c r="E7066" s="8"/>
      <c r="F7066" s="8"/>
    </row>
    <row r="7067" spans="4:6">
      <c r="D7067" s="8"/>
      <c r="E7067" s="8"/>
      <c r="F7067" s="8"/>
    </row>
    <row r="7068" spans="4:6">
      <c r="D7068" s="8"/>
      <c r="E7068" s="8"/>
      <c r="F7068" s="8"/>
    </row>
    <row r="7069" spans="4:6">
      <c r="D7069" s="8"/>
      <c r="E7069" s="8"/>
      <c r="F7069" s="8"/>
    </row>
    <row r="7070" spans="4:6">
      <c r="D7070" s="8"/>
      <c r="E7070" s="8"/>
      <c r="F7070" s="8"/>
    </row>
    <row r="7071" spans="4:6">
      <c r="D7071" s="8"/>
      <c r="E7071" s="8"/>
      <c r="F7071" s="8"/>
    </row>
    <row r="7072" spans="4:6">
      <c r="D7072" s="8"/>
      <c r="E7072" s="8"/>
      <c r="F7072" s="8"/>
    </row>
    <row r="7073" spans="4:6">
      <c r="D7073" s="8"/>
      <c r="E7073" s="8"/>
      <c r="F7073" s="8"/>
    </row>
    <row r="7074" spans="4:6">
      <c r="D7074" s="8"/>
      <c r="E7074" s="8"/>
      <c r="F7074" s="8"/>
    </row>
    <row r="7075" spans="4:6">
      <c r="D7075" s="8"/>
      <c r="E7075" s="8"/>
      <c r="F7075" s="8"/>
    </row>
    <row r="7076" spans="4:6">
      <c r="D7076" s="8"/>
      <c r="E7076" s="8"/>
      <c r="F7076" s="8"/>
    </row>
    <row r="7077" spans="4:6">
      <c r="D7077" s="8"/>
      <c r="E7077" s="8"/>
      <c r="F7077" s="8"/>
    </row>
    <row r="7078" spans="4:6">
      <c r="D7078" s="8"/>
      <c r="E7078" s="8"/>
      <c r="F7078" s="8"/>
    </row>
    <row r="7079" spans="4:6">
      <c r="D7079" s="8"/>
      <c r="E7079" s="8"/>
      <c r="F7079" s="8"/>
    </row>
    <row r="7080" spans="4:6">
      <c r="D7080" s="8"/>
      <c r="E7080" s="8"/>
      <c r="F7080" s="8"/>
    </row>
    <row r="7081" spans="4:6">
      <c r="D7081" s="8"/>
      <c r="E7081" s="8"/>
      <c r="F7081" s="8"/>
    </row>
    <row r="7082" spans="4:6">
      <c r="D7082" s="8"/>
      <c r="E7082" s="8"/>
      <c r="F7082" s="8"/>
    </row>
    <row r="7083" spans="4:6">
      <c r="D7083" s="8"/>
      <c r="E7083" s="8"/>
      <c r="F7083" s="8"/>
    </row>
    <row r="7084" spans="4:6">
      <c r="D7084" s="8"/>
      <c r="E7084" s="8"/>
      <c r="F7084" s="8"/>
    </row>
    <row r="7085" spans="4:6">
      <c r="D7085" s="8"/>
      <c r="E7085" s="8"/>
      <c r="F7085" s="8"/>
    </row>
    <row r="7086" spans="4:6">
      <c r="D7086" s="8"/>
      <c r="E7086" s="8"/>
      <c r="F7086" s="8"/>
    </row>
    <row r="7087" spans="4:6">
      <c r="D7087" s="8"/>
      <c r="E7087" s="8"/>
      <c r="F7087" s="8"/>
    </row>
    <row r="7088" spans="4:6">
      <c r="D7088" s="8"/>
      <c r="E7088" s="8"/>
      <c r="F7088" s="8"/>
    </row>
    <row r="7089" spans="4:6">
      <c r="D7089" s="8"/>
      <c r="E7089" s="8"/>
      <c r="F7089" s="8"/>
    </row>
    <row r="7090" spans="4:6">
      <c r="D7090" s="8"/>
      <c r="E7090" s="8"/>
      <c r="F7090" s="8"/>
    </row>
    <row r="7091" spans="4:6">
      <c r="D7091" s="8"/>
      <c r="E7091" s="8"/>
      <c r="F7091" s="8"/>
    </row>
    <row r="7092" spans="4:6">
      <c r="D7092" s="8"/>
      <c r="E7092" s="8"/>
      <c r="F7092" s="8"/>
    </row>
    <row r="7093" spans="4:6">
      <c r="D7093" s="8"/>
      <c r="E7093" s="8"/>
      <c r="F7093" s="8"/>
    </row>
    <row r="7094" spans="4:6">
      <c r="D7094" s="8"/>
      <c r="E7094" s="8"/>
      <c r="F7094" s="8"/>
    </row>
    <row r="7095" spans="4:6">
      <c r="D7095" s="8"/>
      <c r="E7095" s="8"/>
      <c r="F7095" s="8"/>
    </row>
    <row r="7096" spans="4:6">
      <c r="D7096" s="8"/>
      <c r="E7096" s="8"/>
      <c r="F7096" s="8"/>
    </row>
    <row r="7097" spans="4:6">
      <c r="D7097" s="8"/>
      <c r="E7097" s="8"/>
      <c r="F7097" s="8"/>
    </row>
    <row r="7098" spans="4:6">
      <c r="D7098" s="8"/>
      <c r="E7098" s="8"/>
      <c r="F7098" s="8"/>
    </row>
    <row r="7099" spans="4:6">
      <c r="D7099" s="8"/>
      <c r="E7099" s="8"/>
      <c r="F7099" s="8"/>
    </row>
    <row r="7100" spans="4:6">
      <c r="D7100" s="8"/>
      <c r="E7100" s="8"/>
      <c r="F7100" s="8"/>
    </row>
    <row r="7101" spans="4:6">
      <c r="D7101" s="8"/>
      <c r="E7101" s="8"/>
      <c r="F7101" s="8"/>
    </row>
    <row r="7102" spans="4:6">
      <c r="D7102" s="8"/>
      <c r="E7102" s="8"/>
      <c r="F7102" s="8"/>
    </row>
    <row r="7103" spans="4:6">
      <c r="D7103" s="8"/>
      <c r="E7103" s="8"/>
      <c r="F7103" s="8"/>
    </row>
    <row r="7104" spans="4:6">
      <c r="D7104" s="8"/>
      <c r="E7104" s="8"/>
      <c r="F7104" s="8"/>
    </row>
    <row r="7105" spans="4:6">
      <c r="D7105" s="8"/>
      <c r="E7105" s="8"/>
      <c r="F7105" s="8"/>
    </row>
    <row r="7106" spans="4:6">
      <c r="D7106" s="8"/>
      <c r="E7106" s="8"/>
      <c r="F7106" s="8"/>
    </row>
    <row r="7107" spans="4:6">
      <c r="D7107" s="8"/>
      <c r="E7107" s="8"/>
      <c r="F7107" s="8"/>
    </row>
    <row r="7108" spans="4:6">
      <c r="D7108" s="8"/>
      <c r="E7108" s="8"/>
      <c r="F7108" s="8"/>
    </row>
    <row r="7109" spans="4:6">
      <c r="D7109" s="8"/>
      <c r="E7109" s="8"/>
      <c r="F7109" s="8"/>
    </row>
    <row r="7110" spans="4:6">
      <c r="D7110" s="8"/>
      <c r="E7110" s="8"/>
      <c r="F7110" s="8"/>
    </row>
    <row r="7111" spans="4:6">
      <c r="D7111" s="8"/>
      <c r="E7111" s="8"/>
      <c r="F7111" s="8"/>
    </row>
    <row r="7112" spans="4:6">
      <c r="D7112" s="8"/>
      <c r="E7112" s="8"/>
      <c r="F7112" s="8"/>
    </row>
    <row r="7113" spans="4:6">
      <c r="D7113" s="8"/>
      <c r="E7113" s="8"/>
      <c r="F7113" s="8"/>
    </row>
    <row r="7114" spans="4:6">
      <c r="D7114" s="8"/>
      <c r="E7114" s="8"/>
      <c r="F7114" s="8"/>
    </row>
    <row r="7115" spans="4:6">
      <c r="D7115" s="8"/>
      <c r="E7115" s="8"/>
      <c r="F7115" s="8"/>
    </row>
    <row r="7116" spans="4:6">
      <c r="D7116" s="8"/>
      <c r="E7116" s="8"/>
      <c r="F7116" s="8"/>
    </row>
    <row r="7117" spans="4:6">
      <c r="D7117" s="8"/>
      <c r="E7117" s="8"/>
      <c r="F7117" s="8"/>
    </row>
    <row r="7118" spans="4:6">
      <c r="D7118" s="8"/>
      <c r="E7118" s="8"/>
      <c r="F7118" s="8"/>
    </row>
    <row r="7119" spans="4:6">
      <c r="D7119" s="8"/>
      <c r="E7119" s="8"/>
      <c r="F7119" s="8"/>
    </row>
    <row r="7120" spans="4:6">
      <c r="D7120" s="8"/>
      <c r="E7120" s="8"/>
      <c r="F7120" s="8"/>
    </row>
    <row r="7121" spans="4:6">
      <c r="D7121" s="8"/>
      <c r="E7121" s="8"/>
      <c r="F7121" s="8"/>
    </row>
    <row r="7122" spans="4:6">
      <c r="D7122" s="8"/>
      <c r="E7122" s="8"/>
      <c r="F7122" s="8"/>
    </row>
    <row r="7123" spans="4:6">
      <c r="D7123" s="8"/>
      <c r="E7123" s="8"/>
      <c r="F7123" s="8"/>
    </row>
    <row r="7124" spans="4:6">
      <c r="D7124" s="8"/>
      <c r="E7124" s="8"/>
      <c r="F7124" s="8"/>
    </row>
    <row r="7125" spans="4:6">
      <c r="D7125" s="8"/>
      <c r="E7125" s="8"/>
      <c r="F7125" s="8"/>
    </row>
    <row r="7126" spans="4:6">
      <c r="D7126" s="8"/>
      <c r="E7126" s="8"/>
      <c r="F7126" s="8"/>
    </row>
    <row r="7127" spans="4:6">
      <c r="D7127" s="8"/>
      <c r="E7127" s="8"/>
      <c r="F7127" s="8"/>
    </row>
    <row r="7128" spans="4:6">
      <c r="D7128" s="8"/>
      <c r="E7128" s="8"/>
      <c r="F7128" s="8"/>
    </row>
    <row r="7129" spans="4:6">
      <c r="D7129" s="8"/>
      <c r="E7129" s="8"/>
      <c r="F7129" s="8"/>
    </row>
    <row r="7130" spans="4:6">
      <c r="D7130" s="8"/>
      <c r="E7130" s="8"/>
      <c r="F7130" s="8"/>
    </row>
    <row r="7131" spans="4:6">
      <c r="D7131" s="8"/>
      <c r="E7131" s="8"/>
      <c r="F7131" s="8"/>
    </row>
    <row r="7132" spans="4:6">
      <c r="D7132" s="8"/>
      <c r="E7132" s="8"/>
      <c r="F7132" s="8"/>
    </row>
    <row r="7133" spans="4:6">
      <c r="D7133" s="8"/>
      <c r="E7133" s="8"/>
      <c r="F7133" s="8"/>
    </row>
    <row r="7134" spans="4:6">
      <c r="D7134" s="8"/>
      <c r="E7134" s="8"/>
      <c r="F7134" s="8"/>
    </row>
    <row r="7135" spans="4:6">
      <c r="D7135" s="8"/>
      <c r="E7135" s="8"/>
      <c r="F7135" s="8"/>
    </row>
    <row r="7136" spans="4:6">
      <c r="D7136" s="8"/>
      <c r="E7136" s="8"/>
      <c r="F7136" s="8"/>
    </row>
    <row r="7137" spans="4:6">
      <c r="D7137" s="8"/>
      <c r="E7137" s="8"/>
      <c r="F7137" s="8"/>
    </row>
    <row r="7138" spans="4:6">
      <c r="D7138" s="8"/>
      <c r="E7138" s="8"/>
      <c r="F7138" s="8"/>
    </row>
    <row r="7139" spans="4:6">
      <c r="D7139" s="8"/>
      <c r="E7139" s="8"/>
      <c r="F7139" s="8"/>
    </row>
    <row r="7140" spans="4:6">
      <c r="D7140" s="8"/>
      <c r="E7140" s="8"/>
      <c r="F7140" s="8"/>
    </row>
    <row r="7141" spans="4:6">
      <c r="D7141" s="8"/>
      <c r="E7141" s="8"/>
      <c r="F7141" s="8"/>
    </row>
    <row r="7142" spans="4:6">
      <c r="D7142" s="8"/>
      <c r="E7142" s="8"/>
      <c r="F7142" s="8"/>
    </row>
    <row r="7143" spans="4:6">
      <c r="D7143" s="8"/>
      <c r="E7143" s="8"/>
      <c r="F7143" s="8"/>
    </row>
    <row r="7144" spans="4:6">
      <c r="D7144" s="8"/>
      <c r="E7144" s="8"/>
      <c r="F7144" s="8"/>
    </row>
    <row r="7145" spans="4:6">
      <c r="D7145" s="8"/>
      <c r="E7145" s="8"/>
      <c r="F7145" s="8"/>
    </row>
    <row r="7146" spans="4:6">
      <c r="D7146" s="8"/>
      <c r="E7146" s="8"/>
      <c r="F7146" s="8"/>
    </row>
    <row r="7147" spans="4:6">
      <c r="D7147" s="8"/>
      <c r="E7147" s="8"/>
      <c r="F7147" s="8"/>
    </row>
    <row r="7148" spans="4:6">
      <c r="D7148" s="8"/>
      <c r="E7148" s="8"/>
      <c r="F7148" s="8"/>
    </row>
    <row r="7149" spans="4:6">
      <c r="D7149" s="8"/>
      <c r="E7149" s="8"/>
      <c r="F7149" s="8"/>
    </row>
    <row r="7150" spans="4:6">
      <c r="D7150" s="8"/>
      <c r="E7150" s="8"/>
      <c r="F7150" s="8"/>
    </row>
    <row r="7151" spans="4:6">
      <c r="D7151" s="8"/>
      <c r="E7151" s="8"/>
      <c r="F7151" s="8"/>
    </row>
    <row r="7152" spans="4:6">
      <c r="D7152" s="8"/>
      <c r="E7152" s="8"/>
      <c r="F7152" s="8"/>
    </row>
    <row r="7153" spans="4:6">
      <c r="D7153" s="8"/>
      <c r="E7153" s="8"/>
      <c r="F7153" s="8"/>
    </row>
    <row r="7154" spans="4:6">
      <c r="D7154" s="8"/>
      <c r="E7154" s="8"/>
      <c r="F7154" s="8"/>
    </row>
    <row r="7155" spans="4:6">
      <c r="D7155" s="8"/>
      <c r="E7155" s="8"/>
      <c r="F7155" s="8"/>
    </row>
    <row r="7156" spans="4:6">
      <c r="D7156" s="8"/>
      <c r="E7156" s="8"/>
      <c r="F7156" s="8"/>
    </row>
    <row r="7157" spans="4:6">
      <c r="D7157" s="8"/>
      <c r="E7157" s="8"/>
      <c r="F7157" s="8"/>
    </row>
    <row r="7158" spans="4:6">
      <c r="D7158" s="8"/>
      <c r="E7158" s="8"/>
      <c r="F7158" s="8"/>
    </row>
    <row r="7159" spans="4:6">
      <c r="D7159" s="8"/>
      <c r="E7159" s="8"/>
      <c r="F7159" s="8"/>
    </row>
    <row r="7160" spans="4:6">
      <c r="D7160" s="8"/>
      <c r="E7160" s="8"/>
      <c r="F7160" s="8"/>
    </row>
    <row r="7161" spans="4:6">
      <c r="D7161" s="8"/>
      <c r="E7161" s="8"/>
      <c r="F7161" s="8"/>
    </row>
    <row r="7162" spans="4:6">
      <c r="D7162" s="8"/>
      <c r="E7162" s="8"/>
      <c r="F7162" s="8"/>
    </row>
    <row r="7163" spans="4:6">
      <c r="D7163" s="8"/>
      <c r="E7163" s="8"/>
      <c r="F7163" s="8"/>
    </row>
    <row r="7164" spans="4:6">
      <c r="D7164" s="8"/>
      <c r="E7164" s="8"/>
      <c r="F7164" s="8"/>
    </row>
    <row r="7165" spans="4:6">
      <c r="D7165" s="8"/>
      <c r="E7165" s="8"/>
      <c r="F7165" s="8"/>
    </row>
    <row r="7166" spans="4:6">
      <c r="D7166" s="8"/>
      <c r="E7166" s="8"/>
      <c r="F7166" s="8"/>
    </row>
    <row r="7167" spans="4:6">
      <c r="D7167" s="8"/>
      <c r="E7167" s="8"/>
      <c r="F7167" s="8"/>
    </row>
    <row r="7168" spans="4:6">
      <c r="D7168" s="8"/>
      <c r="E7168" s="8"/>
      <c r="F7168" s="8"/>
    </row>
    <row r="7169" spans="4:6">
      <c r="D7169" s="8"/>
      <c r="E7169" s="8"/>
      <c r="F7169" s="8"/>
    </row>
    <row r="7170" spans="4:6">
      <c r="D7170" s="8"/>
      <c r="E7170" s="8"/>
      <c r="F7170" s="8"/>
    </row>
    <row r="7171" spans="4:6">
      <c r="D7171" s="8"/>
      <c r="E7171" s="8"/>
      <c r="F7171" s="8"/>
    </row>
    <row r="7172" spans="4:6">
      <c r="D7172" s="8"/>
      <c r="E7172" s="8"/>
      <c r="F7172" s="8"/>
    </row>
    <row r="7173" spans="4:6">
      <c r="D7173" s="8"/>
      <c r="E7173" s="8"/>
      <c r="F7173" s="8"/>
    </row>
    <row r="7174" spans="4:6">
      <c r="D7174" s="8"/>
      <c r="E7174" s="8"/>
      <c r="F7174" s="8"/>
    </row>
    <row r="7175" spans="4:6">
      <c r="D7175" s="8"/>
      <c r="E7175" s="8"/>
      <c r="F7175" s="8"/>
    </row>
    <row r="7176" spans="4:6">
      <c r="D7176" s="8"/>
      <c r="E7176" s="8"/>
      <c r="F7176" s="8"/>
    </row>
    <row r="7177" spans="4:6">
      <c r="D7177" s="8"/>
      <c r="E7177" s="8"/>
      <c r="F7177" s="8"/>
    </row>
    <row r="7178" spans="4:6">
      <c r="D7178" s="8"/>
      <c r="E7178" s="8"/>
      <c r="F7178" s="8"/>
    </row>
    <row r="7179" spans="4:6">
      <c r="D7179" s="8"/>
      <c r="E7179" s="8"/>
      <c r="F7179" s="8"/>
    </row>
    <row r="7180" spans="4:6">
      <c r="D7180" s="8"/>
      <c r="E7180" s="8"/>
      <c r="F7180" s="8"/>
    </row>
    <row r="7181" spans="4:6">
      <c r="D7181" s="8"/>
      <c r="E7181" s="8"/>
      <c r="F7181" s="8"/>
    </row>
    <row r="7182" spans="4:6">
      <c r="D7182" s="8"/>
      <c r="E7182" s="8"/>
      <c r="F7182" s="8"/>
    </row>
    <row r="7183" spans="4:6">
      <c r="D7183" s="8"/>
      <c r="E7183" s="8"/>
      <c r="F7183" s="8"/>
    </row>
    <row r="7184" spans="4:6">
      <c r="D7184" s="8"/>
      <c r="E7184" s="8"/>
      <c r="F7184" s="8"/>
    </row>
    <row r="7185" spans="4:6">
      <c r="D7185" s="8"/>
      <c r="E7185" s="8"/>
      <c r="F7185" s="8"/>
    </row>
    <row r="7186" spans="4:6">
      <c r="D7186" s="8"/>
      <c r="E7186" s="8"/>
      <c r="F7186" s="8"/>
    </row>
    <row r="7187" spans="4:6">
      <c r="D7187" s="8"/>
      <c r="E7187" s="8"/>
      <c r="F7187" s="8"/>
    </row>
    <row r="7188" spans="4:6">
      <c r="D7188" s="8"/>
      <c r="E7188" s="8"/>
      <c r="F7188" s="8"/>
    </row>
    <row r="7189" spans="4:6">
      <c r="D7189" s="8"/>
      <c r="E7189" s="8"/>
      <c r="F7189" s="8"/>
    </row>
    <row r="7190" spans="4:6">
      <c r="D7190" s="8"/>
      <c r="E7190" s="8"/>
      <c r="F7190" s="8"/>
    </row>
    <row r="7191" spans="4:6">
      <c r="D7191" s="8"/>
      <c r="E7191" s="8"/>
      <c r="F7191" s="8"/>
    </row>
    <row r="7192" spans="4:6">
      <c r="D7192" s="8"/>
      <c r="E7192" s="8"/>
      <c r="F7192" s="8"/>
    </row>
    <row r="7193" spans="4:6">
      <c r="D7193" s="8"/>
      <c r="E7193" s="8"/>
      <c r="F7193" s="8"/>
    </row>
    <row r="7194" spans="4:6">
      <c r="D7194" s="8"/>
      <c r="E7194" s="8"/>
      <c r="F7194" s="8"/>
    </row>
    <row r="7195" spans="4:6">
      <c r="D7195" s="8"/>
      <c r="E7195" s="8"/>
      <c r="F7195" s="8"/>
    </row>
    <row r="7196" spans="4:6">
      <c r="D7196" s="8"/>
      <c r="E7196" s="8"/>
      <c r="F7196" s="8"/>
    </row>
    <row r="7197" spans="4:6">
      <c r="D7197" s="8"/>
      <c r="E7197" s="8"/>
      <c r="F7197" s="8"/>
    </row>
    <row r="7198" spans="4:6">
      <c r="D7198" s="8"/>
      <c r="E7198" s="8"/>
      <c r="F7198" s="8"/>
    </row>
    <row r="7199" spans="4:6">
      <c r="D7199" s="8"/>
      <c r="E7199" s="8"/>
      <c r="F7199" s="8"/>
    </row>
    <row r="7200" spans="4:6">
      <c r="D7200" s="8"/>
      <c r="E7200" s="8"/>
      <c r="F7200" s="8"/>
    </row>
    <row r="7201" spans="4:6">
      <c r="D7201" s="8"/>
      <c r="E7201" s="8"/>
      <c r="F7201" s="8"/>
    </row>
    <row r="7202" spans="4:6">
      <c r="D7202" s="8"/>
      <c r="E7202" s="8"/>
      <c r="F7202" s="8"/>
    </row>
    <row r="7203" spans="4:6">
      <c r="D7203" s="8"/>
      <c r="E7203" s="8"/>
      <c r="F7203" s="8"/>
    </row>
    <row r="7204" spans="4:6">
      <c r="D7204" s="8"/>
      <c r="E7204" s="8"/>
      <c r="F7204" s="8"/>
    </row>
    <row r="7205" spans="4:6">
      <c r="D7205" s="8"/>
      <c r="E7205" s="8"/>
      <c r="F7205" s="8"/>
    </row>
    <row r="7206" spans="4:6">
      <c r="D7206" s="8"/>
      <c r="E7206" s="8"/>
      <c r="F7206" s="8"/>
    </row>
    <row r="7207" spans="4:6">
      <c r="D7207" s="8"/>
      <c r="E7207" s="8"/>
      <c r="F7207" s="8"/>
    </row>
    <row r="7208" spans="4:6">
      <c r="D7208" s="8"/>
      <c r="E7208" s="8"/>
      <c r="F7208" s="8"/>
    </row>
    <row r="7209" spans="4:6">
      <c r="D7209" s="8"/>
      <c r="E7209" s="8"/>
      <c r="F7209" s="8"/>
    </row>
    <row r="7210" spans="4:6">
      <c r="D7210" s="8"/>
      <c r="E7210" s="8"/>
      <c r="F7210" s="8"/>
    </row>
    <row r="7211" spans="4:6">
      <c r="D7211" s="8"/>
      <c r="E7211" s="8"/>
      <c r="F7211" s="8"/>
    </row>
    <row r="7212" spans="4:6">
      <c r="D7212" s="8"/>
      <c r="E7212" s="8"/>
      <c r="F7212" s="8"/>
    </row>
    <row r="7213" spans="4:6">
      <c r="D7213" s="8"/>
      <c r="E7213" s="8"/>
      <c r="F7213" s="8"/>
    </row>
    <row r="7214" spans="4:6">
      <c r="D7214" s="8"/>
      <c r="E7214" s="8"/>
      <c r="F7214" s="8"/>
    </row>
    <row r="7215" spans="4:6">
      <c r="D7215" s="8"/>
      <c r="E7215" s="8"/>
      <c r="F7215" s="8"/>
    </row>
    <row r="7216" spans="4:6">
      <c r="D7216" s="8"/>
      <c r="E7216" s="8"/>
      <c r="F7216" s="8"/>
    </row>
    <row r="7217" spans="4:6">
      <c r="D7217" s="8"/>
      <c r="E7217" s="8"/>
      <c r="F7217" s="8"/>
    </row>
    <row r="7218" spans="4:6">
      <c r="D7218" s="8"/>
      <c r="E7218" s="8"/>
      <c r="F7218" s="8"/>
    </row>
    <row r="7219" spans="4:6">
      <c r="D7219" s="8"/>
      <c r="E7219" s="8"/>
      <c r="F7219" s="8"/>
    </row>
    <row r="7220" spans="4:6">
      <c r="D7220" s="8"/>
      <c r="E7220" s="8"/>
      <c r="F7220" s="8"/>
    </row>
    <row r="7221" spans="4:6">
      <c r="D7221" s="8"/>
      <c r="E7221" s="8"/>
      <c r="F7221" s="8"/>
    </row>
    <row r="7222" spans="4:6">
      <c r="D7222" s="8"/>
      <c r="E7222" s="8"/>
      <c r="F7222" s="8"/>
    </row>
    <row r="7223" spans="4:6">
      <c r="D7223" s="8"/>
      <c r="E7223" s="8"/>
      <c r="F7223" s="8"/>
    </row>
    <row r="7224" spans="4:6">
      <c r="D7224" s="8"/>
      <c r="E7224" s="8"/>
      <c r="F7224" s="8"/>
    </row>
    <row r="7225" spans="4:6">
      <c r="D7225" s="8"/>
      <c r="E7225" s="8"/>
      <c r="F7225" s="8"/>
    </row>
    <row r="7226" spans="4:6">
      <c r="D7226" s="8"/>
      <c r="E7226" s="8"/>
      <c r="F7226" s="8"/>
    </row>
    <row r="7227" spans="4:6">
      <c r="D7227" s="8"/>
      <c r="E7227" s="8"/>
      <c r="F7227" s="8"/>
    </row>
    <row r="7228" spans="4:6">
      <c r="D7228" s="8"/>
      <c r="E7228" s="8"/>
      <c r="F7228" s="8"/>
    </row>
    <row r="7229" spans="4:6">
      <c r="D7229" s="8"/>
      <c r="E7229" s="8"/>
      <c r="F7229" s="8"/>
    </row>
    <row r="7230" spans="4:6">
      <c r="D7230" s="8"/>
      <c r="E7230" s="8"/>
      <c r="F7230" s="8"/>
    </row>
    <row r="7231" spans="4:6">
      <c r="D7231" s="8"/>
      <c r="E7231" s="8"/>
      <c r="F7231" s="8"/>
    </row>
    <row r="7232" spans="4:6">
      <c r="D7232" s="8"/>
      <c r="E7232" s="8"/>
      <c r="F7232" s="8"/>
    </row>
    <row r="7233" spans="4:6">
      <c r="D7233" s="8"/>
      <c r="E7233" s="8"/>
      <c r="F7233" s="8"/>
    </row>
    <row r="7234" spans="4:6">
      <c r="D7234" s="8"/>
      <c r="E7234" s="8"/>
      <c r="F7234" s="8"/>
    </row>
    <row r="7235" spans="4:6">
      <c r="D7235" s="8"/>
      <c r="E7235" s="8"/>
      <c r="F7235" s="8"/>
    </row>
    <row r="7236" spans="4:6">
      <c r="D7236" s="8"/>
      <c r="E7236" s="8"/>
      <c r="F7236" s="8"/>
    </row>
    <row r="7237" spans="4:6">
      <c r="D7237" s="8"/>
      <c r="E7237" s="8"/>
      <c r="F7237" s="8"/>
    </row>
    <row r="7238" spans="4:6">
      <c r="D7238" s="8"/>
      <c r="E7238" s="8"/>
      <c r="F7238" s="8"/>
    </row>
    <row r="7239" spans="4:6">
      <c r="D7239" s="8"/>
      <c r="E7239" s="8"/>
      <c r="F7239" s="8"/>
    </row>
    <row r="7240" spans="4:6">
      <c r="D7240" s="8"/>
      <c r="E7240" s="8"/>
      <c r="F7240" s="8"/>
    </row>
    <row r="7241" spans="4:6">
      <c r="D7241" s="8"/>
      <c r="E7241" s="8"/>
      <c r="F7241" s="8"/>
    </row>
    <row r="7242" spans="4:6">
      <c r="D7242" s="8"/>
      <c r="E7242" s="8"/>
      <c r="F7242" s="8"/>
    </row>
    <row r="7243" spans="4:6">
      <c r="D7243" s="8"/>
      <c r="E7243" s="8"/>
      <c r="F7243" s="8"/>
    </row>
    <row r="7244" spans="4:6">
      <c r="D7244" s="8"/>
      <c r="E7244" s="8"/>
      <c r="F7244" s="8"/>
    </row>
    <row r="7245" spans="4:6">
      <c r="D7245" s="8"/>
      <c r="E7245" s="8"/>
      <c r="F7245" s="8"/>
    </row>
    <row r="7246" spans="4:6">
      <c r="D7246" s="8"/>
      <c r="E7246" s="8"/>
      <c r="F7246" s="8"/>
    </row>
    <row r="7247" spans="4:6">
      <c r="D7247" s="8"/>
      <c r="E7247" s="8"/>
      <c r="F7247" s="8"/>
    </row>
    <row r="7248" spans="4:6">
      <c r="D7248" s="8"/>
      <c r="E7248" s="8"/>
      <c r="F7248" s="8"/>
    </row>
    <row r="7249" spans="4:6">
      <c r="D7249" s="8"/>
      <c r="E7249" s="8"/>
      <c r="F7249" s="8"/>
    </row>
    <row r="7250" spans="4:6">
      <c r="D7250" s="8"/>
      <c r="E7250" s="8"/>
      <c r="F7250" s="8"/>
    </row>
    <row r="7251" spans="4:6">
      <c r="D7251" s="8"/>
      <c r="E7251" s="8"/>
      <c r="F7251" s="8"/>
    </row>
    <row r="7252" spans="4:6">
      <c r="D7252" s="8"/>
      <c r="E7252" s="8"/>
      <c r="F7252" s="8"/>
    </row>
    <row r="7253" spans="4:6">
      <c r="D7253" s="8"/>
      <c r="E7253" s="8"/>
      <c r="F7253" s="8"/>
    </row>
    <row r="7254" spans="4:6">
      <c r="D7254" s="8"/>
      <c r="E7254" s="8"/>
      <c r="F7254" s="8"/>
    </row>
    <row r="7255" spans="4:6">
      <c r="D7255" s="8"/>
      <c r="E7255" s="8"/>
      <c r="F7255" s="8"/>
    </row>
    <row r="7256" spans="4:6">
      <c r="D7256" s="8"/>
      <c r="E7256" s="8"/>
      <c r="F7256" s="8"/>
    </row>
    <row r="7257" spans="4:6">
      <c r="D7257" s="8"/>
      <c r="E7257" s="8"/>
      <c r="F7257" s="8"/>
    </row>
    <row r="7258" spans="4:6">
      <c r="D7258" s="8"/>
      <c r="E7258" s="8"/>
      <c r="F7258" s="8"/>
    </row>
    <row r="7259" spans="4:6">
      <c r="D7259" s="8"/>
      <c r="E7259" s="8"/>
      <c r="F7259" s="8"/>
    </row>
    <row r="7260" spans="4:6">
      <c r="D7260" s="8"/>
      <c r="E7260" s="8"/>
      <c r="F7260" s="8"/>
    </row>
    <row r="7261" spans="4:6">
      <c r="D7261" s="8"/>
      <c r="E7261" s="8"/>
      <c r="F7261" s="8"/>
    </row>
    <row r="7262" spans="4:6">
      <c r="D7262" s="8"/>
      <c r="E7262" s="8"/>
      <c r="F7262" s="8"/>
    </row>
    <row r="7263" spans="4:6">
      <c r="D7263" s="8"/>
      <c r="E7263" s="8"/>
      <c r="F7263" s="8"/>
    </row>
    <row r="7264" spans="4:6">
      <c r="D7264" s="8"/>
      <c r="E7264" s="8"/>
      <c r="F7264" s="8"/>
    </row>
    <row r="7265" spans="4:6">
      <c r="D7265" s="8"/>
      <c r="E7265" s="8"/>
      <c r="F7265" s="8"/>
    </row>
    <row r="7266" spans="4:6">
      <c r="D7266" s="8"/>
      <c r="E7266" s="8"/>
      <c r="F7266" s="8"/>
    </row>
    <row r="7267" spans="4:6">
      <c r="D7267" s="8"/>
      <c r="E7267" s="8"/>
      <c r="F7267" s="8"/>
    </row>
    <row r="7268" spans="4:6">
      <c r="D7268" s="8"/>
      <c r="E7268" s="8"/>
      <c r="F7268" s="8"/>
    </row>
    <row r="7269" spans="4:6">
      <c r="D7269" s="8"/>
      <c r="E7269" s="8"/>
      <c r="F7269" s="8"/>
    </row>
    <row r="7270" spans="4:6">
      <c r="D7270" s="8"/>
      <c r="E7270" s="8"/>
      <c r="F7270" s="8"/>
    </row>
    <row r="7271" spans="4:6">
      <c r="D7271" s="8"/>
      <c r="E7271" s="8"/>
      <c r="F7271" s="8"/>
    </row>
    <row r="7272" spans="4:6">
      <c r="D7272" s="8"/>
      <c r="E7272" s="8"/>
      <c r="F7272" s="8"/>
    </row>
    <row r="7273" spans="4:6">
      <c r="D7273" s="8"/>
      <c r="E7273" s="8"/>
      <c r="F7273" s="8"/>
    </row>
    <row r="7274" spans="4:6">
      <c r="D7274" s="8"/>
      <c r="E7274" s="8"/>
      <c r="F7274" s="8"/>
    </row>
    <row r="7275" spans="4:6">
      <c r="D7275" s="8"/>
      <c r="E7275" s="8"/>
      <c r="F7275" s="8"/>
    </row>
    <row r="7276" spans="4:6">
      <c r="D7276" s="8"/>
      <c r="E7276" s="8"/>
      <c r="F7276" s="8"/>
    </row>
    <row r="7277" spans="4:6">
      <c r="D7277" s="8"/>
      <c r="E7277" s="8"/>
      <c r="F7277" s="8"/>
    </row>
    <row r="7278" spans="4:6">
      <c r="D7278" s="8"/>
      <c r="E7278" s="8"/>
      <c r="F7278" s="8"/>
    </row>
    <row r="7279" spans="4:6">
      <c r="D7279" s="8"/>
      <c r="E7279" s="8"/>
      <c r="F7279" s="8"/>
    </row>
    <row r="7280" spans="4:6">
      <c r="D7280" s="8"/>
      <c r="E7280" s="8"/>
      <c r="F7280" s="8"/>
    </row>
    <row r="7281" spans="4:6">
      <c r="D7281" s="8"/>
      <c r="E7281" s="8"/>
      <c r="F7281" s="8"/>
    </row>
    <row r="7282" spans="4:6">
      <c r="D7282" s="8"/>
      <c r="E7282" s="8"/>
      <c r="F7282" s="8"/>
    </row>
    <row r="7283" spans="4:6">
      <c r="D7283" s="8"/>
      <c r="E7283" s="8"/>
      <c r="F7283" s="8"/>
    </row>
    <row r="7284" spans="4:6">
      <c r="D7284" s="8"/>
      <c r="E7284" s="8"/>
      <c r="F7284" s="8"/>
    </row>
    <row r="7285" spans="4:6">
      <c r="D7285" s="8"/>
      <c r="E7285" s="8"/>
      <c r="F7285" s="8"/>
    </row>
    <row r="7286" spans="4:6">
      <c r="D7286" s="8"/>
      <c r="E7286" s="8"/>
      <c r="F7286" s="8"/>
    </row>
    <row r="7287" spans="4:6">
      <c r="D7287" s="8"/>
      <c r="E7287" s="8"/>
      <c r="F7287" s="8"/>
    </row>
    <row r="7288" spans="4:6">
      <c r="D7288" s="8"/>
      <c r="E7288" s="8"/>
      <c r="F7288" s="8"/>
    </row>
    <row r="7289" spans="4:6">
      <c r="D7289" s="8"/>
      <c r="E7289" s="8"/>
      <c r="F7289" s="8"/>
    </row>
    <row r="7290" spans="4:6">
      <c r="D7290" s="8"/>
      <c r="E7290" s="8"/>
      <c r="F7290" s="8"/>
    </row>
    <row r="7291" spans="4:6">
      <c r="D7291" s="8"/>
      <c r="E7291" s="8"/>
      <c r="F7291" s="8"/>
    </row>
    <row r="7292" spans="4:6">
      <c r="D7292" s="8"/>
      <c r="E7292" s="8"/>
      <c r="F7292" s="8"/>
    </row>
    <row r="7293" spans="4:6">
      <c r="D7293" s="8"/>
      <c r="E7293" s="8"/>
      <c r="F7293" s="8"/>
    </row>
    <row r="7294" spans="4:6">
      <c r="D7294" s="8"/>
      <c r="E7294" s="8"/>
      <c r="F7294" s="8"/>
    </row>
    <row r="7295" spans="4:6">
      <c r="D7295" s="8"/>
      <c r="E7295" s="8"/>
      <c r="F7295" s="8"/>
    </row>
    <row r="7296" spans="4:6">
      <c r="D7296" s="8"/>
      <c r="E7296" s="8"/>
      <c r="F7296" s="8"/>
    </row>
    <row r="7297" spans="4:6">
      <c r="D7297" s="8"/>
      <c r="E7297" s="8"/>
      <c r="F7297" s="8"/>
    </row>
    <row r="7298" spans="4:6">
      <c r="D7298" s="8"/>
      <c r="E7298" s="8"/>
      <c r="F7298" s="8"/>
    </row>
    <row r="7299" spans="4:6">
      <c r="D7299" s="8"/>
      <c r="E7299" s="8"/>
      <c r="F7299" s="8"/>
    </row>
    <row r="7300" spans="4:6">
      <c r="D7300" s="8"/>
      <c r="E7300" s="8"/>
      <c r="F7300" s="8"/>
    </row>
    <row r="7301" spans="4:6">
      <c r="D7301" s="8"/>
      <c r="E7301" s="8"/>
      <c r="F7301" s="8"/>
    </row>
    <row r="7302" spans="4:6">
      <c r="D7302" s="8"/>
      <c r="E7302" s="8"/>
      <c r="F7302" s="8"/>
    </row>
    <row r="7303" spans="4:6">
      <c r="D7303" s="8"/>
      <c r="E7303" s="8"/>
      <c r="F7303" s="8"/>
    </row>
    <row r="7304" spans="4:6">
      <c r="D7304" s="8"/>
      <c r="E7304" s="8"/>
      <c r="F7304" s="8"/>
    </row>
    <row r="7305" spans="4:6">
      <c r="D7305" s="8"/>
      <c r="E7305" s="8"/>
      <c r="F7305" s="8"/>
    </row>
    <row r="7306" spans="4:6">
      <c r="D7306" s="8"/>
      <c r="E7306" s="8"/>
      <c r="F7306" s="8"/>
    </row>
    <row r="7307" spans="4:6">
      <c r="D7307" s="8"/>
      <c r="E7307" s="8"/>
      <c r="F7307" s="8"/>
    </row>
    <row r="7308" spans="4:6">
      <c r="D7308" s="8"/>
      <c r="E7308" s="8"/>
      <c r="F7308" s="8"/>
    </row>
    <row r="7309" spans="4:6">
      <c r="D7309" s="8"/>
      <c r="E7309" s="8"/>
      <c r="F7309" s="8"/>
    </row>
    <row r="7310" spans="4:6">
      <c r="D7310" s="8"/>
      <c r="E7310" s="8"/>
      <c r="F7310" s="8"/>
    </row>
    <row r="7311" spans="4:6">
      <c r="D7311" s="8"/>
      <c r="E7311" s="8"/>
      <c r="F7311" s="8"/>
    </row>
    <row r="7312" spans="4:6">
      <c r="D7312" s="8"/>
      <c r="E7312" s="8"/>
      <c r="F7312" s="8"/>
    </row>
    <row r="7313" spans="4:6">
      <c r="D7313" s="8"/>
      <c r="E7313" s="8"/>
      <c r="F7313" s="8"/>
    </row>
    <row r="7314" spans="4:6">
      <c r="D7314" s="8"/>
      <c r="E7314" s="8"/>
      <c r="F7314" s="8"/>
    </row>
    <row r="7315" spans="4:6">
      <c r="D7315" s="8"/>
      <c r="E7315" s="8"/>
      <c r="F7315" s="8"/>
    </row>
    <row r="7316" spans="4:6">
      <c r="D7316" s="8"/>
      <c r="E7316" s="8"/>
      <c r="F7316" s="8"/>
    </row>
    <row r="7317" spans="4:6">
      <c r="D7317" s="8"/>
      <c r="E7317" s="8"/>
      <c r="F7317" s="8"/>
    </row>
    <row r="7318" spans="4:6">
      <c r="D7318" s="8"/>
      <c r="E7318" s="8"/>
      <c r="F7318" s="8"/>
    </row>
    <row r="7319" spans="4:6">
      <c r="D7319" s="8"/>
      <c r="E7319" s="8"/>
      <c r="F7319" s="8"/>
    </row>
    <row r="7320" spans="4:6">
      <c r="D7320" s="8"/>
      <c r="E7320" s="8"/>
      <c r="F7320" s="8"/>
    </row>
    <row r="7321" spans="4:6">
      <c r="D7321" s="8"/>
      <c r="E7321" s="8"/>
      <c r="F7321" s="8"/>
    </row>
    <row r="7322" spans="4:6">
      <c r="D7322" s="8"/>
      <c r="E7322" s="8"/>
      <c r="F7322" s="8"/>
    </row>
    <row r="7323" spans="4:6">
      <c r="D7323" s="8"/>
      <c r="E7323" s="8"/>
      <c r="F7323" s="8"/>
    </row>
    <row r="7324" spans="4:6">
      <c r="D7324" s="8"/>
      <c r="E7324" s="8"/>
      <c r="F7324" s="8"/>
    </row>
    <row r="7325" spans="4:6">
      <c r="D7325" s="8"/>
      <c r="E7325" s="8"/>
      <c r="F7325" s="8"/>
    </row>
    <row r="7326" spans="4:6">
      <c r="D7326" s="8"/>
      <c r="E7326" s="8"/>
      <c r="F7326" s="8"/>
    </row>
    <row r="7327" spans="4:6">
      <c r="D7327" s="8"/>
      <c r="E7327" s="8"/>
      <c r="F7327" s="8"/>
    </row>
    <row r="7328" spans="4:6">
      <c r="D7328" s="8"/>
      <c r="E7328" s="8"/>
      <c r="F7328" s="8"/>
    </row>
    <row r="7329" spans="4:6">
      <c r="D7329" s="8"/>
      <c r="E7329" s="8"/>
      <c r="F7329" s="8"/>
    </row>
    <row r="7330" spans="4:6">
      <c r="D7330" s="8"/>
      <c r="E7330" s="8"/>
      <c r="F7330" s="8"/>
    </row>
    <row r="7331" spans="4:6">
      <c r="D7331" s="8"/>
      <c r="E7331" s="8"/>
      <c r="F7331" s="8"/>
    </row>
    <row r="7332" spans="4:6">
      <c r="D7332" s="8"/>
      <c r="E7332" s="8"/>
      <c r="F7332" s="8"/>
    </row>
    <row r="7333" spans="4:6">
      <c r="D7333" s="8"/>
      <c r="E7333" s="8"/>
      <c r="F7333" s="8"/>
    </row>
    <row r="7334" spans="4:6">
      <c r="D7334" s="8"/>
      <c r="E7334" s="8"/>
      <c r="F7334" s="8"/>
    </row>
    <row r="7335" spans="4:6">
      <c r="D7335" s="8"/>
      <c r="E7335" s="8"/>
      <c r="F7335" s="8"/>
    </row>
    <row r="7336" spans="4:6">
      <c r="D7336" s="8"/>
      <c r="E7336" s="8"/>
      <c r="F7336" s="8"/>
    </row>
    <row r="7337" spans="4:6">
      <c r="D7337" s="8"/>
      <c r="E7337" s="8"/>
      <c r="F7337" s="8"/>
    </row>
    <row r="7338" spans="4:6">
      <c r="D7338" s="8"/>
      <c r="E7338" s="8"/>
      <c r="F7338" s="8"/>
    </row>
    <row r="7339" spans="4:6">
      <c r="D7339" s="8"/>
      <c r="E7339" s="8"/>
      <c r="F7339" s="8"/>
    </row>
    <row r="7340" spans="4:6">
      <c r="D7340" s="8"/>
      <c r="E7340" s="8"/>
      <c r="F7340" s="8"/>
    </row>
    <row r="7341" spans="4:6">
      <c r="D7341" s="8"/>
      <c r="E7341" s="8"/>
      <c r="F7341" s="8"/>
    </row>
    <row r="7342" spans="4:6">
      <c r="D7342" s="8"/>
      <c r="E7342" s="8"/>
      <c r="F7342" s="8"/>
    </row>
    <row r="7343" spans="4:6">
      <c r="D7343" s="8"/>
      <c r="E7343" s="8"/>
      <c r="F7343" s="8"/>
    </row>
    <row r="7344" spans="4:6">
      <c r="D7344" s="8"/>
      <c r="E7344" s="8"/>
      <c r="F7344" s="8"/>
    </row>
    <row r="7345" spans="4:6">
      <c r="D7345" s="8"/>
      <c r="E7345" s="8"/>
      <c r="F7345" s="8"/>
    </row>
    <row r="7346" spans="4:6">
      <c r="D7346" s="8"/>
      <c r="E7346" s="8"/>
      <c r="F7346" s="8"/>
    </row>
    <row r="7347" spans="4:6">
      <c r="D7347" s="8"/>
      <c r="E7347" s="8"/>
      <c r="F7347" s="8"/>
    </row>
    <row r="7348" spans="4:6">
      <c r="D7348" s="8"/>
      <c r="E7348" s="8"/>
      <c r="F7348" s="8"/>
    </row>
    <row r="7349" spans="4:6">
      <c r="D7349" s="8"/>
      <c r="E7349" s="8"/>
      <c r="F7349" s="8"/>
    </row>
    <row r="7350" spans="4:6">
      <c r="D7350" s="8"/>
      <c r="E7350" s="8"/>
      <c r="F7350" s="8"/>
    </row>
    <row r="7351" spans="4:6">
      <c r="D7351" s="8"/>
      <c r="E7351" s="8"/>
      <c r="F7351" s="8"/>
    </row>
    <row r="7352" spans="4:6">
      <c r="D7352" s="8"/>
      <c r="E7352" s="8"/>
      <c r="F7352" s="8"/>
    </row>
    <row r="7353" spans="4:6">
      <c r="D7353" s="8"/>
      <c r="E7353" s="8"/>
      <c r="F7353" s="8"/>
    </row>
    <row r="7354" spans="4:6">
      <c r="D7354" s="8"/>
      <c r="E7354" s="8"/>
      <c r="F7354" s="8"/>
    </row>
    <row r="7355" spans="4:6">
      <c r="D7355" s="8"/>
      <c r="E7355" s="8"/>
      <c r="F7355" s="8"/>
    </row>
    <row r="7356" spans="4:6">
      <c r="D7356" s="8"/>
      <c r="E7356" s="8"/>
      <c r="F7356" s="8"/>
    </row>
    <row r="7357" spans="4:6">
      <c r="D7357" s="8"/>
      <c r="E7357" s="8"/>
      <c r="F7357" s="8"/>
    </row>
    <row r="7358" spans="4:6">
      <c r="D7358" s="8"/>
      <c r="E7358" s="8"/>
      <c r="F7358" s="8"/>
    </row>
    <row r="7359" spans="4:6">
      <c r="D7359" s="8"/>
      <c r="E7359" s="8"/>
      <c r="F7359" s="8"/>
    </row>
    <row r="7360" spans="4:6">
      <c r="D7360" s="8"/>
      <c r="E7360" s="8"/>
      <c r="F7360" s="8"/>
    </row>
    <row r="7361" spans="4:6">
      <c r="D7361" s="8"/>
      <c r="E7361" s="8"/>
      <c r="F7361" s="8"/>
    </row>
    <row r="7362" spans="4:6">
      <c r="D7362" s="8"/>
      <c r="E7362" s="8"/>
      <c r="F7362" s="8"/>
    </row>
    <row r="7363" spans="4:6">
      <c r="D7363" s="8"/>
      <c r="E7363" s="8"/>
      <c r="F7363" s="8"/>
    </row>
    <row r="7364" spans="4:6">
      <c r="D7364" s="8"/>
      <c r="E7364" s="8"/>
      <c r="F7364" s="8"/>
    </row>
    <row r="7365" spans="4:6">
      <c r="D7365" s="8"/>
      <c r="E7365" s="8"/>
      <c r="F7365" s="8"/>
    </row>
    <row r="7366" spans="4:6">
      <c r="D7366" s="8"/>
      <c r="E7366" s="8"/>
      <c r="F7366" s="8"/>
    </row>
    <row r="7367" spans="4:6">
      <c r="D7367" s="8"/>
      <c r="E7367" s="8"/>
      <c r="F7367" s="8"/>
    </row>
    <row r="7368" spans="4:6">
      <c r="D7368" s="8"/>
      <c r="E7368" s="8"/>
      <c r="F7368" s="8"/>
    </row>
    <row r="7369" spans="4:6">
      <c r="D7369" s="8"/>
      <c r="E7369" s="8"/>
      <c r="F7369" s="8"/>
    </row>
    <row r="7370" spans="4:6">
      <c r="D7370" s="8"/>
      <c r="E7370" s="8"/>
      <c r="F7370" s="8"/>
    </row>
    <row r="7371" spans="4:6">
      <c r="D7371" s="8"/>
      <c r="E7371" s="8"/>
      <c r="F7371" s="8"/>
    </row>
    <row r="7372" spans="4:6">
      <c r="D7372" s="8"/>
      <c r="E7372" s="8"/>
      <c r="F7372" s="8"/>
    </row>
    <row r="7373" spans="4:6">
      <c r="D7373" s="8"/>
      <c r="E7373" s="8"/>
      <c r="F7373" s="8"/>
    </row>
    <row r="7374" spans="4:6">
      <c r="D7374" s="8"/>
      <c r="E7374" s="8"/>
      <c r="F7374" s="8"/>
    </row>
    <row r="7375" spans="4:6">
      <c r="D7375" s="8"/>
      <c r="E7375" s="8"/>
      <c r="F7375" s="8"/>
    </row>
    <row r="7376" spans="4:6">
      <c r="D7376" s="8"/>
      <c r="E7376" s="8"/>
      <c r="F7376" s="8"/>
    </row>
    <row r="7377" spans="4:6">
      <c r="D7377" s="8"/>
      <c r="E7377" s="8"/>
      <c r="F7377" s="8"/>
    </row>
    <row r="7378" spans="4:6">
      <c r="D7378" s="8"/>
      <c r="E7378" s="8"/>
      <c r="F7378" s="8"/>
    </row>
    <row r="7379" spans="4:6">
      <c r="D7379" s="8"/>
      <c r="E7379" s="8"/>
      <c r="F7379" s="8"/>
    </row>
    <row r="7380" spans="4:6">
      <c r="D7380" s="8"/>
      <c r="E7380" s="8"/>
      <c r="F7380" s="8"/>
    </row>
    <row r="7381" spans="4:6">
      <c r="D7381" s="8"/>
      <c r="E7381" s="8"/>
      <c r="F7381" s="8"/>
    </row>
    <row r="7382" spans="4:6">
      <c r="D7382" s="8"/>
      <c r="E7382" s="8"/>
      <c r="F7382" s="8"/>
    </row>
    <row r="7383" spans="4:6">
      <c r="D7383" s="8"/>
      <c r="E7383" s="8"/>
      <c r="F7383" s="8"/>
    </row>
    <row r="7384" spans="4:6">
      <c r="D7384" s="8"/>
      <c r="E7384" s="8"/>
      <c r="F7384" s="8"/>
    </row>
    <row r="7385" spans="4:6">
      <c r="D7385" s="8"/>
      <c r="E7385" s="8"/>
      <c r="F7385" s="8"/>
    </row>
    <row r="7386" spans="4:6">
      <c r="D7386" s="8"/>
      <c r="E7386" s="8"/>
      <c r="F7386" s="8"/>
    </row>
    <row r="7387" spans="4:6">
      <c r="D7387" s="8"/>
      <c r="E7387" s="8"/>
      <c r="F7387" s="8"/>
    </row>
    <row r="7388" spans="4:6">
      <c r="D7388" s="8"/>
      <c r="E7388" s="8"/>
      <c r="F7388" s="8"/>
    </row>
    <row r="7389" spans="4:6">
      <c r="D7389" s="8"/>
      <c r="E7389" s="8"/>
      <c r="F7389" s="8"/>
    </row>
    <row r="7390" spans="4:6">
      <c r="D7390" s="8"/>
      <c r="E7390" s="8"/>
      <c r="F7390" s="8"/>
    </row>
    <row r="7391" spans="4:6">
      <c r="D7391" s="8"/>
      <c r="E7391" s="8"/>
      <c r="F7391" s="8"/>
    </row>
    <row r="7392" spans="4:6">
      <c r="D7392" s="8"/>
      <c r="E7392" s="8"/>
      <c r="F7392" s="8"/>
    </row>
    <row r="7393" spans="4:6">
      <c r="D7393" s="8"/>
      <c r="E7393" s="8"/>
      <c r="F7393" s="8"/>
    </row>
    <row r="7394" spans="4:6">
      <c r="D7394" s="8"/>
      <c r="E7394" s="8"/>
      <c r="F7394" s="8"/>
    </row>
    <row r="7395" spans="4:6">
      <c r="D7395" s="8"/>
      <c r="E7395" s="8"/>
      <c r="F7395" s="8"/>
    </row>
    <row r="7396" spans="4:6">
      <c r="D7396" s="8"/>
      <c r="E7396" s="8"/>
      <c r="F7396" s="8"/>
    </row>
    <row r="7397" spans="4:6">
      <c r="D7397" s="8"/>
      <c r="E7397" s="8"/>
      <c r="F7397" s="8"/>
    </row>
    <row r="7398" spans="4:6">
      <c r="D7398" s="8"/>
      <c r="E7398" s="8"/>
      <c r="F7398" s="8"/>
    </row>
    <row r="7399" spans="4:6">
      <c r="D7399" s="8"/>
      <c r="E7399" s="8"/>
      <c r="F7399" s="8"/>
    </row>
    <row r="7400" spans="4:6">
      <c r="D7400" s="8"/>
      <c r="E7400" s="8"/>
      <c r="F7400" s="8"/>
    </row>
    <row r="7401" spans="4:6">
      <c r="D7401" s="8"/>
      <c r="E7401" s="8"/>
      <c r="F7401" s="8"/>
    </row>
    <row r="7402" spans="4:6">
      <c r="D7402" s="8"/>
      <c r="E7402" s="8"/>
      <c r="F7402" s="8"/>
    </row>
    <row r="7403" spans="4:6">
      <c r="D7403" s="8"/>
      <c r="E7403" s="8"/>
      <c r="F7403" s="8"/>
    </row>
    <row r="7404" spans="4:6">
      <c r="D7404" s="8"/>
      <c r="E7404" s="8"/>
      <c r="F7404" s="8"/>
    </row>
    <row r="7405" spans="4:6">
      <c r="D7405" s="8"/>
      <c r="E7405" s="8"/>
      <c r="F7405" s="8"/>
    </row>
    <row r="7406" spans="4:6">
      <c r="D7406" s="8"/>
      <c r="E7406" s="8"/>
      <c r="F7406" s="8"/>
    </row>
    <row r="7407" spans="4:6">
      <c r="D7407" s="8"/>
      <c r="E7407" s="8"/>
      <c r="F7407" s="8"/>
    </row>
    <row r="7408" spans="4:6">
      <c r="D7408" s="8"/>
      <c r="E7408" s="8"/>
      <c r="F7408" s="8"/>
    </row>
    <row r="7409" spans="4:6">
      <c r="D7409" s="8"/>
      <c r="E7409" s="8"/>
      <c r="F7409" s="8"/>
    </row>
    <row r="7410" spans="4:6">
      <c r="D7410" s="8"/>
      <c r="E7410" s="8"/>
      <c r="F7410" s="8"/>
    </row>
    <row r="7411" spans="4:6">
      <c r="D7411" s="8"/>
      <c r="E7411" s="8"/>
      <c r="F7411" s="8"/>
    </row>
    <row r="7412" spans="4:6">
      <c r="D7412" s="8"/>
      <c r="E7412" s="8"/>
      <c r="F7412" s="8"/>
    </row>
    <row r="7413" spans="4:6">
      <c r="D7413" s="8"/>
      <c r="E7413" s="8"/>
      <c r="F7413" s="8"/>
    </row>
    <row r="7414" spans="4:6">
      <c r="D7414" s="8"/>
      <c r="E7414" s="8"/>
      <c r="F7414" s="8"/>
    </row>
    <row r="7415" spans="4:6">
      <c r="D7415" s="8"/>
      <c r="E7415" s="8"/>
      <c r="F7415" s="8"/>
    </row>
    <row r="7416" spans="4:6">
      <c r="D7416" s="8"/>
      <c r="E7416" s="8"/>
      <c r="F7416" s="8"/>
    </row>
    <row r="7417" spans="4:6">
      <c r="D7417" s="8"/>
      <c r="E7417" s="8"/>
      <c r="F7417" s="8"/>
    </row>
    <row r="7418" spans="4:6">
      <c r="D7418" s="8"/>
      <c r="E7418" s="8"/>
      <c r="F7418" s="8"/>
    </row>
    <row r="7419" spans="4:6">
      <c r="D7419" s="8"/>
      <c r="E7419" s="8"/>
      <c r="F7419" s="8"/>
    </row>
    <row r="7420" spans="4:6">
      <c r="D7420" s="8"/>
      <c r="E7420" s="8"/>
      <c r="F7420" s="8"/>
    </row>
    <row r="7421" spans="4:6">
      <c r="D7421" s="8"/>
      <c r="E7421" s="8"/>
      <c r="F7421" s="8"/>
    </row>
    <row r="7422" spans="4:6">
      <c r="D7422" s="8"/>
      <c r="E7422" s="8"/>
      <c r="F7422" s="8"/>
    </row>
    <row r="7423" spans="4:6">
      <c r="D7423" s="8"/>
      <c r="E7423" s="8"/>
      <c r="F7423" s="8"/>
    </row>
    <row r="7424" spans="4:6">
      <c r="D7424" s="8"/>
      <c r="E7424" s="8"/>
      <c r="F7424" s="8"/>
    </row>
    <row r="7425" spans="4:6">
      <c r="D7425" s="8"/>
      <c r="E7425" s="8"/>
      <c r="F7425" s="8"/>
    </row>
    <row r="7426" spans="4:6">
      <c r="D7426" s="8"/>
      <c r="E7426" s="8"/>
      <c r="F7426" s="8"/>
    </row>
    <row r="7427" spans="4:6">
      <c r="D7427" s="8"/>
      <c r="E7427" s="8"/>
      <c r="F7427" s="8"/>
    </row>
    <row r="7428" spans="4:6">
      <c r="D7428" s="8"/>
      <c r="E7428" s="8"/>
      <c r="F7428" s="8"/>
    </row>
    <row r="7429" spans="4:6">
      <c r="D7429" s="8"/>
      <c r="E7429" s="8"/>
      <c r="F7429" s="8"/>
    </row>
    <row r="7430" spans="4:6">
      <c r="D7430" s="8"/>
      <c r="E7430" s="8"/>
      <c r="F7430" s="8"/>
    </row>
    <row r="7431" spans="4:6">
      <c r="D7431" s="8"/>
      <c r="E7431" s="8"/>
      <c r="F7431" s="8"/>
    </row>
    <row r="7432" spans="4:6">
      <c r="D7432" s="8"/>
      <c r="E7432" s="8"/>
      <c r="F7432" s="8"/>
    </row>
    <row r="7433" spans="4:6">
      <c r="D7433" s="8"/>
      <c r="E7433" s="8"/>
      <c r="F7433" s="8"/>
    </row>
    <row r="7434" spans="4:6">
      <c r="D7434" s="8"/>
      <c r="E7434" s="8"/>
      <c r="F7434" s="8"/>
    </row>
    <row r="7435" spans="4:6">
      <c r="D7435" s="8"/>
      <c r="E7435" s="8"/>
      <c r="F7435" s="8"/>
    </row>
    <row r="7436" spans="4:6">
      <c r="D7436" s="8"/>
      <c r="E7436" s="8"/>
      <c r="F7436" s="8"/>
    </row>
    <row r="7437" spans="4:6">
      <c r="D7437" s="8"/>
      <c r="E7437" s="8"/>
      <c r="F7437" s="8"/>
    </row>
    <row r="7438" spans="4:6">
      <c r="D7438" s="8"/>
      <c r="E7438" s="8"/>
      <c r="F7438" s="8"/>
    </row>
    <row r="7439" spans="4:6">
      <c r="D7439" s="8"/>
      <c r="E7439" s="8"/>
      <c r="F7439" s="8"/>
    </row>
    <row r="7440" spans="4:6">
      <c r="D7440" s="8"/>
      <c r="E7440" s="8"/>
      <c r="F7440" s="8"/>
    </row>
    <row r="7441" spans="4:6">
      <c r="D7441" s="8"/>
      <c r="E7441" s="8"/>
      <c r="F7441" s="8"/>
    </row>
    <row r="7442" spans="4:6">
      <c r="D7442" s="8"/>
      <c r="E7442" s="8"/>
      <c r="F7442" s="8"/>
    </row>
    <row r="7443" spans="4:6">
      <c r="D7443" s="8"/>
      <c r="E7443" s="8"/>
      <c r="F7443" s="8"/>
    </row>
    <row r="7444" spans="4:6">
      <c r="D7444" s="8"/>
      <c r="E7444" s="8"/>
      <c r="F7444" s="8"/>
    </row>
    <row r="7445" spans="4:6">
      <c r="D7445" s="8"/>
      <c r="E7445" s="8"/>
      <c r="F7445" s="8"/>
    </row>
    <row r="7446" spans="4:6">
      <c r="D7446" s="8"/>
      <c r="E7446" s="8"/>
      <c r="F7446" s="8"/>
    </row>
    <row r="7447" spans="4:6">
      <c r="D7447" s="8"/>
      <c r="E7447" s="8"/>
      <c r="F7447" s="8"/>
    </row>
    <row r="7448" spans="4:6">
      <c r="D7448" s="8"/>
      <c r="E7448" s="8"/>
      <c r="F7448" s="8"/>
    </row>
    <row r="7449" spans="4:6">
      <c r="D7449" s="8"/>
      <c r="E7449" s="8"/>
      <c r="F7449" s="8"/>
    </row>
    <row r="7450" spans="4:6">
      <c r="D7450" s="8"/>
      <c r="E7450" s="8"/>
      <c r="F7450" s="8"/>
    </row>
    <row r="7451" spans="4:6">
      <c r="D7451" s="8"/>
      <c r="E7451" s="8"/>
      <c r="F7451" s="8"/>
    </row>
    <row r="7452" spans="4:6">
      <c r="D7452" s="8"/>
      <c r="E7452" s="8"/>
      <c r="F7452" s="8"/>
    </row>
    <row r="7453" spans="4:6">
      <c r="D7453" s="8"/>
      <c r="E7453" s="8"/>
      <c r="F7453" s="8"/>
    </row>
    <row r="7454" spans="4:6">
      <c r="D7454" s="8"/>
      <c r="E7454" s="8"/>
      <c r="F7454" s="8"/>
    </row>
    <row r="7455" spans="4:6">
      <c r="D7455" s="8"/>
      <c r="E7455" s="8"/>
      <c r="F7455" s="8"/>
    </row>
    <row r="7456" spans="4:6">
      <c r="D7456" s="8"/>
      <c r="E7456" s="8"/>
      <c r="F7456" s="8"/>
    </row>
    <row r="7457" spans="4:6">
      <c r="D7457" s="8"/>
      <c r="E7457" s="8"/>
      <c r="F7457" s="8"/>
    </row>
    <row r="7458" spans="4:6">
      <c r="D7458" s="8"/>
      <c r="E7458" s="8"/>
      <c r="F7458" s="8"/>
    </row>
    <row r="7459" spans="4:6">
      <c r="D7459" s="8"/>
      <c r="E7459" s="8"/>
      <c r="F7459" s="8"/>
    </row>
    <row r="7460" spans="4:6">
      <c r="D7460" s="8"/>
      <c r="E7460" s="8"/>
      <c r="F7460" s="8"/>
    </row>
    <row r="7461" spans="4:6">
      <c r="D7461" s="8"/>
      <c r="E7461" s="8"/>
      <c r="F7461" s="8"/>
    </row>
    <row r="7462" spans="4:6">
      <c r="D7462" s="8"/>
      <c r="E7462" s="8"/>
      <c r="F7462" s="8"/>
    </row>
    <row r="7463" spans="4:6">
      <c r="D7463" s="8"/>
      <c r="E7463" s="8"/>
      <c r="F7463" s="8"/>
    </row>
    <row r="7464" spans="4:6">
      <c r="D7464" s="8"/>
      <c r="E7464" s="8"/>
      <c r="F7464" s="8"/>
    </row>
    <row r="7465" spans="4:6">
      <c r="D7465" s="8"/>
      <c r="E7465" s="8"/>
      <c r="F7465" s="8"/>
    </row>
    <row r="7466" spans="4:6">
      <c r="D7466" s="8"/>
      <c r="E7466" s="8"/>
      <c r="F7466" s="8"/>
    </row>
    <row r="7467" spans="4:6">
      <c r="D7467" s="8"/>
      <c r="E7467" s="8"/>
      <c r="F7467" s="8"/>
    </row>
    <row r="7468" spans="4:6">
      <c r="D7468" s="8"/>
      <c r="E7468" s="8"/>
      <c r="F7468" s="8"/>
    </row>
    <row r="7469" spans="4:6">
      <c r="D7469" s="8"/>
      <c r="E7469" s="8"/>
      <c r="F7469" s="8"/>
    </row>
    <row r="7470" spans="4:6">
      <c r="D7470" s="8"/>
      <c r="E7470" s="8"/>
      <c r="F7470" s="8"/>
    </row>
    <row r="7471" spans="4:6">
      <c r="D7471" s="8"/>
      <c r="E7471" s="8"/>
      <c r="F7471" s="8"/>
    </row>
    <row r="7472" spans="4:6">
      <c r="D7472" s="8"/>
      <c r="E7472" s="8"/>
      <c r="F7472" s="8"/>
    </row>
    <row r="7473" spans="4:6">
      <c r="D7473" s="8"/>
      <c r="E7473" s="8"/>
      <c r="F7473" s="8"/>
    </row>
    <row r="7474" spans="4:6">
      <c r="D7474" s="8"/>
      <c r="E7474" s="8"/>
      <c r="F7474" s="8"/>
    </row>
    <row r="7475" spans="4:6">
      <c r="D7475" s="8"/>
      <c r="E7475" s="8"/>
      <c r="F7475" s="8"/>
    </row>
    <row r="7476" spans="4:6">
      <c r="D7476" s="8"/>
      <c r="E7476" s="8"/>
      <c r="F7476" s="8"/>
    </row>
    <row r="7477" spans="4:6">
      <c r="D7477" s="8"/>
      <c r="E7477" s="8"/>
      <c r="F7477" s="8"/>
    </row>
    <row r="7478" spans="4:6">
      <c r="D7478" s="8"/>
      <c r="E7478" s="8"/>
      <c r="F7478" s="8"/>
    </row>
    <row r="7479" spans="4:6">
      <c r="D7479" s="8"/>
      <c r="E7479" s="8"/>
      <c r="F7479" s="8"/>
    </row>
    <row r="7480" spans="4:6">
      <c r="D7480" s="8"/>
      <c r="E7480" s="8"/>
      <c r="F7480" s="8"/>
    </row>
    <row r="7481" spans="4:6">
      <c r="D7481" s="8"/>
      <c r="E7481" s="8"/>
      <c r="F7481" s="8"/>
    </row>
    <row r="7482" spans="4:6">
      <c r="D7482" s="8"/>
      <c r="E7482" s="8"/>
      <c r="F7482" s="8"/>
    </row>
    <row r="7483" spans="4:6">
      <c r="D7483" s="8"/>
      <c r="E7483" s="8"/>
      <c r="F7483" s="8"/>
    </row>
    <row r="7484" spans="4:6">
      <c r="D7484" s="8"/>
      <c r="E7484" s="8"/>
      <c r="F7484" s="8"/>
    </row>
    <row r="7485" spans="4:6">
      <c r="D7485" s="8"/>
      <c r="E7485" s="8"/>
      <c r="F7485" s="8"/>
    </row>
    <row r="7486" spans="4:6">
      <c r="D7486" s="8"/>
      <c r="E7486" s="8"/>
      <c r="F7486" s="8"/>
    </row>
    <row r="7487" spans="4:6">
      <c r="D7487" s="8"/>
      <c r="E7487" s="8"/>
      <c r="F7487" s="8"/>
    </row>
    <row r="7488" spans="4:6">
      <c r="D7488" s="8"/>
      <c r="E7488" s="8"/>
      <c r="F7488" s="8"/>
    </row>
    <row r="7489" spans="4:6">
      <c r="D7489" s="8"/>
      <c r="E7489" s="8"/>
      <c r="F7489" s="8"/>
    </row>
    <row r="7490" spans="4:6">
      <c r="D7490" s="8"/>
      <c r="E7490" s="8"/>
      <c r="F7490" s="8"/>
    </row>
    <row r="7491" spans="4:6">
      <c r="D7491" s="8"/>
      <c r="E7491" s="8"/>
      <c r="F7491" s="8"/>
    </row>
    <row r="7492" spans="4:6">
      <c r="D7492" s="8"/>
      <c r="E7492" s="8"/>
      <c r="F7492" s="8"/>
    </row>
    <row r="7493" spans="4:6">
      <c r="D7493" s="8"/>
      <c r="E7493" s="8"/>
      <c r="F7493" s="8"/>
    </row>
    <row r="7494" spans="4:6">
      <c r="D7494" s="8"/>
      <c r="E7494" s="8"/>
      <c r="F7494" s="8"/>
    </row>
    <row r="7495" spans="4:6">
      <c r="D7495" s="8"/>
      <c r="E7495" s="8"/>
      <c r="F7495" s="8"/>
    </row>
    <row r="7496" spans="4:6">
      <c r="D7496" s="8"/>
      <c r="E7496" s="8"/>
      <c r="F7496" s="8"/>
    </row>
    <row r="7497" spans="4:6">
      <c r="D7497" s="8"/>
      <c r="E7497" s="8"/>
      <c r="F7497" s="8"/>
    </row>
    <row r="7498" spans="4:6">
      <c r="D7498" s="8"/>
      <c r="E7498" s="8"/>
      <c r="F7498" s="8"/>
    </row>
    <row r="7499" spans="4:6">
      <c r="D7499" s="8"/>
      <c r="E7499" s="8"/>
      <c r="F7499" s="8"/>
    </row>
    <row r="7500" spans="4:6">
      <c r="D7500" s="8"/>
      <c r="E7500" s="8"/>
      <c r="F7500" s="8"/>
    </row>
    <row r="7501" spans="4:6">
      <c r="D7501" s="8"/>
      <c r="E7501" s="8"/>
      <c r="F7501" s="8"/>
    </row>
    <row r="7502" spans="4:6">
      <c r="D7502" s="8"/>
      <c r="E7502" s="8"/>
      <c r="F7502" s="8"/>
    </row>
    <row r="7503" spans="4:6">
      <c r="D7503" s="8"/>
      <c r="E7503" s="8"/>
      <c r="F7503" s="8"/>
    </row>
    <row r="7504" spans="4:6">
      <c r="D7504" s="8"/>
      <c r="E7504" s="8"/>
      <c r="F7504" s="8"/>
    </row>
    <row r="7505" spans="4:6">
      <c r="D7505" s="8"/>
      <c r="E7505" s="8"/>
      <c r="F7505" s="8"/>
    </row>
    <row r="7506" spans="4:6">
      <c r="D7506" s="8"/>
      <c r="E7506" s="8"/>
      <c r="F7506" s="8"/>
    </row>
    <row r="7507" spans="4:6">
      <c r="D7507" s="8"/>
      <c r="E7507" s="8"/>
      <c r="F7507" s="8"/>
    </row>
    <row r="7508" spans="4:6">
      <c r="D7508" s="8"/>
      <c r="E7508" s="8"/>
      <c r="F7508" s="8"/>
    </row>
    <row r="7509" spans="4:6">
      <c r="D7509" s="8"/>
      <c r="E7509" s="8"/>
      <c r="F7509" s="8"/>
    </row>
    <row r="7510" spans="4:6">
      <c r="D7510" s="8"/>
      <c r="E7510" s="8"/>
      <c r="F7510" s="8"/>
    </row>
    <row r="7511" spans="4:6">
      <c r="D7511" s="8"/>
      <c r="E7511" s="8"/>
      <c r="F7511" s="8"/>
    </row>
    <row r="7512" spans="4:6">
      <c r="D7512" s="8"/>
      <c r="E7512" s="8"/>
      <c r="F7512" s="8"/>
    </row>
    <row r="7513" spans="4:6">
      <c r="D7513" s="8"/>
      <c r="E7513" s="8"/>
      <c r="F7513" s="8"/>
    </row>
    <row r="7514" spans="4:6">
      <c r="D7514" s="8"/>
      <c r="E7514" s="8"/>
      <c r="F7514" s="8"/>
    </row>
    <row r="7515" spans="4:6">
      <c r="D7515" s="8"/>
      <c r="E7515" s="8"/>
      <c r="F7515" s="8"/>
    </row>
    <row r="7516" spans="4:6">
      <c r="D7516" s="8"/>
      <c r="E7516" s="8"/>
      <c r="F7516" s="8"/>
    </row>
    <row r="7517" spans="4:6">
      <c r="D7517" s="8"/>
      <c r="E7517" s="8"/>
      <c r="F7517" s="8"/>
    </row>
    <row r="7518" spans="4:6">
      <c r="D7518" s="8"/>
      <c r="E7518" s="8"/>
      <c r="F7518" s="8"/>
    </row>
    <row r="7519" spans="4:6">
      <c r="D7519" s="8"/>
      <c r="E7519" s="8"/>
      <c r="F7519" s="8"/>
    </row>
    <row r="7520" spans="4:6">
      <c r="D7520" s="8"/>
      <c r="E7520" s="8"/>
      <c r="F7520" s="8"/>
    </row>
    <row r="7521" spans="4:6">
      <c r="D7521" s="8"/>
      <c r="E7521" s="8"/>
      <c r="F7521" s="8"/>
    </row>
    <row r="7522" spans="4:6">
      <c r="D7522" s="8"/>
      <c r="E7522" s="8"/>
      <c r="F7522" s="8"/>
    </row>
    <row r="7523" spans="4:6">
      <c r="D7523" s="8"/>
      <c r="E7523" s="8"/>
      <c r="F7523" s="8"/>
    </row>
    <row r="7524" spans="4:6">
      <c r="D7524" s="8"/>
      <c r="E7524" s="8"/>
      <c r="F7524" s="8"/>
    </row>
    <row r="7525" spans="4:6">
      <c r="D7525" s="8"/>
      <c r="E7525" s="8"/>
      <c r="F7525" s="8"/>
    </row>
    <row r="7526" spans="4:6">
      <c r="D7526" s="8"/>
      <c r="E7526" s="8"/>
      <c r="F7526" s="8"/>
    </row>
    <row r="7527" spans="4:6">
      <c r="D7527" s="8"/>
      <c r="E7527" s="8"/>
      <c r="F7527" s="8"/>
    </row>
    <row r="7528" spans="4:6">
      <c r="D7528" s="8"/>
      <c r="E7528" s="8"/>
      <c r="F7528" s="8"/>
    </row>
    <row r="7529" spans="4:6">
      <c r="D7529" s="8"/>
      <c r="E7529" s="8"/>
      <c r="F7529" s="8"/>
    </row>
    <row r="7530" spans="4:6">
      <c r="D7530" s="8"/>
      <c r="E7530" s="8"/>
      <c r="F7530" s="8"/>
    </row>
    <row r="7531" spans="4:6">
      <c r="D7531" s="8"/>
      <c r="E7531" s="8"/>
      <c r="F7531" s="8"/>
    </row>
    <row r="7532" spans="4:6">
      <c r="D7532" s="8"/>
      <c r="E7532" s="8"/>
      <c r="F7532" s="8"/>
    </row>
    <row r="7533" spans="4:6">
      <c r="D7533" s="8"/>
      <c r="E7533" s="8"/>
      <c r="F7533" s="8"/>
    </row>
    <row r="7534" spans="4:6">
      <c r="D7534" s="8"/>
      <c r="E7534" s="8"/>
      <c r="F7534" s="8"/>
    </row>
    <row r="7535" spans="4:6">
      <c r="D7535" s="8"/>
      <c r="E7535" s="8"/>
      <c r="F7535" s="8"/>
    </row>
    <row r="7536" spans="4:6">
      <c r="D7536" s="8"/>
      <c r="E7536" s="8"/>
      <c r="F7536" s="8"/>
    </row>
    <row r="7537" spans="4:6">
      <c r="D7537" s="8"/>
      <c r="E7537" s="8"/>
      <c r="F7537" s="8"/>
    </row>
    <row r="7538" spans="4:6">
      <c r="D7538" s="8"/>
      <c r="E7538" s="8"/>
      <c r="F7538" s="8"/>
    </row>
    <row r="7539" spans="4:6">
      <c r="D7539" s="8"/>
      <c r="E7539" s="8"/>
      <c r="F7539" s="8"/>
    </row>
    <row r="7540" spans="4:6">
      <c r="D7540" s="8"/>
      <c r="E7540" s="8"/>
      <c r="F7540" s="8"/>
    </row>
    <row r="7541" spans="4:6">
      <c r="D7541" s="8"/>
      <c r="E7541" s="8"/>
      <c r="F7541" s="8"/>
    </row>
    <row r="7542" spans="4:6">
      <c r="D7542" s="8"/>
      <c r="E7542" s="8"/>
      <c r="F7542" s="8"/>
    </row>
    <row r="7543" spans="4:6">
      <c r="D7543" s="8"/>
      <c r="E7543" s="8"/>
      <c r="F7543" s="8"/>
    </row>
    <row r="7544" spans="4:6">
      <c r="D7544" s="8"/>
      <c r="E7544" s="8"/>
      <c r="F7544" s="8"/>
    </row>
    <row r="7545" spans="4:6">
      <c r="D7545" s="8"/>
      <c r="E7545" s="8"/>
      <c r="F7545" s="8"/>
    </row>
    <row r="7546" spans="4:6">
      <c r="D7546" s="8"/>
      <c r="E7546" s="8"/>
      <c r="F7546" s="8"/>
    </row>
    <row r="7547" spans="4:6">
      <c r="D7547" s="8"/>
      <c r="E7547" s="8"/>
      <c r="F7547" s="8"/>
    </row>
    <row r="7548" spans="4:6">
      <c r="D7548" s="8"/>
      <c r="E7548" s="8"/>
      <c r="F7548" s="8"/>
    </row>
    <row r="7549" spans="4:6">
      <c r="D7549" s="8"/>
      <c r="E7549" s="8"/>
      <c r="F7549" s="8"/>
    </row>
    <row r="7550" spans="4:6">
      <c r="D7550" s="8"/>
      <c r="E7550" s="8"/>
      <c r="F7550" s="8"/>
    </row>
    <row r="7551" spans="4:6">
      <c r="D7551" s="8"/>
      <c r="E7551" s="8"/>
      <c r="F7551" s="8"/>
    </row>
    <row r="7552" spans="4:6">
      <c r="D7552" s="8"/>
      <c r="E7552" s="8"/>
      <c r="F7552" s="8"/>
    </row>
    <row r="7553" spans="4:6">
      <c r="D7553" s="8"/>
      <c r="E7553" s="8"/>
      <c r="F7553" s="8"/>
    </row>
    <row r="7554" spans="4:6">
      <c r="D7554" s="8"/>
      <c r="E7554" s="8"/>
      <c r="F7554" s="8"/>
    </row>
    <row r="7555" spans="4:6">
      <c r="D7555" s="8"/>
      <c r="E7555" s="8"/>
      <c r="F7555" s="8"/>
    </row>
    <row r="7556" spans="4:6">
      <c r="D7556" s="8"/>
      <c r="E7556" s="8"/>
      <c r="F7556" s="8"/>
    </row>
    <row r="7557" spans="4:6">
      <c r="D7557" s="8"/>
      <c r="E7557" s="8"/>
      <c r="F7557" s="8"/>
    </row>
    <row r="7558" spans="4:6">
      <c r="D7558" s="8"/>
      <c r="E7558" s="8"/>
      <c r="F7558" s="8"/>
    </row>
    <row r="7559" spans="4:6">
      <c r="D7559" s="8"/>
      <c r="E7559" s="8"/>
      <c r="F7559" s="8"/>
    </row>
    <row r="7560" spans="4:6">
      <c r="D7560" s="8"/>
      <c r="E7560" s="8"/>
      <c r="F7560" s="8"/>
    </row>
    <row r="7561" spans="4:6">
      <c r="D7561" s="8"/>
      <c r="E7561" s="8"/>
      <c r="F7561" s="8"/>
    </row>
    <row r="7562" spans="4:6">
      <c r="D7562" s="8"/>
      <c r="E7562" s="8"/>
      <c r="F7562" s="8"/>
    </row>
    <row r="7563" spans="4:6">
      <c r="D7563" s="8"/>
      <c r="E7563" s="8"/>
      <c r="F7563" s="8"/>
    </row>
    <row r="7564" spans="4:6">
      <c r="D7564" s="8"/>
      <c r="E7564" s="8"/>
      <c r="F7564" s="8"/>
    </row>
    <row r="7565" spans="4:6">
      <c r="D7565" s="8"/>
      <c r="E7565" s="8"/>
      <c r="F7565" s="8"/>
    </row>
    <row r="7566" spans="4:6">
      <c r="D7566" s="8"/>
      <c r="E7566" s="8"/>
      <c r="F7566" s="8"/>
    </row>
    <row r="7567" spans="4:6">
      <c r="D7567" s="8"/>
      <c r="E7567" s="8"/>
      <c r="F7567" s="8"/>
    </row>
    <row r="7568" spans="4:6">
      <c r="D7568" s="8"/>
      <c r="E7568" s="8"/>
      <c r="F7568" s="8"/>
    </row>
    <row r="7569" spans="4:6">
      <c r="D7569" s="8"/>
      <c r="E7569" s="8"/>
      <c r="F7569" s="8"/>
    </row>
    <row r="7570" spans="4:6">
      <c r="D7570" s="8"/>
      <c r="E7570" s="8"/>
      <c r="F7570" s="8"/>
    </row>
    <row r="7571" spans="4:6">
      <c r="D7571" s="8"/>
      <c r="E7571" s="8"/>
      <c r="F7571" s="8"/>
    </row>
    <row r="7572" spans="4:6">
      <c r="D7572" s="8"/>
      <c r="E7572" s="8"/>
      <c r="F7572" s="8"/>
    </row>
    <row r="7573" spans="4:6">
      <c r="D7573" s="8"/>
      <c r="E7573" s="8"/>
      <c r="F7573" s="8"/>
    </row>
    <row r="7574" spans="4:6">
      <c r="D7574" s="8"/>
      <c r="E7574" s="8"/>
      <c r="F7574" s="8"/>
    </row>
    <row r="7575" spans="4:6">
      <c r="D7575" s="8"/>
      <c r="E7575" s="8"/>
      <c r="F7575" s="8"/>
    </row>
    <row r="7576" spans="4:6">
      <c r="D7576" s="8"/>
      <c r="E7576" s="8"/>
      <c r="F7576" s="8"/>
    </row>
    <row r="7577" spans="4:6">
      <c r="D7577" s="8"/>
      <c r="E7577" s="8"/>
      <c r="F7577" s="8"/>
    </row>
    <row r="7578" spans="4:6">
      <c r="D7578" s="8"/>
      <c r="E7578" s="8"/>
      <c r="F7578" s="8"/>
    </row>
    <row r="7579" spans="4:6">
      <c r="D7579" s="8"/>
      <c r="E7579" s="8"/>
      <c r="F7579" s="8"/>
    </row>
    <row r="7580" spans="4:6">
      <c r="D7580" s="8"/>
      <c r="E7580" s="8"/>
      <c r="F7580" s="8"/>
    </row>
    <row r="7581" spans="4:6">
      <c r="D7581" s="8"/>
      <c r="E7581" s="8"/>
      <c r="F7581" s="8"/>
    </row>
    <row r="7582" spans="4:6">
      <c r="D7582" s="8"/>
      <c r="E7582" s="8"/>
      <c r="F7582" s="8"/>
    </row>
    <row r="7583" spans="4:6">
      <c r="D7583" s="8"/>
      <c r="E7583" s="8"/>
      <c r="F7583" s="8"/>
    </row>
    <row r="7584" spans="4:6">
      <c r="D7584" s="8"/>
      <c r="E7584" s="8"/>
      <c r="F7584" s="8"/>
    </row>
    <row r="7585" spans="4:6">
      <c r="D7585" s="8"/>
      <c r="E7585" s="8"/>
      <c r="F7585" s="8"/>
    </row>
    <row r="7586" spans="4:6">
      <c r="D7586" s="8"/>
      <c r="E7586" s="8"/>
      <c r="F7586" s="8"/>
    </row>
    <row r="7587" spans="4:6">
      <c r="D7587" s="8"/>
      <c r="E7587" s="8"/>
      <c r="F7587" s="8"/>
    </row>
    <row r="7588" spans="4:6">
      <c r="D7588" s="8"/>
      <c r="E7588" s="8"/>
      <c r="F7588" s="8"/>
    </row>
    <row r="7589" spans="4:6">
      <c r="D7589" s="8"/>
      <c r="E7589" s="8"/>
      <c r="F7589" s="8"/>
    </row>
    <row r="7590" spans="4:6">
      <c r="D7590" s="8"/>
      <c r="E7590" s="8"/>
      <c r="F7590" s="8"/>
    </row>
    <row r="7591" spans="4:6">
      <c r="D7591" s="8"/>
      <c r="E7591" s="8"/>
      <c r="F7591" s="8"/>
    </row>
    <row r="7592" spans="4:6">
      <c r="D7592" s="8"/>
      <c r="E7592" s="8"/>
      <c r="F7592" s="8"/>
    </row>
    <row r="7593" spans="4:6">
      <c r="D7593" s="8"/>
      <c r="E7593" s="8"/>
      <c r="F7593" s="8"/>
    </row>
    <row r="7594" spans="4:6">
      <c r="D7594" s="8"/>
      <c r="E7594" s="8"/>
      <c r="F7594" s="8"/>
    </row>
    <row r="7595" spans="4:6">
      <c r="D7595" s="8"/>
      <c r="E7595" s="8"/>
      <c r="F7595" s="8"/>
    </row>
    <row r="7596" spans="4:6">
      <c r="D7596" s="8"/>
      <c r="E7596" s="8"/>
      <c r="F7596" s="8"/>
    </row>
    <row r="7597" spans="4:6">
      <c r="D7597" s="8"/>
      <c r="E7597" s="8"/>
      <c r="F7597" s="8"/>
    </row>
    <row r="7598" spans="4:6">
      <c r="D7598" s="8"/>
      <c r="E7598" s="8"/>
      <c r="F7598" s="8"/>
    </row>
    <row r="7599" spans="4:6">
      <c r="D7599" s="8"/>
      <c r="E7599" s="8"/>
      <c r="F7599" s="8"/>
    </row>
    <row r="7600" spans="4:6">
      <c r="D7600" s="8"/>
      <c r="E7600" s="8"/>
      <c r="F7600" s="8"/>
    </row>
    <row r="7601" spans="4:6">
      <c r="D7601" s="8"/>
      <c r="E7601" s="8"/>
      <c r="F7601" s="8"/>
    </row>
    <row r="7602" spans="4:6">
      <c r="D7602" s="8"/>
      <c r="E7602" s="8"/>
      <c r="F7602" s="8"/>
    </row>
    <row r="7603" spans="4:6">
      <c r="D7603" s="8"/>
      <c r="E7603" s="8"/>
      <c r="F7603" s="8"/>
    </row>
    <row r="7604" spans="4:6">
      <c r="D7604" s="8"/>
      <c r="E7604" s="8"/>
      <c r="F7604" s="8"/>
    </row>
    <row r="7605" spans="4:6">
      <c r="D7605" s="8"/>
      <c r="E7605" s="8"/>
      <c r="F7605" s="8"/>
    </row>
    <row r="7606" spans="4:6">
      <c r="D7606" s="8"/>
      <c r="E7606" s="8"/>
      <c r="F7606" s="8"/>
    </row>
    <row r="7607" spans="4:6">
      <c r="D7607" s="8"/>
      <c r="E7607" s="8"/>
      <c r="F7607" s="8"/>
    </row>
    <row r="7608" spans="4:6">
      <c r="D7608" s="8"/>
      <c r="E7608" s="8"/>
      <c r="F7608" s="8"/>
    </row>
    <row r="7609" spans="4:6">
      <c r="D7609" s="8"/>
      <c r="E7609" s="8"/>
      <c r="F7609" s="8"/>
    </row>
    <row r="7610" spans="4:6">
      <c r="D7610" s="8"/>
      <c r="E7610" s="8"/>
      <c r="F7610" s="8"/>
    </row>
    <row r="7611" spans="4:6">
      <c r="D7611" s="8"/>
      <c r="E7611" s="8"/>
      <c r="F7611" s="8"/>
    </row>
    <row r="7612" spans="4:6">
      <c r="D7612" s="8"/>
      <c r="E7612" s="8"/>
      <c r="F7612" s="8"/>
    </row>
    <row r="7613" spans="4:6">
      <c r="D7613" s="8"/>
      <c r="E7613" s="8"/>
      <c r="F7613" s="8"/>
    </row>
    <row r="7614" spans="4:6">
      <c r="D7614" s="8"/>
      <c r="E7614" s="8"/>
      <c r="F7614" s="8"/>
    </row>
    <row r="7615" spans="4:6">
      <c r="D7615" s="8"/>
      <c r="E7615" s="8"/>
      <c r="F7615" s="8"/>
    </row>
    <row r="7616" spans="4:6">
      <c r="D7616" s="8"/>
      <c r="E7616" s="8"/>
      <c r="F7616" s="8"/>
    </row>
    <row r="7617" spans="4:6">
      <c r="D7617" s="8"/>
      <c r="E7617" s="8"/>
      <c r="F7617" s="8"/>
    </row>
    <row r="7618" spans="4:6">
      <c r="D7618" s="8"/>
      <c r="E7618" s="8"/>
      <c r="F7618" s="8"/>
    </row>
    <row r="7619" spans="4:6">
      <c r="D7619" s="8"/>
      <c r="E7619" s="8"/>
      <c r="F7619" s="8"/>
    </row>
    <row r="7620" spans="4:6">
      <c r="D7620" s="8"/>
      <c r="E7620" s="8"/>
      <c r="F7620" s="8"/>
    </row>
    <row r="7621" spans="4:6">
      <c r="D7621" s="8"/>
      <c r="E7621" s="8"/>
      <c r="F7621" s="8"/>
    </row>
    <row r="7622" spans="4:6">
      <c r="D7622" s="8"/>
      <c r="E7622" s="8"/>
      <c r="F7622" s="8"/>
    </row>
    <row r="7623" spans="4:6">
      <c r="D7623" s="8"/>
      <c r="E7623" s="8"/>
      <c r="F7623" s="8"/>
    </row>
    <row r="7624" spans="4:6">
      <c r="D7624" s="8"/>
      <c r="E7624" s="8"/>
      <c r="F7624" s="8"/>
    </row>
    <row r="7625" spans="4:6">
      <c r="D7625" s="8"/>
      <c r="E7625" s="8"/>
      <c r="F7625" s="8"/>
    </row>
    <row r="7626" spans="4:6">
      <c r="D7626" s="8"/>
      <c r="E7626" s="8"/>
      <c r="F7626" s="8"/>
    </row>
    <row r="7627" spans="4:6">
      <c r="D7627" s="8"/>
      <c r="E7627" s="8"/>
      <c r="F7627" s="8"/>
    </row>
    <row r="7628" spans="4:6">
      <c r="D7628" s="8"/>
      <c r="E7628" s="8"/>
      <c r="F7628" s="8"/>
    </row>
    <row r="7629" spans="4:6">
      <c r="D7629" s="8"/>
      <c r="E7629" s="8"/>
      <c r="F7629" s="8"/>
    </row>
    <row r="7630" spans="4:6">
      <c r="D7630" s="8"/>
      <c r="E7630" s="8"/>
      <c r="F7630" s="8"/>
    </row>
    <row r="7631" spans="4:6">
      <c r="D7631" s="8"/>
      <c r="E7631" s="8"/>
      <c r="F7631" s="8"/>
    </row>
    <row r="7632" spans="4:6">
      <c r="D7632" s="8"/>
      <c r="E7632" s="8"/>
      <c r="F7632" s="8"/>
    </row>
    <row r="7633" spans="4:6">
      <c r="D7633" s="8"/>
      <c r="E7633" s="8"/>
      <c r="F7633" s="8"/>
    </row>
    <row r="7634" spans="4:6">
      <c r="D7634" s="8"/>
      <c r="E7634" s="8"/>
      <c r="F7634" s="8"/>
    </row>
    <row r="7635" spans="4:6">
      <c r="D7635" s="8"/>
      <c r="E7635" s="8"/>
      <c r="F7635" s="8"/>
    </row>
    <row r="7636" spans="4:6">
      <c r="D7636" s="8"/>
      <c r="E7636" s="8"/>
      <c r="F7636" s="8"/>
    </row>
    <row r="7637" spans="4:6">
      <c r="D7637" s="8"/>
      <c r="E7637" s="8"/>
      <c r="F7637" s="8"/>
    </row>
    <row r="7638" spans="4:6">
      <c r="D7638" s="8"/>
      <c r="E7638" s="8"/>
      <c r="F7638" s="8"/>
    </row>
    <row r="7639" spans="4:6">
      <c r="D7639" s="8"/>
      <c r="E7639" s="8"/>
      <c r="F7639" s="8"/>
    </row>
    <row r="7640" spans="4:6">
      <c r="D7640" s="8"/>
      <c r="E7640" s="8"/>
      <c r="F7640" s="8"/>
    </row>
    <row r="7641" spans="4:6">
      <c r="D7641" s="8"/>
      <c r="E7641" s="8"/>
      <c r="F7641" s="8"/>
    </row>
    <row r="7642" spans="4:6">
      <c r="D7642" s="8"/>
      <c r="E7642" s="8"/>
      <c r="F7642" s="8"/>
    </row>
    <row r="7643" spans="4:6">
      <c r="D7643" s="8"/>
      <c r="E7643" s="8"/>
      <c r="F7643" s="8"/>
    </row>
    <row r="7644" spans="4:6">
      <c r="D7644" s="8"/>
      <c r="E7644" s="8"/>
      <c r="F7644" s="8"/>
    </row>
    <row r="7645" spans="4:6">
      <c r="D7645" s="8"/>
      <c r="E7645" s="8"/>
      <c r="F7645" s="8"/>
    </row>
    <row r="7646" spans="4:6">
      <c r="D7646" s="8"/>
      <c r="E7646" s="8"/>
      <c r="F7646" s="8"/>
    </row>
    <row r="7647" spans="4:6">
      <c r="D7647" s="8"/>
      <c r="E7647" s="8"/>
      <c r="F7647" s="8"/>
    </row>
    <row r="7648" spans="4:6">
      <c r="D7648" s="8"/>
      <c r="E7648" s="8"/>
      <c r="F7648" s="8"/>
    </row>
    <row r="7649" spans="4:6">
      <c r="D7649" s="8"/>
      <c r="E7649" s="8"/>
      <c r="F7649" s="8"/>
    </row>
    <row r="7650" spans="4:6">
      <c r="D7650" s="8"/>
      <c r="E7650" s="8"/>
      <c r="F7650" s="8"/>
    </row>
    <row r="7651" spans="4:6">
      <c r="D7651" s="8"/>
      <c r="E7651" s="8"/>
      <c r="F7651" s="8"/>
    </row>
    <row r="7652" spans="4:6">
      <c r="D7652" s="8"/>
      <c r="E7652" s="8"/>
      <c r="F7652" s="8"/>
    </row>
    <row r="7653" spans="4:6">
      <c r="D7653" s="8"/>
      <c r="E7653" s="8"/>
      <c r="F7653" s="8"/>
    </row>
    <row r="7654" spans="4:6">
      <c r="D7654" s="8"/>
      <c r="E7654" s="8"/>
      <c r="F7654" s="8"/>
    </row>
    <row r="7655" spans="4:6">
      <c r="D7655" s="8"/>
      <c r="E7655" s="8"/>
      <c r="F7655" s="8"/>
    </row>
    <row r="7656" spans="4:6">
      <c r="D7656" s="8"/>
      <c r="E7656" s="8"/>
      <c r="F7656" s="8"/>
    </row>
    <row r="7657" spans="4:6">
      <c r="D7657" s="8"/>
      <c r="E7657" s="8"/>
      <c r="F7657" s="8"/>
    </row>
    <row r="7658" spans="4:6">
      <c r="D7658" s="8"/>
      <c r="E7658" s="8"/>
      <c r="F7658" s="8"/>
    </row>
    <row r="7659" spans="4:6">
      <c r="D7659" s="8"/>
      <c r="E7659" s="8"/>
      <c r="F7659" s="8"/>
    </row>
    <row r="7660" spans="4:6">
      <c r="D7660" s="8"/>
      <c r="E7660" s="8"/>
      <c r="F7660" s="8"/>
    </row>
    <row r="7661" spans="4:6">
      <c r="D7661" s="8"/>
      <c r="E7661" s="8"/>
      <c r="F7661" s="8"/>
    </row>
    <row r="7662" spans="4:6">
      <c r="D7662" s="8"/>
      <c r="E7662" s="8"/>
      <c r="F7662" s="8"/>
    </row>
    <row r="7663" spans="4:6">
      <c r="D7663" s="8"/>
      <c r="E7663" s="8"/>
      <c r="F7663" s="8"/>
    </row>
    <row r="7664" spans="4:6">
      <c r="D7664" s="8"/>
      <c r="E7664" s="8"/>
      <c r="F7664" s="8"/>
    </row>
    <row r="7665" spans="4:6">
      <c r="D7665" s="8"/>
      <c r="E7665" s="8"/>
      <c r="F7665" s="8"/>
    </row>
    <row r="7666" spans="4:6">
      <c r="D7666" s="8"/>
      <c r="E7666" s="8"/>
      <c r="F7666" s="8"/>
    </row>
    <row r="7667" spans="4:6">
      <c r="D7667" s="8"/>
      <c r="E7667" s="8"/>
      <c r="F7667" s="8"/>
    </row>
    <row r="7668" spans="4:6">
      <c r="D7668" s="8"/>
      <c r="E7668" s="8"/>
      <c r="F7668" s="8"/>
    </row>
    <row r="7669" spans="4:6">
      <c r="D7669" s="8"/>
      <c r="E7669" s="8"/>
      <c r="F7669" s="8"/>
    </row>
    <row r="7670" spans="4:6">
      <c r="D7670" s="8"/>
      <c r="E7670" s="8"/>
      <c r="F7670" s="8"/>
    </row>
    <row r="7671" spans="4:6">
      <c r="D7671" s="8"/>
      <c r="E7671" s="8"/>
      <c r="F7671" s="8"/>
    </row>
    <row r="7672" spans="4:6">
      <c r="D7672" s="8"/>
      <c r="E7672" s="8"/>
      <c r="F7672" s="8"/>
    </row>
    <row r="7673" spans="4:6">
      <c r="D7673" s="8"/>
      <c r="E7673" s="8"/>
      <c r="F7673" s="8"/>
    </row>
    <row r="7674" spans="4:6">
      <c r="D7674" s="8"/>
      <c r="E7674" s="8"/>
      <c r="F7674" s="8"/>
    </row>
    <row r="7675" spans="4:6">
      <c r="D7675" s="8"/>
      <c r="E7675" s="8"/>
      <c r="F7675" s="8"/>
    </row>
    <row r="7676" spans="4:6">
      <c r="D7676" s="8"/>
      <c r="E7676" s="8"/>
      <c r="F7676" s="8"/>
    </row>
    <row r="7677" spans="4:6">
      <c r="D7677" s="8"/>
      <c r="E7677" s="8"/>
      <c r="F7677" s="8"/>
    </row>
    <row r="7678" spans="4:6">
      <c r="D7678" s="8"/>
      <c r="E7678" s="8"/>
      <c r="F7678" s="8"/>
    </row>
    <row r="7679" spans="4:6">
      <c r="D7679" s="8"/>
      <c r="E7679" s="8"/>
      <c r="F7679" s="8"/>
    </row>
    <row r="7680" spans="4:6">
      <c r="D7680" s="8"/>
      <c r="E7680" s="8"/>
      <c r="F7680" s="8"/>
    </row>
    <row r="7681" spans="4:6">
      <c r="D7681" s="8"/>
      <c r="E7681" s="8"/>
      <c r="F7681" s="8"/>
    </row>
    <row r="7682" spans="4:6">
      <c r="D7682" s="8"/>
      <c r="E7682" s="8"/>
      <c r="F7682" s="8"/>
    </row>
    <row r="7683" spans="4:6">
      <c r="D7683" s="8"/>
      <c r="E7683" s="8"/>
      <c r="F7683" s="8"/>
    </row>
    <row r="7684" spans="4:6">
      <c r="D7684" s="8"/>
      <c r="E7684" s="8"/>
      <c r="F7684" s="8"/>
    </row>
    <row r="7685" spans="4:6">
      <c r="D7685" s="8"/>
      <c r="E7685" s="8"/>
      <c r="F7685" s="8"/>
    </row>
    <row r="7686" spans="4:6">
      <c r="D7686" s="8"/>
      <c r="E7686" s="8"/>
      <c r="F7686" s="8"/>
    </row>
    <row r="7687" spans="4:6">
      <c r="D7687" s="8"/>
      <c r="E7687" s="8"/>
      <c r="F7687" s="8"/>
    </row>
    <row r="7688" spans="4:6">
      <c r="D7688" s="8"/>
      <c r="E7688" s="8"/>
      <c r="F7688" s="8"/>
    </row>
    <row r="7689" spans="4:6">
      <c r="D7689" s="8"/>
      <c r="E7689" s="8"/>
      <c r="F7689" s="8"/>
    </row>
    <row r="7690" spans="4:6">
      <c r="D7690" s="8"/>
      <c r="E7690" s="8"/>
      <c r="F7690" s="8"/>
    </row>
    <row r="7691" spans="4:6">
      <c r="D7691" s="8"/>
      <c r="E7691" s="8"/>
      <c r="F7691" s="8"/>
    </row>
    <row r="7692" spans="4:6">
      <c r="D7692" s="8"/>
      <c r="E7692" s="8"/>
      <c r="F7692" s="8"/>
    </row>
    <row r="7693" spans="4:6">
      <c r="D7693" s="8"/>
      <c r="E7693" s="8"/>
      <c r="F7693" s="8"/>
    </row>
    <row r="7694" spans="4:6">
      <c r="D7694" s="8"/>
      <c r="E7694" s="8"/>
      <c r="F7694" s="8"/>
    </row>
    <row r="7695" spans="4:6">
      <c r="D7695" s="8"/>
      <c r="E7695" s="8"/>
      <c r="F7695" s="8"/>
    </row>
    <row r="7696" spans="4:6">
      <c r="D7696" s="8"/>
      <c r="E7696" s="8"/>
      <c r="F7696" s="8"/>
    </row>
    <row r="7697" spans="4:6">
      <c r="D7697" s="8"/>
      <c r="E7697" s="8"/>
      <c r="F7697" s="8"/>
    </row>
    <row r="7698" spans="4:6">
      <c r="D7698" s="8"/>
      <c r="E7698" s="8"/>
      <c r="F7698" s="8"/>
    </row>
    <row r="7699" spans="4:6">
      <c r="D7699" s="8"/>
      <c r="E7699" s="8"/>
      <c r="F7699" s="8"/>
    </row>
    <row r="7700" spans="4:6">
      <c r="D7700" s="8"/>
      <c r="E7700" s="8"/>
      <c r="F7700" s="8"/>
    </row>
    <row r="7701" spans="4:6">
      <c r="D7701" s="8"/>
      <c r="E7701" s="8"/>
      <c r="F7701" s="8"/>
    </row>
    <row r="7702" spans="4:6">
      <c r="D7702" s="8"/>
      <c r="E7702" s="8"/>
      <c r="F7702" s="8"/>
    </row>
    <row r="7703" spans="4:6">
      <c r="D7703" s="8"/>
      <c r="E7703" s="8"/>
      <c r="F7703" s="8"/>
    </row>
    <row r="7704" spans="4:6">
      <c r="D7704" s="8"/>
      <c r="E7704" s="8"/>
      <c r="F7704" s="8"/>
    </row>
    <row r="7705" spans="4:6">
      <c r="D7705" s="8"/>
      <c r="E7705" s="8"/>
      <c r="F7705" s="8"/>
    </row>
    <row r="7706" spans="4:6">
      <c r="D7706" s="8"/>
      <c r="E7706" s="8"/>
      <c r="F7706" s="8"/>
    </row>
    <row r="7707" spans="4:6">
      <c r="D7707" s="8"/>
      <c r="E7707" s="8"/>
      <c r="F7707" s="8"/>
    </row>
    <row r="7708" spans="4:6">
      <c r="D7708" s="8"/>
      <c r="E7708" s="8"/>
      <c r="F7708" s="8"/>
    </row>
    <row r="7709" spans="4:6">
      <c r="D7709" s="8"/>
      <c r="E7709" s="8"/>
      <c r="F7709" s="8"/>
    </row>
    <row r="7710" spans="4:6">
      <c r="D7710" s="8"/>
      <c r="E7710" s="8"/>
      <c r="F7710" s="8"/>
    </row>
    <row r="7711" spans="4:6">
      <c r="D7711" s="8"/>
      <c r="E7711" s="8"/>
      <c r="F7711" s="8"/>
    </row>
    <row r="7712" spans="4:6">
      <c r="D7712" s="8"/>
      <c r="E7712" s="8"/>
      <c r="F7712" s="8"/>
    </row>
    <row r="7713" spans="4:6">
      <c r="D7713" s="8"/>
      <c r="E7713" s="8"/>
      <c r="F7713" s="8"/>
    </row>
    <row r="7714" spans="4:6">
      <c r="D7714" s="8"/>
      <c r="E7714" s="8"/>
      <c r="F7714" s="8"/>
    </row>
    <row r="7715" spans="4:6">
      <c r="D7715" s="8"/>
      <c r="E7715" s="8"/>
      <c r="F7715" s="8"/>
    </row>
    <row r="7716" spans="4:6">
      <c r="D7716" s="8"/>
      <c r="E7716" s="8"/>
      <c r="F7716" s="8"/>
    </row>
    <row r="7717" spans="4:6">
      <c r="D7717" s="8"/>
      <c r="E7717" s="8"/>
      <c r="F7717" s="8"/>
    </row>
    <row r="7718" spans="4:6">
      <c r="D7718" s="8"/>
      <c r="E7718" s="8"/>
      <c r="F7718" s="8"/>
    </row>
    <row r="7719" spans="4:6">
      <c r="D7719" s="8"/>
      <c r="E7719" s="8"/>
      <c r="F7719" s="8"/>
    </row>
    <row r="7720" spans="4:6">
      <c r="D7720" s="8"/>
      <c r="E7720" s="8"/>
      <c r="F7720" s="8"/>
    </row>
    <row r="7721" spans="4:6">
      <c r="D7721" s="8"/>
      <c r="E7721" s="8"/>
      <c r="F7721" s="8"/>
    </row>
    <row r="7722" spans="4:6">
      <c r="D7722" s="8"/>
      <c r="E7722" s="8"/>
      <c r="F7722" s="8"/>
    </row>
    <row r="7723" spans="4:6">
      <c r="D7723" s="8"/>
      <c r="E7723" s="8"/>
      <c r="F7723" s="8"/>
    </row>
    <row r="7724" spans="4:6">
      <c r="D7724" s="8"/>
      <c r="E7724" s="8"/>
      <c r="F7724" s="8"/>
    </row>
    <row r="7725" spans="4:6">
      <c r="D7725" s="8"/>
      <c r="E7725" s="8"/>
      <c r="F7725" s="8"/>
    </row>
    <row r="7726" spans="4:6">
      <c r="D7726" s="8"/>
      <c r="E7726" s="8"/>
      <c r="F7726" s="8"/>
    </row>
    <row r="7727" spans="4:6">
      <c r="D7727" s="8"/>
      <c r="E7727" s="8"/>
      <c r="F7727" s="8"/>
    </row>
    <row r="7728" spans="4:6">
      <c r="D7728" s="8"/>
      <c r="E7728" s="8"/>
      <c r="F7728" s="8"/>
    </row>
    <row r="7729" spans="4:6">
      <c r="D7729" s="8"/>
      <c r="E7729" s="8"/>
      <c r="F7729" s="8"/>
    </row>
    <row r="7730" spans="4:6">
      <c r="D7730" s="8"/>
      <c r="E7730" s="8"/>
      <c r="F7730" s="8"/>
    </row>
    <row r="7731" spans="4:6">
      <c r="D7731" s="8"/>
      <c r="E7731" s="8"/>
      <c r="F7731" s="8"/>
    </row>
    <row r="7732" spans="4:6">
      <c r="D7732" s="8"/>
      <c r="E7732" s="8"/>
      <c r="F7732" s="8"/>
    </row>
    <row r="7733" spans="4:6">
      <c r="D7733" s="8"/>
      <c r="E7733" s="8"/>
      <c r="F7733" s="8"/>
    </row>
    <row r="7734" spans="4:6">
      <c r="D7734" s="8"/>
      <c r="E7734" s="8"/>
      <c r="F7734" s="8"/>
    </row>
    <row r="7735" spans="4:6">
      <c r="D7735" s="8"/>
      <c r="E7735" s="8"/>
      <c r="F7735" s="8"/>
    </row>
    <row r="7736" spans="4:6">
      <c r="D7736" s="8"/>
      <c r="E7736" s="8"/>
      <c r="F7736" s="8"/>
    </row>
    <row r="7737" spans="4:6">
      <c r="D7737" s="8"/>
      <c r="E7737" s="8"/>
      <c r="F7737" s="8"/>
    </row>
    <row r="7738" spans="4:6">
      <c r="D7738" s="8"/>
      <c r="E7738" s="8"/>
      <c r="F7738" s="8"/>
    </row>
    <row r="7739" spans="4:6">
      <c r="D7739" s="8"/>
      <c r="E7739" s="8"/>
      <c r="F7739" s="8"/>
    </row>
    <row r="7740" spans="4:6">
      <c r="D7740" s="8"/>
      <c r="E7740" s="8"/>
      <c r="F7740" s="8"/>
    </row>
    <row r="7741" spans="4:6">
      <c r="D7741" s="8"/>
      <c r="E7741" s="8"/>
      <c r="F7741" s="8"/>
    </row>
    <row r="7742" spans="4:6">
      <c r="D7742" s="8"/>
      <c r="E7742" s="8"/>
      <c r="F7742" s="8"/>
    </row>
    <row r="7743" spans="4:6">
      <c r="D7743" s="8"/>
      <c r="E7743" s="8"/>
      <c r="F7743" s="8"/>
    </row>
    <row r="7744" spans="4:6">
      <c r="D7744" s="8"/>
      <c r="E7744" s="8"/>
      <c r="F7744" s="8"/>
    </row>
    <row r="7745" spans="4:6">
      <c r="D7745" s="8"/>
      <c r="E7745" s="8"/>
      <c r="F7745" s="8"/>
    </row>
    <row r="7746" spans="4:6">
      <c r="D7746" s="8"/>
      <c r="E7746" s="8"/>
      <c r="F7746" s="8"/>
    </row>
    <row r="7747" spans="4:6">
      <c r="D7747" s="8"/>
      <c r="E7747" s="8"/>
      <c r="F7747" s="8"/>
    </row>
    <row r="7748" spans="4:6">
      <c r="D7748" s="8"/>
      <c r="E7748" s="8"/>
      <c r="F7748" s="8"/>
    </row>
    <row r="7749" spans="4:6">
      <c r="D7749" s="8"/>
      <c r="E7749" s="8"/>
      <c r="F7749" s="8"/>
    </row>
    <row r="7750" spans="4:6">
      <c r="D7750" s="8"/>
      <c r="E7750" s="8"/>
      <c r="F7750" s="8"/>
    </row>
    <row r="7751" spans="4:6">
      <c r="D7751" s="8"/>
      <c r="E7751" s="8"/>
      <c r="F7751" s="8"/>
    </row>
    <row r="7752" spans="4:6">
      <c r="D7752" s="8"/>
      <c r="E7752" s="8"/>
      <c r="F7752" s="8"/>
    </row>
    <row r="7753" spans="4:6">
      <c r="D7753" s="8"/>
      <c r="E7753" s="8"/>
      <c r="F7753" s="8"/>
    </row>
    <row r="7754" spans="4:6">
      <c r="D7754" s="8"/>
      <c r="E7754" s="8"/>
      <c r="F7754" s="8"/>
    </row>
    <row r="7755" spans="4:6">
      <c r="D7755" s="8"/>
      <c r="E7755" s="8"/>
      <c r="F7755" s="8"/>
    </row>
    <row r="7756" spans="4:6">
      <c r="D7756" s="8"/>
      <c r="E7756" s="8"/>
      <c r="F7756" s="8"/>
    </row>
    <row r="7757" spans="4:6">
      <c r="D7757" s="8"/>
      <c r="E7757" s="8"/>
      <c r="F7757" s="8"/>
    </row>
    <row r="7758" spans="4:6">
      <c r="D7758" s="8"/>
      <c r="E7758" s="8"/>
      <c r="F7758" s="8"/>
    </row>
    <row r="7759" spans="4:6">
      <c r="D7759" s="8"/>
      <c r="E7759" s="8"/>
      <c r="F7759" s="8"/>
    </row>
    <row r="7760" spans="4:6">
      <c r="D7760" s="8"/>
      <c r="E7760" s="8"/>
      <c r="F7760" s="8"/>
    </row>
    <row r="7761" spans="4:6">
      <c r="D7761" s="8"/>
      <c r="E7761" s="8"/>
      <c r="F7761" s="8"/>
    </row>
    <row r="7762" spans="4:6">
      <c r="D7762" s="8"/>
      <c r="E7762" s="8"/>
      <c r="F7762" s="8"/>
    </row>
    <row r="7763" spans="4:6">
      <c r="D7763" s="8"/>
      <c r="E7763" s="8"/>
      <c r="F7763" s="8"/>
    </row>
    <row r="7764" spans="4:6">
      <c r="D7764" s="8"/>
      <c r="E7764" s="8"/>
      <c r="F7764" s="8"/>
    </row>
    <row r="7765" spans="4:6">
      <c r="D7765" s="8"/>
      <c r="E7765" s="8"/>
      <c r="F7765" s="8"/>
    </row>
    <row r="7766" spans="4:6">
      <c r="D7766" s="8"/>
      <c r="E7766" s="8"/>
      <c r="F7766" s="8"/>
    </row>
    <row r="7767" spans="4:6">
      <c r="D7767" s="8"/>
      <c r="E7767" s="8"/>
      <c r="F7767" s="8"/>
    </row>
    <row r="7768" spans="4:6">
      <c r="D7768" s="8"/>
      <c r="E7768" s="8"/>
      <c r="F7768" s="8"/>
    </row>
    <row r="7769" spans="4:6">
      <c r="D7769" s="8"/>
      <c r="E7769" s="8"/>
      <c r="F7769" s="8"/>
    </row>
    <row r="7770" spans="4:6">
      <c r="D7770" s="8"/>
      <c r="E7770" s="8"/>
      <c r="F7770" s="8"/>
    </row>
    <row r="7771" spans="4:6">
      <c r="D7771" s="8"/>
      <c r="E7771" s="8"/>
      <c r="F7771" s="8"/>
    </row>
    <row r="7772" spans="4:6">
      <c r="D7772" s="8"/>
      <c r="E7772" s="8"/>
      <c r="F7772" s="8"/>
    </row>
    <row r="7773" spans="4:6">
      <c r="D7773" s="8"/>
      <c r="E7773" s="8"/>
      <c r="F7773" s="8"/>
    </row>
    <row r="7774" spans="4:6">
      <c r="D7774" s="8"/>
      <c r="E7774" s="8"/>
      <c r="F7774" s="8"/>
    </row>
    <row r="7775" spans="4:6">
      <c r="D7775" s="8"/>
      <c r="E7775" s="8"/>
      <c r="F7775" s="8"/>
    </row>
    <row r="7776" spans="4:6">
      <c r="D7776" s="8"/>
      <c r="E7776" s="8"/>
      <c r="F7776" s="8"/>
    </row>
    <row r="7777" spans="4:6">
      <c r="D7777" s="8"/>
      <c r="E7777" s="8"/>
      <c r="F7777" s="8"/>
    </row>
    <row r="7778" spans="4:6">
      <c r="D7778" s="8"/>
      <c r="E7778" s="8"/>
      <c r="F7778" s="8"/>
    </row>
    <row r="7779" spans="4:6">
      <c r="D7779" s="8"/>
      <c r="E7779" s="8"/>
      <c r="F7779" s="8"/>
    </row>
    <row r="7780" spans="4:6">
      <c r="D7780" s="8"/>
      <c r="E7780" s="8"/>
      <c r="F7780" s="8"/>
    </row>
    <row r="7781" spans="4:6">
      <c r="D7781" s="8"/>
      <c r="E7781" s="8"/>
      <c r="F7781" s="8"/>
    </row>
    <row r="7782" spans="4:6">
      <c r="D7782" s="8"/>
      <c r="E7782" s="8"/>
      <c r="F7782" s="8"/>
    </row>
    <row r="7783" spans="4:6">
      <c r="D7783" s="8"/>
      <c r="E7783" s="8"/>
      <c r="F7783" s="8"/>
    </row>
    <row r="7784" spans="4:6">
      <c r="D7784" s="8"/>
      <c r="E7784" s="8"/>
      <c r="F7784" s="8"/>
    </row>
    <row r="7785" spans="4:6">
      <c r="D7785" s="8"/>
      <c r="E7785" s="8"/>
      <c r="F7785" s="8"/>
    </row>
    <row r="7786" spans="4:6">
      <c r="D7786" s="8"/>
      <c r="E7786" s="8"/>
      <c r="F7786" s="8"/>
    </row>
    <row r="7787" spans="4:6">
      <c r="D7787" s="8"/>
      <c r="E7787" s="8"/>
      <c r="F7787" s="8"/>
    </row>
    <row r="7788" spans="4:6">
      <c r="D7788" s="8"/>
      <c r="E7788" s="8"/>
      <c r="F7788" s="8"/>
    </row>
    <row r="7789" spans="4:6">
      <c r="D7789" s="8"/>
      <c r="E7789" s="8"/>
      <c r="F7789" s="8"/>
    </row>
    <row r="7790" spans="4:6">
      <c r="D7790" s="8"/>
      <c r="E7790" s="8"/>
      <c r="F7790" s="8"/>
    </row>
    <row r="7791" spans="4:6">
      <c r="D7791" s="8"/>
      <c r="E7791" s="8"/>
      <c r="F7791" s="8"/>
    </row>
    <row r="7792" spans="4:6">
      <c r="D7792" s="8"/>
      <c r="E7792" s="8"/>
      <c r="F7792" s="8"/>
    </row>
    <row r="7793" spans="4:6">
      <c r="D7793" s="8"/>
      <c r="E7793" s="8"/>
      <c r="F7793" s="8"/>
    </row>
    <row r="7794" spans="4:6">
      <c r="D7794" s="8"/>
      <c r="E7794" s="8"/>
      <c r="F7794" s="8"/>
    </row>
    <row r="7795" spans="4:6">
      <c r="D7795" s="8"/>
      <c r="E7795" s="8"/>
      <c r="F7795" s="8"/>
    </row>
    <row r="7796" spans="4:6">
      <c r="D7796" s="8"/>
      <c r="E7796" s="8"/>
      <c r="F7796" s="8"/>
    </row>
    <row r="7797" spans="4:6">
      <c r="D7797" s="8"/>
      <c r="E7797" s="8"/>
      <c r="F7797" s="8"/>
    </row>
    <row r="7798" spans="4:6">
      <c r="D7798" s="8"/>
      <c r="E7798" s="8"/>
      <c r="F7798" s="8"/>
    </row>
    <row r="7799" spans="4:6">
      <c r="D7799" s="8"/>
      <c r="E7799" s="8"/>
      <c r="F7799" s="8"/>
    </row>
    <row r="7800" spans="4:6">
      <c r="D7800" s="8"/>
      <c r="E7800" s="8"/>
      <c r="F7800" s="8"/>
    </row>
    <row r="7801" spans="4:6">
      <c r="D7801" s="8"/>
      <c r="E7801" s="8"/>
      <c r="F7801" s="8"/>
    </row>
    <row r="7802" spans="4:6">
      <c r="D7802" s="8"/>
      <c r="E7802" s="8"/>
      <c r="F7802" s="8"/>
    </row>
    <row r="7803" spans="4:6">
      <c r="D7803" s="8"/>
      <c r="E7803" s="8"/>
      <c r="F7803" s="8"/>
    </row>
    <row r="7804" spans="4:6">
      <c r="D7804" s="8"/>
      <c r="E7804" s="8"/>
      <c r="F7804" s="8"/>
    </row>
    <row r="7805" spans="4:6">
      <c r="D7805" s="8"/>
      <c r="E7805" s="8"/>
      <c r="F7805" s="8"/>
    </row>
    <row r="7806" spans="4:6">
      <c r="D7806" s="8"/>
      <c r="E7806" s="8"/>
      <c r="F7806" s="8"/>
    </row>
    <row r="7807" spans="4:6">
      <c r="D7807" s="8"/>
      <c r="E7807" s="8"/>
      <c r="F7807" s="8"/>
    </row>
    <row r="7808" spans="4:6">
      <c r="D7808" s="8"/>
      <c r="E7808" s="8"/>
      <c r="F7808" s="8"/>
    </row>
    <row r="7809" spans="4:6">
      <c r="D7809" s="8"/>
      <c r="E7809" s="8"/>
      <c r="F7809" s="8"/>
    </row>
    <row r="7810" spans="4:6">
      <c r="D7810" s="8"/>
      <c r="E7810" s="8"/>
      <c r="F7810" s="8"/>
    </row>
    <row r="7811" spans="4:6">
      <c r="D7811" s="8"/>
      <c r="E7811" s="8"/>
      <c r="F7811" s="8"/>
    </row>
    <row r="7812" spans="4:6">
      <c r="D7812" s="8"/>
      <c r="E7812" s="8"/>
      <c r="F7812" s="8"/>
    </row>
    <row r="7813" spans="4:6">
      <c r="D7813" s="8"/>
      <c r="E7813" s="8"/>
      <c r="F7813" s="8"/>
    </row>
    <row r="7814" spans="4:6">
      <c r="D7814" s="8"/>
      <c r="E7814" s="8"/>
      <c r="F7814" s="8"/>
    </row>
    <row r="7815" spans="4:6">
      <c r="D7815" s="8"/>
      <c r="E7815" s="8"/>
      <c r="F7815" s="8"/>
    </row>
    <row r="7816" spans="4:6">
      <c r="D7816" s="8"/>
      <c r="E7816" s="8"/>
      <c r="F7816" s="8"/>
    </row>
    <row r="7817" spans="4:6">
      <c r="D7817" s="8"/>
      <c r="E7817" s="8"/>
      <c r="F7817" s="8"/>
    </row>
    <row r="7818" spans="4:6">
      <c r="D7818" s="8"/>
      <c r="E7818" s="8"/>
      <c r="F7818" s="8"/>
    </row>
    <row r="7819" spans="4:6">
      <c r="D7819" s="8"/>
      <c r="E7819" s="8"/>
      <c r="F7819" s="8"/>
    </row>
    <row r="7820" spans="4:6">
      <c r="D7820" s="8"/>
      <c r="E7820" s="8"/>
      <c r="F7820" s="8"/>
    </row>
    <row r="7821" spans="4:6">
      <c r="D7821" s="8"/>
      <c r="E7821" s="8"/>
      <c r="F7821" s="8"/>
    </row>
    <row r="7822" spans="4:6">
      <c r="D7822" s="8"/>
      <c r="E7822" s="8"/>
      <c r="F7822" s="8"/>
    </row>
    <row r="7823" spans="4:6">
      <c r="D7823" s="8"/>
      <c r="E7823" s="8"/>
      <c r="F7823" s="8"/>
    </row>
    <row r="7824" spans="4:6">
      <c r="D7824" s="8"/>
      <c r="E7824" s="8"/>
      <c r="F7824" s="8"/>
    </row>
    <row r="7825" spans="4:6">
      <c r="D7825" s="8"/>
      <c r="E7825" s="8"/>
      <c r="F7825" s="8"/>
    </row>
    <row r="7826" spans="4:6">
      <c r="D7826" s="8"/>
      <c r="E7826" s="8"/>
      <c r="F7826" s="8"/>
    </row>
    <row r="7827" spans="4:6">
      <c r="D7827" s="8"/>
      <c r="E7827" s="8"/>
      <c r="F7827" s="8"/>
    </row>
    <row r="7828" spans="4:6">
      <c r="D7828" s="8"/>
      <c r="E7828" s="8"/>
      <c r="F7828" s="8"/>
    </row>
    <row r="7829" spans="4:6">
      <c r="D7829" s="8"/>
      <c r="E7829" s="8"/>
      <c r="F7829" s="8"/>
    </row>
    <row r="7830" spans="4:6">
      <c r="D7830" s="8"/>
      <c r="E7830" s="8"/>
      <c r="F7830" s="8"/>
    </row>
    <row r="7831" spans="4:6">
      <c r="D7831" s="8"/>
      <c r="E7831" s="8"/>
      <c r="F7831" s="8"/>
    </row>
    <row r="7832" spans="4:6">
      <c r="D7832" s="8"/>
      <c r="E7832" s="8"/>
      <c r="F7832" s="8"/>
    </row>
    <row r="7833" spans="4:6">
      <c r="D7833" s="8"/>
      <c r="E7833" s="8"/>
      <c r="F7833" s="8"/>
    </row>
    <row r="7834" spans="4:6">
      <c r="D7834" s="8"/>
      <c r="E7834" s="8"/>
      <c r="F7834" s="8"/>
    </row>
    <row r="7835" spans="4:6">
      <c r="D7835" s="8"/>
      <c r="E7835" s="8"/>
      <c r="F7835" s="8"/>
    </row>
    <row r="7836" spans="4:6">
      <c r="D7836" s="8"/>
      <c r="E7836" s="8"/>
      <c r="F7836" s="8"/>
    </row>
    <row r="7837" spans="4:6">
      <c r="D7837" s="8"/>
      <c r="E7837" s="8"/>
      <c r="F7837" s="8"/>
    </row>
    <row r="7838" spans="4:6">
      <c r="D7838" s="8"/>
      <c r="E7838" s="8"/>
      <c r="F7838" s="8"/>
    </row>
    <row r="7839" spans="4:6">
      <c r="D7839" s="8"/>
      <c r="E7839" s="8"/>
      <c r="F7839" s="8"/>
    </row>
    <row r="7840" spans="4:6">
      <c r="D7840" s="8"/>
      <c r="E7840" s="8"/>
      <c r="F7840" s="8"/>
    </row>
    <row r="7841" spans="4:6">
      <c r="D7841" s="8"/>
      <c r="E7841" s="8"/>
      <c r="F7841" s="8"/>
    </row>
    <row r="7842" spans="4:6">
      <c r="D7842" s="8"/>
      <c r="E7842" s="8"/>
      <c r="F7842" s="8"/>
    </row>
    <row r="7843" spans="4:6">
      <c r="D7843" s="8"/>
      <c r="E7843" s="8"/>
      <c r="F7843" s="8"/>
    </row>
    <row r="7844" spans="4:6">
      <c r="D7844" s="8"/>
      <c r="E7844" s="8"/>
      <c r="F7844" s="8"/>
    </row>
    <row r="7845" spans="4:6">
      <c r="D7845" s="8"/>
      <c r="E7845" s="8"/>
      <c r="F7845" s="8"/>
    </row>
    <row r="7846" spans="4:6">
      <c r="D7846" s="8"/>
      <c r="E7846" s="8"/>
      <c r="F7846" s="8"/>
    </row>
    <row r="7847" spans="4:6">
      <c r="D7847" s="8"/>
      <c r="E7847" s="8"/>
      <c r="F7847" s="8"/>
    </row>
    <row r="7848" spans="4:6">
      <c r="D7848" s="8"/>
      <c r="E7848" s="8"/>
      <c r="F7848" s="8"/>
    </row>
    <row r="7849" spans="4:6">
      <c r="D7849" s="8"/>
      <c r="E7849" s="8"/>
      <c r="F7849" s="8"/>
    </row>
    <row r="7850" spans="4:6">
      <c r="D7850" s="8"/>
      <c r="E7850" s="8"/>
      <c r="F7850" s="8"/>
    </row>
    <row r="7851" spans="4:6">
      <c r="D7851" s="8"/>
      <c r="E7851" s="8"/>
      <c r="F7851" s="8"/>
    </row>
    <row r="7852" spans="4:6">
      <c r="D7852" s="8"/>
      <c r="E7852" s="8"/>
      <c r="F7852" s="8"/>
    </row>
    <row r="7853" spans="4:6">
      <c r="D7853" s="8"/>
      <c r="E7853" s="8"/>
      <c r="F7853" s="8"/>
    </row>
    <row r="7854" spans="4:6">
      <c r="D7854" s="8"/>
      <c r="E7854" s="8"/>
      <c r="F7854" s="8"/>
    </row>
    <row r="7855" spans="4:6">
      <c r="D7855" s="8"/>
      <c r="E7855" s="8"/>
      <c r="F7855" s="8"/>
    </row>
    <row r="7856" spans="4:6">
      <c r="D7856" s="8"/>
      <c r="E7856" s="8"/>
      <c r="F7856" s="8"/>
    </row>
    <row r="7857" spans="4:6">
      <c r="D7857" s="8"/>
      <c r="E7857" s="8"/>
      <c r="F7857" s="8"/>
    </row>
    <row r="7858" spans="4:6">
      <c r="D7858" s="8"/>
      <c r="E7858" s="8"/>
      <c r="F7858" s="8"/>
    </row>
    <row r="7859" spans="4:6">
      <c r="D7859" s="8"/>
      <c r="E7859" s="8"/>
      <c r="F7859" s="8"/>
    </row>
    <row r="7860" spans="4:6">
      <c r="D7860" s="8"/>
      <c r="E7860" s="8"/>
      <c r="F7860" s="8"/>
    </row>
    <row r="7861" spans="4:6">
      <c r="D7861" s="8"/>
      <c r="E7861" s="8"/>
      <c r="F7861" s="8"/>
    </row>
    <row r="7862" spans="4:6">
      <c r="D7862" s="8"/>
      <c r="E7862" s="8"/>
      <c r="F7862" s="8"/>
    </row>
    <row r="7863" spans="4:6">
      <c r="D7863" s="8"/>
      <c r="E7863" s="8"/>
      <c r="F7863" s="8"/>
    </row>
    <row r="7864" spans="4:6">
      <c r="D7864" s="8"/>
      <c r="E7864" s="8"/>
      <c r="F7864" s="8"/>
    </row>
    <row r="7865" spans="4:6">
      <c r="D7865" s="8"/>
      <c r="E7865" s="8"/>
      <c r="F7865" s="8"/>
    </row>
    <row r="7866" spans="4:6">
      <c r="D7866" s="8"/>
      <c r="E7866" s="8"/>
      <c r="F7866" s="8"/>
    </row>
    <row r="7867" spans="4:6">
      <c r="D7867" s="8"/>
      <c r="E7867" s="8"/>
      <c r="F7867" s="8"/>
    </row>
    <row r="7868" spans="4:6">
      <c r="D7868" s="8"/>
      <c r="E7868" s="8"/>
      <c r="F7868" s="8"/>
    </row>
    <row r="7869" spans="4:6">
      <c r="D7869" s="8"/>
      <c r="E7869" s="8"/>
      <c r="F7869" s="8"/>
    </row>
    <row r="7870" spans="4:6">
      <c r="D7870" s="8"/>
      <c r="E7870" s="8"/>
      <c r="F7870" s="8"/>
    </row>
    <row r="7871" spans="4:6">
      <c r="D7871" s="8"/>
      <c r="E7871" s="8"/>
      <c r="F7871" s="8"/>
    </row>
    <row r="7872" spans="4:6">
      <c r="D7872" s="8"/>
      <c r="E7872" s="8"/>
      <c r="F7872" s="8"/>
    </row>
    <row r="7873" spans="4:6">
      <c r="D7873" s="8"/>
      <c r="E7873" s="8"/>
      <c r="F7873" s="8"/>
    </row>
    <row r="7874" spans="4:6">
      <c r="D7874" s="8"/>
      <c r="E7874" s="8"/>
      <c r="F7874" s="8"/>
    </row>
    <row r="7875" spans="4:6">
      <c r="D7875" s="8"/>
      <c r="E7875" s="8"/>
      <c r="F7875" s="8"/>
    </row>
    <row r="7876" spans="4:6">
      <c r="D7876" s="8"/>
      <c r="E7876" s="8"/>
      <c r="F7876" s="8"/>
    </row>
    <row r="7877" spans="4:6">
      <c r="D7877" s="8"/>
      <c r="E7877" s="8"/>
      <c r="F7877" s="8"/>
    </row>
    <row r="7878" spans="4:6">
      <c r="D7878" s="8"/>
      <c r="E7878" s="8"/>
      <c r="F7878" s="8"/>
    </row>
    <row r="7879" spans="4:6">
      <c r="D7879" s="8"/>
      <c r="E7879" s="8"/>
      <c r="F7879" s="8"/>
    </row>
    <row r="7880" spans="4:6">
      <c r="D7880" s="8"/>
      <c r="E7880" s="8"/>
      <c r="F7880" s="8"/>
    </row>
    <row r="7881" spans="4:6">
      <c r="D7881" s="8"/>
      <c r="E7881" s="8"/>
      <c r="F7881" s="8"/>
    </row>
    <row r="7882" spans="4:6">
      <c r="D7882" s="8"/>
      <c r="E7882" s="8"/>
      <c r="F7882" s="8"/>
    </row>
    <row r="7883" spans="4:6">
      <c r="D7883" s="8"/>
      <c r="E7883" s="8"/>
      <c r="F7883" s="8"/>
    </row>
    <row r="7884" spans="4:6">
      <c r="D7884" s="8"/>
      <c r="E7884" s="8"/>
      <c r="F7884" s="8"/>
    </row>
    <row r="7885" spans="4:6">
      <c r="D7885" s="8"/>
      <c r="E7885" s="8"/>
      <c r="F7885" s="8"/>
    </row>
    <row r="7886" spans="4:6">
      <c r="D7886" s="8"/>
      <c r="E7886" s="8"/>
      <c r="F7886" s="8"/>
    </row>
    <row r="7887" spans="4:6">
      <c r="D7887" s="8"/>
      <c r="E7887" s="8"/>
      <c r="F7887" s="8"/>
    </row>
    <row r="7888" spans="4:6">
      <c r="D7888" s="8"/>
      <c r="E7888" s="8"/>
      <c r="F7888" s="8"/>
    </row>
    <row r="7889" spans="4:6">
      <c r="D7889" s="8"/>
      <c r="E7889" s="8"/>
      <c r="F7889" s="8"/>
    </row>
    <row r="7890" spans="4:6">
      <c r="D7890" s="8"/>
      <c r="E7890" s="8"/>
      <c r="F7890" s="8"/>
    </row>
    <row r="7891" spans="4:6">
      <c r="D7891" s="8"/>
      <c r="E7891" s="8"/>
      <c r="F7891" s="8"/>
    </row>
    <row r="7892" spans="4:6">
      <c r="D7892" s="8"/>
      <c r="E7892" s="8"/>
      <c r="F7892" s="8"/>
    </row>
    <row r="7893" spans="4:6">
      <c r="D7893" s="8"/>
      <c r="E7893" s="8"/>
      <c r="F7893" s="8"/>
    </row>
    <row r="7894" spans="4:6">
      <c r="D7894" s="8"/>
      <c r="E7894" s="8"/>
      <c r="F7894" s="8"/>
    </row>
    <row r="7895" spans="4:6">
      <c r="D7895" s="8"/>
      <c r="E7895" s="8"/>
      <c r="F7895" s="8"/>
    </row>
    <row r="7896" spans="4:6">
      <c r="D7896" s="8"/>
      <c r="E7896" s="8"/>
      <c r="F7896" s="8"/>
    </row>
    <row r="7897" spans="4:6">
      <c r="D7897" s="8"/>
      <c r="E7897" s="8"/>
      <c r="F7897" s="8"/>
    </row>
    <row r="7898" spans="4:6">
      <c r="D7898" s="8"/>
      <c r="E7898" s="8"/>
      <c r="F7898" s="8"/>
    </row>
    <row r="7899" spans="4:6">
      <c r="D7899" s="8"/>
      <c r="E7899" s="8"/>
      <c r="F7899" s="8"/>
    </row>
    <row r="7900" spans="4:6">
      <c r="D7900" s="8"/>
      <c r="E7900" s="8"/>
      <c r="F7900" s="8"/>
    </row>
    <row r="7901" spans="4:6">
      <c r="D7901" s="8"/>
      <c r="E7901" s="8"/>
      <c r="F7901" s="8"/>
    </row>
    <row r="7902" spans="4:6">
      <c r="D7902" s="8"/>
      <c r="E7902" s="8"/>
      <c r="F7902" s="8"/>
    </row>
    <row r="7903" spans="4:6">
      <c r="D7903" s="8"/>
      <c r="E7903" s="8"/>
      <c r="F7903" s="8"/>
    </row>
    <row r="7904" spans="4:6">
      <c r="D7904" s="8"/>
      <c r="E7904" s="8"/>
      <c r="F7904" s="8"/>
    </row>
    <row r="7905" spans="4:6">
      <c r="D7905" s="8"/>
      <c r="E7905" s="8"/>
      <c r="F7905" s="8"/>
    </row>
    <row r="7906" spans="4:6">
      <c r="D7906" s="8"/>
      <c r="E7906" s="8"/>
      <c r="F7906" s="8"/>
    </row>
    <row r="7907" spans="4:6">
      <c r="D7907" s="8"/>
      <c r="E7907" s="8"/>
      <c r="F7907" s="8"/>
    </row>
    <row r="7908" spans="4:6">
      <c r="D7908" s="8"/>
      <c r="E7908" s="8"/>
      <c r="F7908" s="8"/>
    </row>
    <row r="7909" spans="4:6">
      <c r="D7909" s="8"/>
      <c r="E7909" s="8"/>
      <c r="F7909" s="8"/>
    </row>
    <row r="7910" spans="4:6">
      <c r="D7910" s="8"/>
      <c r="E7910" s="8"/>
      <c r="F7910" s="8"/>
    </row>
    <row r="7911" spans="4:6">
      <c r="D7911" s="8"/>
      <c r="E7911" s="8"/>
      <c r="F7911" s="8"/>
    </row>
    <row r="7912" spans="4:6">
      <c r="D7912" s="8"/>
      <c r="E7912" s="8"/>
      <c r="F7912" s="8"/>
    </row>
    <row r="7913" spans="4:6">
      <c r="D7913" s="8"/>
      <c r="E7913" s="8"/>
      <c r="F7913" s="8"/>
    </row>
    <row r="7914" spans="4:6">
      <c r="D7914" s="8"/>
      <c r="E7914" s="8"/>
      <c r="F7914" s="8"/>
    </row>
    <row r="7915" spans="4:6">
      <c r="D7915" s="8"/>
      <c r="E7915" s="8"/>
      <c r="F7915" s="8"/>
    </row>
    <row r="7916" spans="4:6">
      <c r="D7916" s="8"/>
      <c r="E7916" s="8"/>
      <c r="F7916" s="8"/>
    </row>
    <row r="7917" spans="4:6">
      <c r="D7917" s="8"/>
      <c r="E7917" s="8"/>
      <c r="F7917" s="8"/>
    </row>
    <row r="7918" spans="4:6">
      <c r="D7918" s="8"/>
      <c r="E7918" s="8"/>
      <c r="F7918" s="8"/>
    </row>
    <row r="7919" spans="4:6">
      <c r="D7919" s="8"/>
      <c r="E7919" s="8"/>
      <c r="F7919" s="8"/>
    </row>
    <row r="7920" spans="4:6">
      <c r="D7920" s="8"/>
      <c r="E7920" s="8"/>
      <c r="F7920" s="8"/>
    </row>
    <row r="7921" spans="4:6">
      <c r="D7921" s="8"/>
      <c r="E7921" s="8"/>
      <c r="F7921" s="8"/>
    </row>
    <row r="7922" spans="4:6">
      <c r="D7922" s="8"/>
      <c r="E7922" s="8"/>
      <c r="F7922" s="8"/>
    </row>
    <row r="7923" spans="4:6">
      <c r="D7923" s="8"/>
      <c r="E7923" s="8"/>
      <c r="F7923" s="8"/>
    </row>
    <row r="7924" spans="4:6">
      <c r="D7924" s="8"/>
      <c r="E7924" s="8"/>
      <c r="F7924" s="8"/>
    </row>
    <row r="7925" spans="4:6">
      <c r="D7925" s="8"/>
      <c r="E7925" s="8"/>
      <c r="F7925" s="8"/>
    </row>
    <row r="7926" spans="4:6">
      <c r="D7926" s="8"/>
      <c r="E7926" s="8"/>
      <c r="F7926" s="8"/>
    </row>
    <row r="7927" spans="4:6">
      <c r="D7927" s="8"/>
      <c r="E7927" s="8"/>
      <c r="F7927" s="8"/>
    </row>
    <row r="7928" spans="4:6">
      <c r="D7928" s="8"/>
      <c r="E7928" s="8"/>
      <c r="F7928" s="8"/>
    </row>
    <row r="7929" spans="4:6">
      <c r="D7929" s="8"/>
      <c r="E7929" s="8"/>
      <c r="F7929" s="8"/>
    </row>
    <row r="7930" spans="4:6">
      <c r="D7930" s="8"/>
      <c r="E7930" s="8"/>
      <c r="F7930" s="8"/>
    </row>
    <row r="7931" spans="4:6">
      <c r="D7931" s="8"/>
      <c r="E7931" s="8"/>
      <c r="F7931" s="8"/>
    </row>
    <row r="7932" spans="4:6">
      <c r="D7932" s="8"/>
      <c r="E7932" s="8"/>
      <c r="F7932" s="8"/>
    </row>
    <row r="7933" spans="4:6">
      <c r="D7933" s="8"/>
      <c r="E7933" s="8"/>
      <c r="F7933" s="8"/>
    </row>
    <row r="7934" spans="4:6">
      <c r="D7934" s="8"/>
      <c r="E7934" s="8"/>
      <c r="F7934" s="8"/>
    </row>
    <row r="7935" spans="4:6">
      <c r="D7935" s="8"/>
      <c r="E7935" s="8"/>
      <c r="F7935" s="8"/>
    </row>
    <row r="7936" spans="4:6">
      <c r="D7936" s="8"/>
      <c r="E7936" s="8"/>
      <c r="F7936" s="8"/>
    </row>
    <row r="7937" spans="4:6">
      <c r="D7937" s="8"/>
      <c r="E7937" s="8"/>
      <c r="F7937" s="8"/>
    </row>
    <row r="7938" spans="4:6">
      <c r="D7938" s="8"/>
      <c r="E7938" s="8"/>
      <c r="F7938" s="8"/>
    </row>
    <row r="7939" spans="4:6">
      <c r="D7939" s="8"/>
      <c r="E7939" s="8"/>
      <c r="F7939" s="8"/>
    </row>
    <row r="7940" spans="4:6">
      <c r="D7940" s="8"/>
      <c r="E7940" s="8"/>
      <c r="F7940" s="8"/>
    </row>
    <row r="7941" spans="4:6">
      <c r="D7941" s="8"/>
      <c r="E7941" s="8"/>
      <c r="F7941" s="8"/>
    </row>
    <row r="7942" spans="4:6">
      <c r="D7942" s="8"/>
      <c r="E7942" s="8"/>
      <c r="F7942" s="8"/>
    </row>
    <row r="7943" spans="4:6">
      <c r="D7943" s="8"/>
      <c r="E7943" s="8"/>
      <c r="F7943" s="8"/>
    </row>
    <row r="7944" spans="4:6">
      <c r="D7944" s="8"/>
      <c r="E7944" s="8"/>
      <c r="F7944" s="8"/>
    </row>
    <row r="7945" spans="4:6">
      <c r="D7945" s="8"/>
      <c r="E7945" s="8"/>
      <c r="F7945" s="8"/>
    </row>
    <row r="7946" spans="4:6">
      <c r="D7946" s="8"/>
      <c r="E7946" s="8"/>
      <c r="F7946" s="8"/>
    </row>
    <row r="7947" spans="4:6">
      <c r="D7947" s="8"/>
      <c r="E7947" s="8"/>
      <c r="F7947" s="8"/>
    </row>
    <row r="7948" spans="4:6">
      <c r="D7948" s="8"/>
      <c r="E7948" s="8"/>
      <c r="F7948" s="8"/>
    </row>
    <row r="7949" spans="4:6">
      <c r="D7949" s="8"/>
      <c r="E7949" s="8"/>
      <c r="F7949" s="8"/>
    </row>
    <row r="7950" spans="4:6">
      <c r="D7950" s="8"/>
      <c r="E7950" s="8"/>
      <c r="F7950" s="8"/>
    </row>
    <row r="7951" spans="4:6">
      <c r="D7951" s="8"/>
      <c r="E7951" s="8"/>
      <c r="F7951" s="8"/>
    </row>
    <row r="7952" spans="4:6">
      <c r="D7952" s="8"/>
      <c r="E7952" s="8"/>
      <c r="F7952" s="8"/>
    </row>
    <row r="7953" spans="4:6">
      <c r="D7953" s="8"/>
      <c r="E7953" s="8"/>
      <c r="F7953" s="8"/>
    </row>
    <row r="7954" spans="4:6">
      <c r="D7954" s="8"/>
      <c r="E7954" s="8"/>
      <c r="F7954" s="8"/>
    </row>
    <row r="7955" spans="4:6">
      <c r="D7955" s="8"/>
      <c r="E7955" s="8"/>
      <c r="F7955" s="8"/>
    </row>
    <row r="7956" spans="4:6">
      <c r="D7956" s="8"/>
      <c r="E7956" s="8"/>
      <c r="F7956" s="8"/>
    </row>
    <row r="7957" spans="4:6">
      <c r="D7957" s="8"/>
      <c r="E7957" s="8"/>
      <c r="F7957" s="8"/>
    </row>
    <row r="7958" spans="4:6">
      <c r="D7958" s="8"/>
      <c r="E7958" s="8"/>
      <c r="F7958" s="8"/>
    </row>
    <row r="7959" spans="4:6">
      <c r="D7959" s="8"/>
      <c r="E7959" s="8"/>
      <c r="F7959" s="8"/>
    </row>
    <row r="7960" spans="4:6">
      <c r="D7960" s="8"/>
      <c r="E7960" s="8"/>
      <c r="F7960" s="8"/>
    </row>
    <row r="7961" spans="4:6">
      <c r="D7961" s="8"/>
      <c r="E7961" s="8"/>
      <c r="F7961" s="8"/>
    </row>
    <row r="7962" spans="4:6">
      <c r="D7962" s="8"/>
      <c r="E7962" s="8"/>
      <c r="F7962" s="8"/>
    </row>
    <row r="7963" spans="4:6">
      <c r="D7963" s="8"/>
      <c r="E7963" s="8"/>
      <c r="F7963" s="8"/>
    </row>
    <row r="7964" spans="4:6">
      <c r="D7964" s="8"/>
      <c r="E7964" s="8"/>
      <c r="F7964" s="8"/>
    </row>
    <row r="7965" spans="4:6">
      <c r="D7965" s="8"/>
      <c r="E7965" s="8"/>
      <c r="F7965" s="8"/>
    </row>
    <row r="7966" spans="4:6">
      <c r="D7966" s="8"/>
      <c r="E7966" s="8"/>
      <c r="F7966" s="8"/>
    </row>
    <row r="7967" spans="4:6">
      <c r="D7967" s="8"/>
      <c r="E7967" s="8"/>
      <c r="F7967" s="8"/>
    </row>
    <row r="7968" spans="4:6">
      <c r="D7968" s="8"/>
      <c r="E7968" s="8"/>
      <c r="F7968" s="8"/>
    </row>
    <row r="7969" spans="4:6">
      <c r="D7969" s="8"/>
      <c r="E7969" s="8"/>
      <c r="F7969" s="8"/>
    </row>
    <row r="7970" spans="4:6">
      <c r="D7970" s="8"/>
      <c r="E7970" s="8"/>
      <c r="F7970" s="8"/>
    </row>
    <row r="7971" spans="4:6">
      <c r="D7971" s="8"/>
      <c r="E7971" s="8"/>
      <c r="F7971" s="8"/>
    </row>
    <row r="7972" spans="4:6">
      <c r="D7972" s="8"/>
      <c r="E7972" s="8"/>
      <c r="F7972" s="8"/>
    </row>
    <row r="7973" spans="4:6">
      <c r="D7973" s="8"/>
      <c r="E7973" s="8"/>
      <c r="F7973" s="8"/>
    </row>
    <row r="7974" spans="4:6">
      <c r="D7974" s="8"/>
      <c r="E7974" s="8"/>
      <c r="F7974" s="8"/>
    </row>
    <row r="7975" spans="4:6">
      <c r="D7975" s="8"/>
      <c r="E7975" s="8"/>
      <c r="F7975" s="8"/>
    </row>
    <row r="7976" spans="4:6">
      <c r="D7976" s="8"/>
      <c r="E7976" s="8"/>
      <c r="F7976" s="8"/>
    </row>
    <row r="7977" spans="4:6">
      <c r="D7977" s="8"/>
      <c r="E7977" s="8"/>
      <c r="F7977" s="8"/>
    </row>
    <row r="7978" spans="4:6">
      <c r="D7978" s="8"/>
      <c r="E7978" s="8"/>
      <c r="F7978" s="8"/>
    </row>
    <row r="7979" spans="4:6">
      <c r="D7979" s="8"/>
      <c r="E7979" s="8"/>
      <c r="F7979" s="8"/>
    </row>
    <row r="7980" spans="4:6">
      <c r="D7980" s="8"/>
      <c r="E7980" s="8"/>
      <c r="F7980" s="8"/>
    </row>
    <row r="7981" spans="4:6">
      <c r="D7981" s="8"/>
      <c r="E7981" s="8"/>
      <c r="F7981" s="8"/>
    </row>
    <row r="7982" spans="4:6">
      <c r="D7982" s="8"/>
      <c r="E7982" s="8"/>
      <c r="F7982" s="8"/>
    </row>
    <row r="7983" spans="4:6">
      <c r="D7983" s="8"/>
      <c r="E7983" s="8"/>
      <c r="F7983" s="8"/>
    </row>
    <row r="7984" spans="4:6">
      <c r="D7984" s="8"/>
      <c r="E7984" s="8"/>
      <c r="F7984" s="8"/>
    </row>
    <row r="7985" spans="4:6">
      <c r="D7985" s="8"/>
      <c r="E7985" s="8"/>
      <c r="F7985" s="8"/>
    </row>
    <row r="7986" spans="4:6">
      <c r="D7986" s="8"/>
      <c r="E7986" s="8"/>
      <c r="F7986" s="8"/>
    </row>
    <row r="7987" spans="4:6">
      <c r="D7987" s="8"/>
      <c r="E7987" s="8"/>
      <c r="F7987" s="8"/>
    </row>
    <row r="7988" spans="4:6">
      <c r="D7988" s="8"/>
      <c r="E7988" s="8"/>
      <c r="F7988" s="8"/>
    </row>
    <row r="7989" spans="4:6">
      <c r="D7989" s="8"/>
      <c r="E7989" s="8"/>
      <c r="F7989" s="8"/>
    </row>
    <row r="7990" spans="4:6">
      <c r="D7990" s="8"/>
      <c r="E7990" s="8"/>
      <c r="F7990" s="8"/>
    </row>
    <row r="7991" spans="4:6">
      <c r="D7991" s="8"/>
      <c r="E7991" s="8"/>
      <c r="F7991" s="8"/>
    </row>
    <row r="7992" spans="4:6">
      <c r="D7992" s="8"/>
      <c r="E7992" s="8"/>
      <c r="F7992" s="8"/>
    </row>
    <row r="7993" spans="4:6">
      <c r="D7993" s="8"/>
      <c r="E7993" s="8"/>
      <c r="F7993" s="8"/>
    </row>
    <row r="7994" spans="4:6">
      <c r="D7994" s="8"/>
      <c r="E7994" s="8"/>
      <c r="F7994" s="8"/>
    </row>
    <row r="7995" spans="4:6">
      <c r="D7995" s="8"/>
      <c r="E7995" s="8"/>
      <c r="F7995" s="8"/>
    </row>
    <row r="7996" spans="4:6">
      <c r="D7996" s="8"/>
      <c r="E7996" s="8"/>
      <c r="F7996" s="8"/>
    </row>
    <row r="7997" spans="4:6">
      <c r="D7997" s="8"/>
      <c r="E7997" s="8"/>
      <c r="F7997" s="8"/>
    </row>
    <row r="7998" spans="4:6">
      <c r="D7998" s="8"/>
      <c r="E7998" s="8"/>
      <c r="F7998" s="8"/>
    </row>
    <row r="7999" spans="4:6">
      <c r="D7999" s="8"/>
      <c r="E7999" s="8"/>
      <c r="F7999" s="8"/>
    </row>
    <row r="8000" spans="4:6">
      <c r="D8000" s="8"/>
      <c r="E8000" s="8"/>
      <c r="F8000" s="8"/>
    </row>
    <row r="8001" spans="4:6">
      <c r="D8001" s="8"/>
      <c r="E8001" s="8"/>
      <c r="F8001" s="8"/>
    </row>
    <row r="8002" spans="4:6">
      <c r="D8002" s="8"/>
      <c r="E8002" s="8"/>
      <c r="F8002" s="8"/>
    </row>
    <row r="8003" spans="4:6">
      <c r="D8003" s="8"/>
      <c r="E8003" s="8"/>
      <c r="F8003" s="8"/>
    </row>
    <row r="8004" spans="4:6">
      <c r="D8004" s="8"/>
      <c r="E8004" s="8"/>
      <c r="F8004" s="8"/>
    </row>
    <row r="8005" spans="4:6">
      <c r="D8005" s="8"/>
      <c r="E8005" s="8"/>
      <c r="F8005" s="8"/>
    </row>
    <row r="8006" spans="4:6">
      <c r="D8006" s="8"/>
      <c r="E8006" s="8"/>
      <c r="F8006" s="8"/>
    </row>
    <row r="8007" spans="4:6">
      <c r="D8007" s="8"/>
      <c r="E8007" s="8"/>
      <c r="F8007" s="8"/>
    </row>
    <row r="8008" spans="4:6">
      <c r="D8008" s="8"/>
      <c r="E8008" s="8"/>
      <c r="F8008" s="8"/>
    </row>
    <row r="8009" spans="4:6">
      <c r="D8009" s="8"/>
      <c r="E8009" s="8"/>
      <c r="F8009" s="8"/>
    </row>
    <row r="8010" spans="4:6">
      <c r="D8010" s="8"/>
      <c r="E8010" s="8"/>
      <c r="F8010" s="8"/>
    </row>
    <row r="8011" spans="4:6">
      <c r="D8011" s="8"/>
      <c r="E8011" s="8"/>
      <c r="F8011" s="8"/>
    </row>
    <row r="8012" spans="4:6">
      <c r="D8012" s="8"/>
      <c r="E8012" s="8"/>
      <c r="F8012" s="8"/>
    </row>
    <row r="8013" spans="4:6">
      <c r="D8013" s="8"/>
      <c r="E8013" s="8"/>
      <c r="F8013" s="8"/>
    </row>
    <row r="8014" spans="4:6">
      <c r="D8014" s="8"/>
      <c r="E8014" s="8"/>
      <c r="F8014" s="8"/>
    </row>
    <row r="8015" spans="4:6">
      <c r="D8015" s="8"/>
      <c r="E8015" s="8"/>
      <c r="F8015" s="8"/>
    </row>
    <row r="8016" spans="4:6">
      <c r="D8016" s="8"/>
      <c r="E8016" s="8"/>
      <c r="F8016" s="8"/>
    </row>
    <row r="8017" spans="4:6">
      <c r="D8017" s="8"/>
      <c r="E8017" s="8"/>
      <c r="F8017" s="8"/>
    </row>
    <row r="8018" spans="4:6">
      <c r="D8018" s="8"/>
      <c r="E8018" s="8"/>
      <c r="F8018" s="8"/>
    </row>
    <row r="8019" spans="4:6">
      <c r="D8019" s="8"/>
      <c r="E8019" s="8"/>
      <c r="F8019" s="8"/>
    </row>
    <row r="8020" spans="4:6">
      <c r="D8020" s="8"/>
      <c r="E8020" s="8"/>
      <c r="F8020" s="8"/>
    </row>
    <row r="8021" spans="4:6">
      <c r="D8021" s="8"/>
      <c r="E8021" s="8"/>
      <c r="F8021" s="8"/>
    </row>
    <row r="8022" spans="4:6">
      <c r="D8022" s="8"/>
      <c r="E8022" s="8"/>
      <c r="F8022" s="8"/>
    </row>
    <row r="8023" spans="4:6">
      <c r="D8023" s="8"/>
      <c r="E8023" s="8"/>
      <c r="F8023" s="8"/>
    </row>
    <row r="8024" spans="4:6">
      <c r="D8024" s="8"/>
      <c r="E8024" s="8"/>
      <c r="F8024" s="8"/>
    </row>
    <row r="8025" spans="4:6">
      <c r="D8025" s="8"/>
      <c r="E8025" s="8"/>
      <c r="F8025" s="8"/>
    </row>
    <row r="8026" spans="4:6">
      <c r="D8026" s="8"/>
      <c r="E8026" s="8"/>
      <c r="F8026" s="8"/>
    </row>
    <row r="8027" spans="4:6">
      <c r="D8027" s="8"/>
      <c r="E8027" s="8"/>
      <c r="F8027" s="8"/>
    </row>
    <row r="8028" spans="4:6">
      <c r="D8028" s="8"/>
      <c r="E8028" s="8"/>
      <c r="F8028" s="8"/>
    </row>
    <row r="8029" spans="4:6">
      <c r="D8029" s="8"/>
      <c r="E8029" s="8"/>
      <c r="F8029" s="8"/>
    </row>
    <row r="8030" spans="4:6">
      <c r="D8030" s="8"/>
      <c r="E8030" s="8"/>
      <c r="F8030" s="8"/>
    </row>
    <row r="8031" spans="4:6">
      <c r="D8031" s="8"/>
      <c r="E8031" s="8"/>
      <c r="F8031" s="8"/>
    </row>
    <row r="8032" spans="4:6">
      <c r="D8032" s="8"/>
      <c r="E8032" s="8"/>
      <c r="F8032" s="8"/>
    </row>
    <row r="8033" spans="4:6">
      <c r="D8033" s="8"/>
      <c r="E8033" s="8"/>
      <c r="F8033" s="8"/>
    </row>
    <row r="8034" spans="4:6">
      <c r="D8034" s="8"/>
      <c r="E8034" s="8"/>
      <c r="F8034" s="8"/>
    </row>
    <row r="8035" spans="4:6">
      <c r="D8035" s="8"/>
      <c r="E8035" s="8"/>
      <c r="F8035" s="8"/>
    </row>
    <row r="8036" spans="4:6">
      <c r="D8036" s="8"/>
      <c r="E8036" s="8"/>
      <c r="F8036" s="8"/>
    </row>
    <row r="8037" spans="4:6">
      <c r="D8037" s="8"/>
      <c r="E8037" s="8"/>
      <c r="F8037" s="8"/>
    </row>
    <row r="8038" spans="4:6">
      <c r="D8038" s="8"/>
      <c r="E8038" s="8"/>
      <c r="F8038" s="8"/>
    </row>
    <row r="8039" spans="4:6">
      <c r="D8039" s="8"/>
      <c r="E8039" s="8"/>
      <c r="F8039" s="8"/>
    </row>
    <row r="8040" spans="4:6">
      <c r="D8040" s="8"/>
      <c r="E8040" s="8"/>
      <c r="F8040" s="8"/>
    </row>
    <row r="8041" spans="4:6">
      <c r="D8041" s="8"/>
      <c r="E8041" s="8"/>
      <c r="F8041" s="8"/>
    </row>
    <row r="8042" spans="4:6">
      <c r="D8042" s="8"/>
      <c r="E8042" s="8"/>
      <c r="F8042" s="8"/>
    </row>
    <row r="8043" spans="4:6">
      <c r="D8043" s="8"/>
      <c r="E8043" s="8"/>
      <c r="F8043" s="8"/>
    </row>
    <row r="8044" spans="4:6">
      <c r="D8044" s="8"/>
      <c r="E8044" s="8"/>
      <c r="F8044" s="8"/>
    </row>
    <row r="8045" spans="4:6">
      <c r="D8045" s="8"/>
      <c r="E8045" s="8"/>
      <c r="F8045" s="8"/>
    </row>
    <row r="8046" spans="4:6">
      <c r="D8046" s="8"/>
      <c r="E8046" s="8"/>
      <c r="F8046" s="8"/>
    </row>
    <row r="8047" spans="4:6">
      <c r="D8047" s="8"/>
      <c r="E8047" s="8"/>
      <c r="F8047" s="8"/>
    </row>
    <row r="8048" spans="4:6">
      <c r="D8048" s="8"/>
      <c r="E8048" s="8"/>
      <c r="F8048" s="8"/>
    </row>
    <row r="8049" spans="4:6">
      <c r="D8049" s="8"/>
      <c r="E8049" s="8"/>
      <c r="F8049" s="8"/>
    </row>
    <row r="8050" spans="4:6">
      <c r="D8050" s="8"/>
      <c r="E8050" s="8"/>
      <c r="F8050" s="8"/>
    </row>
    <row r="8051" spans="4:6">
      <c r="D8051" s="8"/>
      <c r="E8051" s="8"/>
      <c r="F8051" s="8"/>
    </row>
    <row r="8052" spans="4:6">
      <c r="D8052" s="8"/>
      <c r="E8052" s="8"/>
      <c r="F8052" s="8"/>
    </row>
    <row r="8053" spans="4:6">
      <c r="D8053" s="8"/>
      <c r="E8053" s="8"/>
      <c r="F8053" s="8"/>
    </row>
    <row r="8054" spans="4:6">
      <c r="D8054" s="8"/>
      <c r="E8054" s="8"/>
      <c r="F8054" s="8"/>
    </row>
    <row r="8055" spans="4:6">
      <c r="D8055" s="8"/>
      <c r="E8055" s="8"/>
      <c r="F8055" s="8"/>
    </row>
    <row r="8056" spans="4:6">
      <c r="D8056" s="8"/>
      <c r="E8056" s="8"/>
      <c r="F8056" s="8"/>
    </row>
    <row r="8057" spans="4:6">
      <c r="D8057" s="8"/>
      <c r="E8057" s="8"/>
      <c r="F8057" s="8"/>
    </row>
    <row r="8058" spans="4:6">
      <c r="D8058" s="8"/>
      <c r="E8058" s="8"/>
      <c r="F8058" s="8"/>
    </row>
    <row r="8059" spans="4:6">
      <c r="D8059" s="8"/>
      <c r="E8059" s="8"/>
      <c r="F8059" s="8"/>
    </row>
    <row r="8060" spans="4:6">
      <c r="D8060" s="8"/>
      <c r="E8060" s="8"/>
      <c r="F8060" s="8"/>
    </row>
    <row r="8061" spans="4:6">
      <c r="D8061" s="8"/>
      <c r="E8061" s="8"/>
      <c r="F8061" s="8"/>
    </row>
    <row r="8062" spans="4:6">
      <c r="D8062" s="8"/>
      <c r="E8062" s="8"/>
      <c r="F8062" s="8"/>
    </row>
    <row r="8063" spans="4:6">
      <c r="D8063" s="8"/>
      <c r="E8063" s="8"/>
      <c r="F8063" s="8"/>
    </row>
    <row r="8064" spans="4:6">
      <c r="D8064" s="8"/>
      <c r="E8064" s="8"/>
      <c r="F8064" s="8"/>
    </row>
    <row r="8065" spans="4:6">
      <c r="D8065" s="8"/>
      <c r="E8065" s="8"/>
      <c r="F8065" s="8"/>
    </row>
    <row r="8066" spans="4:6">
      <c r="D8066" s="8"/>
      <c r="E8066" s="8"/>
      <c r="F8066" s="8"/>
    </row>
    <row r="8067" spans="4:6">
      <c r="D8067" s="8"/>
      <c r="E8067" s="8"/>
      <c r="F8067" s="8"/>
    </row>
    <row r="8068" spans="4:6">
      <c r="D8068" s="8"/>
      <c r="E8068" s="8"/>
      <c r="F8068" s="8"/>
    </row>
    <row r="8069" spans="4:6">
      <c r="D8069" s="8"/>
      <c r="E8069" s="8"/>
      <c r="F8069" s="8"/>
    </row>
    <row r="8070" spans="4:6">
      <c r="D8070" s="8"/>
      <c r="E8070" s="8"/>
      <c r="F8070" s="8"/>
    </row>
    <row r="8071" spans="4:6">
      <c r="D8071" s="8"/>
      <c r="E8071" s="8"/>
      <c r="F8071" s="8"/>
    </row>
    <row r="8072" spans="4:6">
      <c r="D8072" s="8"/>
      <c r="E8072" s="8"/>
      <c r="F8072" s="8"/>
    </row>
    <row r="8073" spans="4:6">
      <c r="D8073" s="8"/>
      <c r="E8073" s="8"/>
      <c r="F8073" s="8"/>
    </row>
    <row r="8074" spans="4:6">
      <c r="D8074" s="8"/>
      <c r="E8074" s="8"/>
      <c r="F8074" s="8"/>
    </row>
    <row r="8075" spans="4:6">
      <c r="D8075" s="8"/>
      <c r="E8075" s="8"/>
      <c r="F8075" s="8"/>
    </row>
    <row r="8076" spans="4:6">
      <c r="D8076" s="8"/>
      <c r="E8076" s="8"/>
      <c r="F8076" s="8"/>
    </row>
    <row r="8077" spans="4:6">
      <c r="D8077" s="8"/>
      <c r="E8077" s="8"/>
      <c r="F8077" s="8"/>
    </row>
    <row r="8078" spans="4:6">
      <c r="D8078" s="8"/>
      <c r="E8078" s="8"/>
      <c r="F8078" s="8"/>
    </row>
    <row r="8079" spans="4:6">
      <c r="D8079" s="8"/>
      <c r="E8079" s="8"/>
      <c r="F8079" s="8"/>
    </row>
    <row r="8080" spans="4:6">
      <c r="D8080" s="8"/>
      <c r="E8080" s="8"/>
      <c r="F8080" s="8"/>
    </row>
    <row r="8081" spans="4:6">
      <c r="D8081" s="8"/>
      <c r="E8081" s="8"/>
      <c r="F8081" s="8"/>
    </row>
    <row r="8082" spans="4:6">
      <c r="D8082" s="8"/>
      <c r="E8082" s="8"/>
      <c r="F8082" s="8"/>
    </row>
    <row r="8083" spans="4:6">
      <c r="D8083" s="8"/>
      <c r="E8083" s="8"/>
      <c r="F8083" s="8"/>
    </row>
    <row r="8084" spans="4:6">
      <c r="D8084" s="8"/>
      <c r="E8084" s="8"/>
      <c r="F8084" s="8"/>
    </row>
    <row r="8085" spans="4:6">
      <c r="D8085" s="8"/>
      <c r="E8085" s="8"/>
      <c r="F8085" s="8"/>
    </row>
    <row r="8086" spans="4:6">
      <c r="D8086" s="8"/>
      <c r="E8086" s="8"/>
      <c r="F8086" s="8"/>
    </row>
    <row r="8087" spans="4:6">
      <c r="D8087" s="8"/>
      <c r="E8087" s="8"/>
      <c r="F8087" s="8"/>
    </row>
    <row r="8088" spans="4:6">
      <c r="D8088" s="8"/>
      <c r="E8088" s="8"/>
      <c r="F8088" s="8"/>
    </row>
    <row r="8089" spans="4:6">
      <c r="D8089" s="8"/>
      <c r="E8089" s="8"/>
      <c r="F8089" s="8"/>
    </row>
    <row r="8090" spans="4:6">
      <c r="D8090" s="8"/>
      <c r="E8090" s="8"/>
      <c r="F8090" s="8"/>
    </row>
    <row r="8091" spans="4:6">
      <c r="D8091" s="8"/>
      <c r="E8091" s="8"/>
      <c r="F8091" s="8"/>
    </row>
    <row r="8092" spans="4:6">
      <c r="D8092" s="8"/>
      <c r="E8092" s="8"/>
      <c r="F8092" s="8"/>
    </row>
    <row r="8093" spans="4:6">
      <c r="D8093" s="8"/>
      <c r="E8093" s="8"/>
      <c r="F8093" s="8"/>
    </row>
    <row r="8094" spans="4:6">
      <c r="D8094" s="8"/>
      <c r="E8094" s="8"/>
      <c r="F8094" s="8"/>
    </row>
    <row r="8095" spans="4:6">
      <c r="D8095" s="8"/>
      <c r="E8095" s="8"/>
      <c r="F8095" s="8"/>
    </row>
    <row r="8096" spans="4:6">
      <c r="D8096" s="8"/>
      <c r="E8096" s="8"/>
      <c r="F8096" s="8"/>
    </row>
    <row r="8097" spans="4:6">
      <c r="D8097" s="8"/>
      <c r="E8097" s="8"/>
      <c r="F8097" s="8"/>
    </row>
    <row r="8098" spans="4:6">
      <c r="D8098" s="8"/>
      <c r="E8098" s="8"/>
      <c r="F8098" s="8"/>
    </row>
    <row r="8099" spans="4:6">
      <c r="D8099" s="8"/>
      <c r="E8099" s="8"/>
      <c r="F8099" s="8"/>
    </row>
    <row r="8100" spans="4:6">
      <c r="D8100" s="8"/>
      <c r="E8100" s="8"/>
      <c r="F8100" s="8"/>
    </row>
    <row r="8101" spans="4:6">
      <c r="D8101" s="8"/>
      <c r="E8101" s="8"/>
      <c r="F8101" s="8"/>
    </row>
    <row r="8102" spans="4:6">
      <c r="D8102" s="8"/>
      <c r="E8102" s="8"/>
      <c r="F8102" s="8"/>
    </row>
    <row r="8103" spans="4:6">
      <c r="D8103" s="8"/>
      <c r="E8103" s="8"/>
      <c r="F8103" s="8"/>
    </row>
    <row r="8104" spans="4:6">
      <c r="D8104" s="8"/>
      <c r="E8104" s="8"/>
      <c r="F8104" s="8"/>
    </row>
    <row r="8105" spans="4:6">
      <c r="D8105" s="8"/>
      <c r="E8105" s="8"/>
      <c r="F8105" s="8"/>
    </row>
    <row r="8106" spans="4:6">
      <c r="D8106" s="8"/>
      <c r="E8106" s="8"/>
      <c r="F8106" s="8"/>
    </row>
    <row r="8107" spans="4:6">
      <c r="D8107" s="8"/>
      <c r="E8107" s="8"/>
      <c r="F8107" s="8"/>
    </row>
    <row r="8108" spans="4:6">
      <c r="D8108" s="8"/>
      <c r="E8108" s="8"/>
      <c r="F8108" s="8"/>
    </row>
    <row r="8109" spans="4:6">
      <c r="D8109" s="8"/>
      <c r="E8109" s="8"/>
      <c r="F8109" s="8"/>
    </row>
    <row r="8110" spans="4:6">
      <c r="D8110" s="8"/>
      <c r="E8110" s="8"/>
      <c r="F8110" s="8"/>
    </row>
    <row r="8111" spans="4:6">
      <c r="D8111" s="8"/>
      <c r="E8111" s="8"/>
      <c r="F8111" s="8"/>
    </row>
    <row r="8112" spans="4:6">
      <c r="D8112" s="8"/>
      <c r="E8112" s="8"/>
      <c r="F8112" s="8"/>
    </row>
    <row r="8113" spans="4:6">
      <c r="D8113" s="8"/>
      <c r="E8113" s="8"/>
      <c r="F8113" s="8"/>
    </row>
    <row r="8114" spans="4:6">
      <c r="D8114" s="8"/>
      <c r="E8114" s="8"/>
      <c r="F8114" s="8"/>
    </row>
    <row r="8115" spans="4:6">
      <c r="D8115" s="8"/>
      <c r="E8115" s="8"/>
      <c r="F8115" s="8"/>
    </row>
    <row r="8116" spans="4:6">
      <c r="D8116" s="8"/>
      <c r="E8116" s="8"/>
      <c r="F8116" s="8"/>
    </row>
    <row r="8117" spans="4:6">
      <c r="D8117" s="8"/>
      <c r="E8117" s="8"/>
      <c r="F8117" s="8"/>
    </row>
    <row r="8118" spans="4:6">
      <c r="D8118" s="8"/>
      <c r="E8118" s="8"/>
      <c r="F8118" s="8"/>
    </row>
    <row r="8119" spans="4:6">
      <c r="D8119" s="8"/>
      <c r="E8119" s="8"/>
      <c r="F8119" s="8"/>
    </row>
    <row r="8120" spans="4:6">
      <c r="D8120" s="8"/>
      <c r="E8120" s="8"/>
      <c r="F8120" s="8"/>
    </row>
    <row r="8121" spans="4:6">
      <c r="D8121" s="8"/>
      <c r="E8121" s="8"/>
      <c r="F8121" s="8"/>
    </row>
    <row r="8122" spans="4:6">
      <c r="D8122" s="8"/>
      <c r="E8122" s="8"/>
      <c r="F8122" s="8"/>
    </row>
    <row r="8123" spans="4:6">
      <c r="D8123" s="8"/>
      <c r="E8123" s="8"/>
      <c r="F8123" s="8"/>
    </row>
    <row r="8124" spans="4:6">
      <c r="D8124" s="8"/>
      <c r="E8124" s="8"/>
      <c r="F8124" s="8"/>
    </row>
    <row r="8125" spans="4:6">
      <c r="D8125" s="8"/>
      <c r="E8125" s="8"/>
      <c r="F8125" s="8"/>
    </row>
    <row r="8126" spans="4:6">
      <c r="D8126" s="8"/>
      <c r="E8126" s="8"/>
      <c r="F8126" s="8"/>
    </row>
    <row r="8127" spans="4:6">
      <c r="D8127" s="8"/>
      <c r="E8127" s="8"/>
      <c r="F8127" s="8"/>
    </row>
    <row r="8128" spans="4:6">
      <c r="D8128" s="8"/>
      <c r="E8128" s="8"/>
      <c r="F8128" s="8"/>
    </row>
    <row r="8129" spans="4:6">
      <c r="D8129" s="8"/>
      <c r="E8129" s="8"/>
      <c r="F8129" s="8"/>
    </row>
    <row r="8130" spans="4:6">
      <c r="D8130" s="8"/>
      <c r="E8130" s="8"/>
      <c r="F8130" s="8"/>
    </row>
    <row r="8131" spans="4:6">
      <c r="D8131" s="8"/>
      <c r="E8131" s="8"/>
      <c r="F8131" s="8"/>
    </row>
    <row r="8132" spans="4:6">
      <c r="D8132" s="8"/>
      <c r="E8132" s="8"/>
      <c r="F8132" s="8"/>
    </row>
    <row r="8133" spans="4:6">
      <c r="D8133" s="8"/>
      <c r="E8133" s="8"/>
      <c r="F8133" s="8"/>
    </row>
    <row r="8134" spans="4:6">
      <c r="D8134" s="8"/>
      <c r="E8134" s="8"/>
      <c r="F8134" s="8"/>
    </row>
    <row r="8135" spans="4:6">
      <c r="D8135" s="8"/>
      <c r="E8135" s="8"/>
      <c r="F8135" s="8"/>
    </row>
    <row r="8136" spans="4:6">
      <c r="D8136" s="8"/>
      <c r="E8136" s="8"/>
      <c r="F8136" s="8"/>
    </row>
    <row r="8137" spans="4:6">
      <c r="D8137" s="8"/>
      <c r="E8137" s="8"/>
      <c r="F8137" s="8"/>
    </row>
    <row r="8138" spans="4:6">
      <c r="D8138" s="8"/>
      <c r="E8138" s="8"/>
      <c r="F8138" s="8"/>
    </row>
    <row r="8139" spans="4:6">
      <c r="D8139" s="8"/>
      <c r="E8139" s="8"/>
      <c r="F8139" s="8"/>
    </row>
    <row r="8140" spans="4:6">
      <c r="D8140" s="8"/>
      <c r="E8140" s="8"/>
      <c r="F8140" s="8"/>
    </row>
    <row r="8141" spans="4:6">
      <c r="D8141" s="8"/>
      <c r="E8141" s="8"/>
      <c r="F8141" s="8"/>
    </row>
    <row r="8142" spans="4:6">
      <c r="D8142" s="8"/>
      <c r="E8142" s="8"/>
      <c r="F8142" s="8"/>
    </row>
    <row r="8143" spans="4:6">
      <c r="D8143" s="8"/>
      <c r="E8143" s="8"/>
      <c r="F8143" s="8"/>
    </row>
    <row r="8144" spans="4:6">
      <c r="D8144" s="8"/>
      <c r="E8144" s="8"/>
      <c r="F8144" s="8"/>
    </row>
    <row r="8145" spans="4:6">
      <c r="D8145" s="8"/>
      <c r="E8145" s="8"/>
      <c r="F8145" s="8"/>
    </row>
    <row r="8146" spans="4:6">
      <c r="D8146" s="8"/>
      <c r="E8146" s="8"/>
      <c r="F8146" s="8"/>
    </row>
    <row r="8147" spans="4:6">
      <c r="D8147" s="8"/>
      <c r="E8147" s="8"/>
      <c r="F8147" s="8"/>
    </row>
    <row r="8148" spans="4:6">
      <c r="D8148" s="8"/>
      <c r="E8148" s="8"/>
      <c r="F8148" s="8"/>
    </row>
    <row r="8149" spans="4:6">
      <c r="D8149" s="8"/>
      <c r="E8149" s="8"/>
      <c r="F8149" s="8"/>
    </row>
    <row r="8150" spans="4:6">
      <c r="D8150" s="8"/>
      <c r="E8150" s="8"/>
      <c r="F8150" s="8"/>
    </row>
    <row r="8151" spans="4:6">
      <c r="D8151" s="8"/>
      <c r="E8151" s="8"/>
      <c r="F8151" s="8"/>
    </row>
    <row r="8152" spans="4:6">
      <c r="D8152" s="8"/>
      <c r="E8152" s="8"/>
      <c r="F8152" s="8"/>
    </row>
    <row r="8153" spans="4:6">
      <c r="D8153" s="8"/>
      <c r="E8153" s="8"/>
      <c r="F8153" s="8"/>
    </row>
    <row r="8154" spans="4:6">
      <c r="D8154" s="8"/>
      <c r="E8154" s="8"/>
      <c r="F8154" s="8"/>
    </row>
    <row r="8155" spans="4:6">
      <c r="D8155" s="8"/>
      <c r="E8155" s="8"/>
      <c r="F8155" s="8"/>
    </row>
    <row r="8156" spans="4:6">
      <c r="D8156" s="8"/>
      <c r="E8156" s="8"/>
      <c r="F8156" s="8"/>
    </row>
    <row r="8157" spans="4:6">
      <c r="D8157" s="8"/>
      <c r="E8157" s="8"/>
      <c r="F8157" s="8"/>
    </row>
    <row r="8158" spans="4:6">
      <c r="D8158" s="8"/>
      <c r="E8158" s="8"/>
      <c r="F8158" s="8"/>
    </row>
    <row r="8159" spans="4:6">
      <c r="D8159" s="8"/>
      <c r="E8159" s="8"/>
      <c r="F8159" s="8"/>
    </row>
    <row r="8160" spans="4:6">
      <c r="D8160" s="8"/>
      <c r="E8160" s="8"/>
      <c r="F8160" s="8"/>
    </row>
    <row r="8161" spans="4:6">
      <c r="D8161" s="8"/>
      <c r="E8161" s="8"/>
      <c r="F8161" s="8"/>
    </row>
    <row r="8162" spans="4:6">
      <c r="D8162" s="8"/>
      <c r="E8162" s="8"/>
      <c r="F8162" s="8"/>
    </row>
    <row r="8163" spans="4:6">
      <c r="D8163" s="8"/>
      <c r="E8163" s="8"/>
      <c r="F8163" s="8"/>
    </row>
    <row r="8164" spans="4:6">
      <c r="D8164" s="8"/>
      <c r="E8164" s="8"/>
      <c r="F8164" s="8"/>
    </row>
    <row r="8165" spans="4:6">
      <c r="D8165" s="8"/>
      <c r="E8165" s="8"/>
      <c r="F8165" s="8"/>
    </row>
    <row r="8166" spans="4:6">
      <c r="D8166" s="8"/>
      <c r="E8166" s="8"/>
      <c r="F8166" s="8"/>
    </row>
    <row r="8167" spans="4:6">
      <c r="D8167" s="8"/>
      <c r="E8167" s="8"/>
      <c r="F8167" s="8"/>
    </row>
    <row r="8168" spans="4:6">
      <c r="D8168" s="8"/>
      <c r="E8168" s="8"/>
      <c r="F8168" s="8"/>
    </row>
    <row r="8169" spans="4:6">
      <c r="D8169" s="8"/>
      <c r="E8169" s="8"/>
      <c r="F8169" s="8"/>
    </row>
    <row r="8170" spans="4:6">
      <c r="D8170" s="8"/>
      <c r="E8170" s="8"/>
      <c r="F8170" s="8"/>
    </row>
    <row r="8171" spans="4:6">
      <c r="D8171" s="8"/>
      <c r="E8171" s="8"/>
      <c r="F8171" s="8"/>
    </row>
    <row r="8172" spans="4:6">
      <c r="D8172" s="8"/>
      <c r="E8172" s="8"/>
      <c r="F8172" s="8"/>
    </row>
    <row r="8173" spans="4:6">
      <c r="D8173" s="8"/>
      <c r="E8173" s="8"/>
      <c r="F8173" s="8"/>
    </row>
    <row r="8174" spans="4:6">
      <c r="D8174" s="8"/>
      <c r="E8174" s="8"/>
      <c r="F8174" s="8"/>
    </row>
    <row r="8175" spans="4:6">
      <c r="D8175" s="8"/>
      <c r="E8175" s="8"/>
      <c r="F8175" s="8"/>
    </row>
    <row r="8176" spans="4:6">
      <c r="D8176" s="8"/>
      <c r="E8176" s="8"/>
      <c r="F8176" s="8"/>
    </row>
    <row r="8177" spans="4:6">
      <c r="D8177" s="8"/>
      <c r="E8177" s="8"/>
      <c r="F8177" s="8"/>
    </row>
    <row r="8178" spans="4:6">
      <c r="D8178" s="8"/>
      <c r="E8178" s="8"/>
      <c r="F8178" s="8"/>
    </row>
    <row r="8179" spans="4:6">
      <c r="D8179" s="8"/>
      <c r="E8179" s="8"/>
      <c r="F8179" s="8"/>
    </row>
    <row r="8180" spans="4:6">
      <c r="D8180" s="8"/>
      <c r="E8180" s="8"/>
      <c r="F8180" s="8"/>
    </row>
    <row r="8181" spans="4:6">
      <c r="D8181" s="8"/>
      <c r="E8181" s="8"/>
      <c r="F8181" s="8"/>
    </row>
    <row r="8182" spans="4:6">
      <c r="D8182" s="8"/>
      <c r="E8182" s="8"/>
      <c r="F8182" s="8"/>
    </row>
    <row r="8183" spans="4:6">
      <c r="D8183" s="8"/>
      <c r="E8183" s="8"/>
      <c r="F8183" s="8"/>
    </row>
    <row r="8184" spans="4:6">
      <c r="D8184" s="8"/>
      <c r="E8184" s="8"/>
      <c r="F8184" s="8"/>
    </row>
    <row r="8185" spans="4:6">
      <c r="D8185" s="8"/>
      <c r="E8185" s="8"/>
      <c r="F8185" s="8"/>
    </row>
    <row r="8186" spans="4:6">
      <c r="D8186" s="8"/>
      <c r="E8186" s="8"/>
      <c r="F8186" s="8"/>
    </row>
    <row r="8187" spans="4:6">
      <c r="D8187" s="8"/>
      <c r="E8187" s="8"/>
      <c r="F8187" s="8"/>
    </row>
    <row r="8188" spans="4:6">
      <c r="D8188" s="8"/>
      <c r="E8188" s="8"/>
      <c r="F8188" s="8"/>
    </row>
    <row r="8189" spans="4:6">
      <c r="D8189" s="8"/>
      <c r="E8189" s="8"/>
      <c r="F8189" s="8"/>
    </row>
    <row r="8190" spans="4:6">
      <c r="D8190" s="8"/>
      <c r="E8190" s="8"/>
      <c r="F8190" s="8"/>
    </row>
    <row r="8191" spans="4:6">
      <c r="D8191" s="8"/>
      <c r="E8191" s="8"/>
      <c r="F8191" s="8"/>
    </row>
    <row r="8192" spans="4:6">
      <c r="D8192" s="8"/>
      <c r="E8192" s="8"/>
      <c r="F8192" s="8"/>
    </row>
    <row r="8193" spans="4:6">
      <c r="D8193" s="8"/>
      <c r="E8193" s="8"/>
      <c r="F8193" s="8"/>
    </row>
    <row r="8194" spans="4:6">
      <c r="D8194" s="8"/>
      <c r="E8194" s="8"/>
      <c r="F8194" s="8"/>
    </row>
    <row r="8195" spans="4:6">
      <c r="D8195" s="8"/>
      <c r="E8195" s="8"/>
      <c r="F8195" s="8"/>
    </row>
    <row r="8196" spans="4:6">
      <c r="D8196" s="8"/>
      <c r="E8196" s="8"/>
      <c r="F8196" s="8"/>
    </row>
    <row r="8197" spans="4:6">
      <c r="D8197" s="8"/>
      <c r="E8197" s="8"/>
      <c r="F8197" s="8"/>
    </row>
    <row r="8198" spans="4:6">
      <c r="D8198" s="8"/>
      <c r="E8198" s="8"/>
      <c r="F8198" s="8"/>
    </row>
    <row r="8199" spans="4:6">
      <c r="D8199" s="8"/>
      <c r="E8199" s="8"/>
      <c r="F8199" s="8"/>
    </row>
    <row r="8200" spans="4:6">
      <c r="D8200" s="8"/>
      <c r="E8200" s="8"/>
      <c r="F8200" s="8"/>
    </row>
    <row r="8201" spans="4:6">
      <c r="D8201" s="8"/>
      <c r="E8201" s="8"/>
      <c r="F8201" s="8"/>
    </row>
    <row r="8202" spans="4:6">
      <c r="D8202" s="8"/>
      <c r="E8202" s="8"/>
      <c r="F8202" s="8"/>
    </row>
    <row r="8203" spans="4:6">
      <c r="D8203" s="8"/>
      <c r="E8203" s="8"/>
      <c r="F8203" s="8"/>
    </row>
    <row r="8204" spans="4:6">
      <c r="D8204" s="8"/>
      <c r="E8204" s="8"/>
      <c r="F8204" s="8"/>
    </row>
    <row r="8205" spans="4:6">
      <c r="D8205" s="8"/>
      <c r="E8205" s="8"/>
      <c r="F8205" s="8"/>
    </row>
    <row r="8206" spans="4:6">
      <c r="D8206" s="8"/>
      <c r="E8206" s="8"/>
      <c r="F8206" s="8"/>
    </row>
    <row r="8207" spans="4:6">
      <c r="D8207" s="8"/>
      <c r="E8207" s="8"/>
      <c r="F8207" s="8"/>
    </row>
    <row r="8208" spans="4:6">
      <c r="D8208" s="8"/>
      <c r="E8208" s="8"/>
      <c r="F8208" s="8"/>
    </row>
    <row r="8209" spans="4:6">
      <c r="D8209" s="8"/>
      <c r="E8209" s="8"/>
      <c r="F8209" s="8"/>
    </row>
    <row r="8210" spans="4:6">
      <c r="D8210" s="8"/>
      <c r="E8210" s="8"/>
      <c r="F8210" s="8"/>
    </row>
    <row r="8211" spans="4:6">
      <c r="D8211" s="8"/>
      <c r="E8211" s="8"/>
      <c r="F8211" s="8"/>
    </row>
    <row r="8212" spans="4:6">
      <c r="D8212" s="8"/>
      <c r="E8212" s="8"/>
      <c r="F8212" s="8"/>
    </row>
    <row r="8213" spans="4:6">
      <c r="D8213" s="8"/>
      <c r="E8213" s="8"/>
      <c r="F8213" s="8"/>
    </row>
    <row r="8214" spans="4:6">
      <c r="D8214" s="8"/>
      <c r="E8214" s="8"/>
      <c r="F8214" s="8"/>
    </row>
    <row r="8215" spans="4:6">
      <c r="D8215" s="8"/>
      <c r="E8215" s="8"/>
      <c r="F8215" s="8"/>
    </row>
    <row r="8216" spans="4:6">
      <c r="D8216" s="8"/>
      <c r="E8216" s="8"/>
      <c r="F8216" s="8"/>
    </row>
    <row r="8217" spans="4:6">
      <c r="D8217" s="8"/>
      <c r="E8217" s="8"/>
      <c r="F8217" s="8"/>
    </row>
    <row r="8218" spans="4:6">
      <c r="D8218" s="8"/>
      <c r="E8218" s="8"/>
      <c r="F8218" s="8"/>
    </row>
    <row r="8219" spans="4:6">
      <c r="D8219" s="8"/>
      <c r="E8219" s="8"/>
      <c r="F8219" s="8"/>
    </row>
    <row r="8220" spans="4:6">
      <c r="D8220" s="8"/>
      <c r="E8220" s="8"/>
      <c r="F8220" s="8"/>
    </row>
    <row r="8221" spans="4:6">
      <c r="D8221" s="8"/>
      <c r="E8221" s="8"/>
      <c r="F8221" s="8"/>
    </row>
    <row r="8222" spans="4:6">
      <c r="D8222" s="8"/>
      <c r="E8222" s="8"/>
      <c r="F8222" s="8"/>
    </row>
    <row r="8223" spans="4:6">
      <c r="D8223" s="8"/>
      <c r="E8223" s="8"/>
      <c r="F8223" s="8"/>
    </row>
    <row r="8224" spans="4:6">
      <c r="D8224" s="8"/>
      <c r="E8224" s="8"/>
      <c r="F8224" s="8"/>
    </row>
    <row r="8225" spans="4:6">
      <c r="D8225" s="8"/>
      <c r="E8225" s="8"/>
      <c r="F8225" s="8"/>
    </row>
    <row r="8226" spans="4:6">
      <c r="D8226" s="8"/>
      <c r="E8226" s="8"/>
      <c r="F8226" s="8"/>
    </row>
    <row r="8227" spans="4:6">
      <c r="D8227" s="8"/>
      <c r="E8227" s="8"/>
      <c r="F8227" s="8"/>
    </row>
    <row r="8228" spans="4:6">
      <c r="D8228" s="8"/>
      <c r="E8228" s="8"/>
      <c r="F8228" s="8"/>
    </row>
    <row r="8229" spans="4:6">
      <c r="D8229" s="8"/>
      <c r="E8229" s="8"/>
      <c r="F8229" s="8"/>
    </row>
    <row r="8230" spans="4:6">
      <c r="D8230" s="8"/>
      <c r="E8230" s="8"/>
      <c r="F8230" s="8"/>
    </row>
    <row r="8231" spans="4:6">
      <c r="D8231" s="8"/>
      <c r="E8231" s="8"/>
      <c r="F8231" s="8"/>
    </row>
    <row r="8232" spans="4:6">
      <c r="D8232" s="8"/>
      <c r="E8232" s="8"/>
      <c r="F8232" s="8"/>
    </row>
    <row r="8233" spans="4:6">
      <c r="D8233" s="8"/>
      <c r="E8233" s="8"/>
      <c r="F8233" s="8"/>
    </row>
    <row r="8234" spans="4:6">
      <c r="D8234" s="8"/>
      <c r="E8234" s="8"/>
      <c r="F8234" s="8"/>
    </row>
    <row r="8235" spans="4:6">
      <c r="D8235" s="8"/>
      <c r="E8235" s="8"/>
      <c r="F8235" s="8"/>
    </row>
    <row r="8236" spans="4:6">
      <c r="D8236" s="8"/>
      <c r="E8236" s="8"/>
      <c r="F8236" s="8"/>
    </row>
    <row r="8237" spans="4:6">
      <c r="D8237" s="8"/>
      <c r="E8237" s="8"/>
      <c r="F8237" s="8"/>
    </row>
    <row r="8238" spans="4:6">
      <c r="D8238" s="8"/>
      <c r="E8238" s="8"/>
      <c r="F8238" s="8"/>
    </row>
    <row r="8239" spans="4:6">
      <c r="D8239" s="8"/>
      <c r="E8239" s="8"/>
      <c r="F8239" s="8"/>
    </row>
    <row r="8240" spans="4:6">
      <c r="D8240" s="8"/>
      <c r="E8240" s="8"/>
      <c r="F8240" s="8"/>
    </row>
    <row r="8241" spans="4:6">
      <c r="D8241" s="8"/>
      <c r="E8241" s="8"/>
      <c r="F8241" s="8"/>
    </row>
    <row r="8242" spans="4:6">
      <c r="D8242" s="8"/>
      <c r="E8242" s="8"/>
      <c r="F8242" s="8"/>
    </row>
    <row r="8243" spans="4:6">
      <c r="D8243" s="8"/>
      <c r="E8243" s="8"/>
      <c r="F8243" s="8"/>
    </row>
    <row r="8244" spans="4:6">
      <c r="D8244" s="8"/>
      <c r="E8244" s="8"/>
      <c r="F8244" s="8"/>
    </row>
    <row r="8245" spans="4:6">
      <c r="D8245" s="8"/>
      <c r="E8245" s="8"/>
      <c r="F8245" s="8"/>
    </row>
    <row r="8246" spans="4:6">
      <c r="D8246" s="8"/>
      <c r="E8246" s="8"/>
      <c r="F8246" s="8"/>
    </row>
    <row r="8247" spans="4:6">
      <c r="D8247" s="8"/>
      <c r="E8247" s="8"/>
      <c r="F8247" s="8"/>
    </row>
    <row r="8248" spans="4:6">
      <c r="D8248" s="8"/>
      <c r="E8248" s="8"/>
      <c r="F8248" s="8"/>
    </row>
    <row r="8249" spans="4:6">
      <c r="D8249" s="8"/>
      <c r="E8249" s="8"/>
      <c r="F8249" s="8"/>
    </row>
    <row r="8250" spans="4:6">
      <c r="D8250" s="8"/>
      <c r="E8250" s="8"/>
      <c r="F8250" s="8"/>
    </row>
    <row r="8251" spans="4:6">
      <c r="D8251" s="8"/>
      <c r="E8251" s="8"/>
      <c r="F8251" s="8"/>
    </row>
    <row r="8252" spans="4:6">
      <c r="D8252" s="8"/>
      <c r="E8252" s="8"/>
      <c r="F8252" s="8"/>
    </row>
    <row r="8253" spans="4:6">
      <c r="D8253" s="8"/>
      <c r="E8253" s="8"/>
      <c r="F8253" s="8"/>
    </row>
    <row r="8254" spans="4:6">
      <c r="D8254" s="8"/>
      <c r="E8254" s="8"/>
      <c r="F8254" s="8"/>
    </row>
    <row r="8255" spans="4:6">
      <c r="D8255" s="8"/>
      <c r="E8255" s="8"/>
      <c r="F8255" s="8"/>
    </row>
    <row r="8256" spans="4:6">
      <c r="D8256" s="8"/>
      <c r="E8256" s="8"/>
      <c r="F8256" s="8"/>
    </row>
    <row r="8257" spans="4:6">
      <c r="D8257" s="8"/>
      <c r="E8257" s="8"/>
      <c r="F8257" s="8"/>
    </row>
    <row r="8258" spans="4:6">
      <c r="D8258" s="8"/>
      <c r="E8258" s="8"/>
      <c r="F8258" s="8"/>
    </row>
    <row r="8259" spans="4:6">
      <c r="D8259" s="8"/>
      <c r="E8259" s="8"/>
      <c r="F8259" s="8"/>
    </row>
    <row r="8260" spans="4:6">
      <c r="D8260" s="8"/>
      <c r="E8260" s="8"/>
      <c r="F8260" s="8"/>
    </row>
    <row r="8261" spans="4:6">
      <c r="D8261" s="8"/>
      <c r="E8261" s="8"/>
      <c r="F8261" s="8"/>
    </row>
    <row r="8262" spans="4:6">
      <c r="D8262" s="8"/>
      <c r="E8262" s="8"/>
      <c r="F8262" s="8"/>
    </row>
    <row r="8263" spans="4:6">
      <c r="D8263" s="8"/>
      <c r="E8263" s="8"/>
      <c r="F8263" s="8"/>
    </row>
    <row r="8264" spans="4:6">
      <c r="D8264" s="8"/>
      <c r="E8264" s="8"/>
      <c r="F8264" s="8"/>
    </row>
    <row r="8265" spans="4:6">
      <c r="D8265" s="8"/>
      <c r="E8265" s="8"/>
      <c r="F8265" s="8"/>
    </row>
    <row r="8266" spans="4:6">
      <c r="D8266" s="8"/>
      <c r="E8266" s="8"/>
      <c r="F8266" s="8"/>
    </row>
    <row r="8267" spans="4:6">
      <c r="D8267" s="8"/>
      <c r="E8267" s="8"/>
      <c r="F8267" s="8"/>
    </row>
    <row r="8268" spans="4:6">
      <c r="D8268" s="8"/>
      <c r="E8268" s="8"/>
      <c r="F8268" s="8"/>
    </row>
    <row r="8269" spans="4:6">
      <c r="D8269" s="8"/>
      <c r="E8269" s="8"/>
      <c r="F8269" s="8"/>
    </row>
    <row r="8270" spans="4:6">
      <c r="D8270" s="8"/>
      <c r="E8270" s="8"/>
      <c r="F8270" s="8"/>
    </row>
    <row r="8271" spans="4:6">
      <c r="D8271" s="8"/>
      <c r="E8271" s="8"/>
      <c r="F8271" s="8"/>
    </row>
    <row r="8272" spans="4:6">
      <c r="D8272" s="8"/>
      <c r="E8272" s="8"/>
      <c r="F8272" s="8"/>
    </row>
    <row r="8273" spans="4:6">
      <c r="D8273" s="8"/>
      <c r="E8273" s="8"/>
      <c r="F8273" s="8"/>
    </row>
    <row r="8274" spans="4:6">
      <c r="D8274" s="8"/>
      <c r="E8274" s="8"/>
      <c r="F8274" s="8"/>
    </row>
    <row r="8275" spans="4:6">
      <c r="D8275" s="8"/>
      <c r="E8275" s="8"/>
      <c r="F8275" s="8"/>
    </row>
    <row r="8276" spans="4:6">
      <c r="D8276" s="8"/>
      <c r="E8276" s="8"/>
      <c r="F8276" s="8"/>
    </row>
    <row r="8277" spans="4:6">
      <c r="D8277" s="8"/>
      <c r="E8277" s="8"/>
      <c r="F8277" s="8"/>
    </row>
    <row r="8278" spans="4:6">
      <c r="D8278" s="8"/>
      <c r="E8278" s="8"/>
      <c r="F8278" s="8"/>
    </row>
    <row r="8279" spans="4:6">
      <c r="D8279" s="8"/>
      <c r="E8279" s="8"/>
      <c r="F8279" s="8"/>
    </row>
    <row r="8280" spans="4:6">
      <c r="D8280" s="8"/>
      <c r="E8280" s="8"/>
      <c r="F8280" s="8"/>
    </row>
    <row r="8281" spans="4:6">
      <c r="D8281" s="8"/>
      <c r="E8281" s="8"/>
      <c r="F8281" s="8"/>
    </row>
    <row r="8282" spans="4:6">
      <c r="D8282" s="8"/>
      <c r="E8282" s="8"/>
      <c r="F8282" s="8"/>
    </row>
    <row r="8283" spans="4:6">
      <c r="D8283" s="8"/>
      <c r="E8283" s="8"/>
      <c r="F8283" s="8"/>
    </row>
    <row r="8284" spans="4:6">
      <c r="D8284" s="8"/>
      <c r="E8284" s="8"/>
      <c r="F8284" s="8"/>
    </row>
    <row r="8285" spans="4:6">
      <c r="D8285" s="8"/>
      <c r="E8285" s="8"/>
      <c r="F8285" s="8"/>
    </row>
    <row r="8286" spans="4:6">
      <c r="D8286" s="8"/>
      <c r="E8286" s="8"/>
      <c r="F8286" s="8"/>
    </row>
    <row r="8287" spans="4:6">
      <c r="D8287" s="8"/>
      <c r="E8287" s="8"/>
      <c r="F8287" s="8"/>
    </row>
    <row r="8288" spans="4:6">
      <c r="D8288" s="8"/>
      <c r="E8288" s="8"/>
      <c r="F8288" s="8"/>
    </row>
    <row r="8289" spans="4:6">
      <c r="D8289" s="8"/>
      <c r="E8289" s="8"/>
      <c r="F8289" s="8"/>
    </row>
    <row r="8290" spans="4:6">
      <c r="D8290" s="8"/>
      <c r="E8290" s="8"/>
      <c r="F8290" s="8"/>
    </row>
    <row r="8291" spans="4:6">
      <c r="D8291" s="8"/>
      <c r="E8291" s="8"/>
      <c r="F8291" s="8"/>
    </row>
    <row r="8292" spans="4:6">
      <c r="D8292" s="8"/>
      <c r="E8292" s="8"/>
      <c r="F8292" s="8"/>
    </row>
    <row r="8293" spans="4:6">
      <c r="D8293" s="8"/>
      <c r="E8293" s="8"/>
      <c r="F8293" s="8"/>
    </row>
    <row r="8294" spans="4:6">
      <c r="D8294" s="8"/>
      <c r="E8294" s="8"/>
      <c r="F8294" s="8"/>
    </row>
    <row r="8295" spans="4:6">
      <c r="D8295" s="8"/>
      <c r="E8295" s="8"/>
      <c r="F8295" s="8"/>
    </row>
    <row r="8296" spans="4:6">
      <c r="D8296" s="8"/>
      <c r="E8296" s="8"/>
      <c r="F8296" s="8"/>
    </row>
    <row r="8297" spans="4:6">
      <c r="D8297" s="8"/>
      <c r="E8297" s="8"/>
      <c r="F8297" s="8"/>
    </row>
    <row r="8298" spans="4:6">
      <c r="D8298" s="8"/>
      <c r="E8298" s="8"/>
      <c r="F8298" s="8"/>
    </row>
    <row r="8299" spans="4:6">
      <c r="D8299" s="8"/>
      <c r="E8299" s="8"/>
      <c r="F8299" s="8"/>
    </row>
    <row r="8300" spans="4:6">
      <c r="D8300" s="8"/>
      <c r="E8300" s="8"/>
      <c r="F8300" s="8"/>
    </row>
    <row r="8301" spans="4:6">
      <c r="D8301" s="8"/>
      <c r="E8301" s="8"/>
      <c r="F8301" s="8"/>
    </row>
    <row r="8302" spans="4:6">
      <c r="D8302" s="8"/>
      <c r="E8302" s="8"/>
      <c r="F8302" s="8"/>
    </row>
    <row r="8303" spans="4:6">
      <c r="D8303" s="8"/>
      <c r="E8303" s="8"/>
      <c r="F8303" s="8"/>
    </row>
    <row r="8304" spans="4:6">
      <c r="D8304" s="8"/>
      <c r="E8304" s="8"/>
      <c r="F8304" s="8"/>
    </row>
    <row r="8305" spans="4:6">
      <c r="D8305" s="8"/>
      <c r="E8305" s="8"/>
      <c r="F8305" s="8"/>
    </row>
    <row r="8306" spans="4:6">
      <c r="D8306" s="8"/>
      <c r="E8306" s="8"/>
      <c r="F8306" s="8"/>
    </row>
    <row r="8307" spans="4:6">
      <c r="D8307" s="8"/>
      <c r="E8307" s="8"/>
      <c r="F8307" s="8"/>
    </row>
    <row r="8308" spans="4:6">
      <c r="D8308" s="8"/>
      <c r="E8308" s="8"/>
      <c r="F8308" s="8"/>
    </row>
    <row r="8309" spans="4:6">
      <c r="D8309" s="8"/>
      <c r="E8309" s="8"/>
      <c r="F8309" s="8"/>
    </row>
    <row r="8310" spans="4:6">
      <c r="D8310" s="8"/>
      <c r="E8310" s="8"/>
      <c r="F8310" s="8"/>
    </row>
    <row r="8311" spans="4:6">
      <c r="D8311" s="8"/>
      <c r="E8311" s="8"/>
      <c r="F8311" s="8"/>
    </row>
    <row r="8312" spans="4:6">
      <c r="D8312" s="8"/>
      <c r="E8312" s="8"/>
      <c r="F8312" s="8"/>
    </row>
    <row r="8313" spans="4:6">
      <c r="D8313" s="8"/>
      <c r="E8313" s="8"/>
      <c r="F8313" s="8"/>
    </row>
    <row r="8314" spans="4:6">
      <c r="D8314" s="8"/>
      <c r="E8314" s="8"/>
      <c r="F8314" s="8"/>
    </row>
    <row r="8315" spans="4:6">
      <c r="D8315" s="8"/>
      <c r="E8315" s="8"/>
      <c r="F8315" s="8"/>
    </row>
    <row r="8316" spans="4:6">
      <c r="D8316" s="8"/>
      <c r="E8316" s="8"/>
      <c r="F8316" s="8"/>
    </row>
    <row r="8317" spans="4:6">
      <c r="D8317" s="8"/>
      <c r="E8317" s="8"/>
      <c r="F8317" s="8"/>
    </row>
    <row r="8318" spans="4:6">
      <c r="D8318" s="8"/>
      <c r="E8318" s="8"/>
      <c r="F8318" s="8"/>
    </row>
    <row r="8319" spans="4:6">
      <c r="D8319" s="8"/>
      <c r="E8319" s="8"/>
      <c r="F8319" s="8"/>
    </row>
    <row r="8320" spans="4:6">
      <c r="D8320" s="8"/>
      <c r="E8320" s="8"/>
      <c r="F8320" s="8"/>
    </row>
    <row r="8321" spans="4:6">
      <c r="D8321" s="8"/>
      <c r="E8321" s="8"/>
      <c r="F8321" s="8"/>
    </row>
    <row r="8322" spans="4:6">
      <c r="D8322" s="8"/>
      <c r="E8322" s="8"/>
      <c r="F8322" s="8"/>
    </row>
    <row r="8323" spans="4:6">
      <c r="D8323" s="8"/>
      <c r="E8323" s="8"/>
      <c r="F8323" s="8"/>
    </row>
    <row r="8324" spans="4:6">
      <c r="D8324" s="8"/>
      <c r="E8324" s="8"/>
      <c r="F8324" s="8"/>
    </row>
    <row r="8325" spans="4:6">
      <c r="D8325" s="8"/>
      <c r="E8325" s="8"/>
      <c r="F8325" s="8"/>
    </row>
    <row r="8326" spans="4:6">
      <c r="D8326" s="8"/>
      <c r="E8326" s="8"/>
      <c r="F8326" s="8"/>
    </row>
    <row r="8327" spans="4:6">
      <c r="D8327" s="8"/>
      <c r="E8327" s="8"/>
      <c r="F8327" s="8"/>
    </row>
    <row r="8328" spans="4:6">
      <c r="D8328" s="8"/>
      <c r="E8328" s="8"/>
      <c r="F8328" s="8"/>
    </row>
    <row r="8329" spans="4:6">
      <c r="D8329" s="8"/>
      <c r="E8329" s="8"/>
      <c r="F8329" s="8"/>
    </row>
    <row r="8330" spans="4:6">
      <c r="D8330" s="8"/>
      <c r="E8330" s="8"/>
      <c r="F8330" s="8"/>
    </row>
    <row r="8331" spans="4:6">
      <c r="D8331" s="8"/>
      <c r="E8331" s="8"/>
      <c r="F8331" s="8"/>
    </row>
    <row r="8332" spans="4:6">
      <c r="D8332" s="8"/>
      <c r="E8332" s="8"/>
      <c r="F8332" s="8"/>
    </row>
    <row r="8333" spans="4:6">
      <c r="D8333" s="8"/>
      <c r="E8333" s="8"/>
      <c r="F8333" s="8"/>
    </row>
    <row r="8334" spans="4:6">
      <c r="D8334" s="8"/>
      <c r="E8334" s="8"/>
      <c r="F8334" s="8"/>
    </row>
    <row r="8335" spans="4:6">
      <c r="D8335" s="8"/>
      <c r="E8335" s="8"/>
      <c r="F8335" s="8"/>
    </row>
    <row r="8336" spans="4:6">
      <c r="D8336" s="8"/>
      <c r="E8336" s="8"/>
      <c r="F8336" s="8"/>
    </row>
    <row r="8337" spans="4:6">
      <c r="D8337" s="8"/>
      <c r="E8337" s="8"/>
      <c r="F8337" s="8"/>
    </row>
    <row r="8338" spans="4:6">
      <c r="D8338" s="8"/>
      <c r="E8338" s="8"/>
      <c r="F8338" s="8"/>
    </row>
    <row r="8339" spans="4:6">
      <c r="D8339" s="8"/>
      <c r="E8339" s="8"/>
      <c r="F8339" s="8"/>
    </row>
    <row r="8340" spans="4:6">
      <c r="D8340" s="8"/>
      <c r="E8340" s="8"/>
      <c r="F8340" s="8"/>
    </row>
    <row r="8341" spans="4:6">
      <c r="D8341" s="8"/>
      <c r="E8341" s="8"/>
      <c r="F8341" s="8"/>
    </row>
    <row r="8342" spans="4:6">
      <c r="D8342" s="8"/>
      <c r="E8342" s="8"/>
      <c r="F8342" s="8"/>
    </row>
    <row r="8343" spans="4:6">
      <c r="D8343" s="8"/>
      <c r="E8343" s="8"/>
      <c r="F8343" s="8"/>
    </row>
    <row r="8344" spans="4:6">
      <c r="D8344" s="8"/>
      <c r="E8344" s="8"/>
      <c r="F8344" s="8"/>
    </row>
    <row r="8345" spans="4:6">
      <c r="D8345" s="8"/>
      <c r="E8345" s="8"/>
      <c r="F8345" s="8"/>
    </row>
    <row r="8346" spans="4:6">
      <c r="D8346" s="8"/>
      <c r="E8346" s="8"/>
      <c r="F8346" s="8"/>
    </row>
    <row r="8347" spans="4:6">
      <c r="D8347" s="8"/>
      <c r="E8347" s="8"/>
      <c r="F8347" s="8"/>
    </row>
    <row r="8348" spans="4:6">
      <c r="D8348" s="8"/>
      <c r="E8348" s="8"/>
      <c r="F8348" s="8"/>
    </row>
    <row r="8349" spans="4:6">
      <c r="D8349" s="8"/>
      <c r="E8349" s="8"/>
      <c r="F8349" s="8"/>
    </row>
    <row r="8350" spans="4:6">
      <c r="D8350" s="8"/>
      <c r="E8350" s="8"/>
      <c r="F8350" s="8"/>
    </row>
    <row r="8351" spans="4:6">
      <c r="D8351" s="8"/>
      <c r="E8351" s="8"/>
      <c r="F8351" s="8"/>
    </row>
    <row r="8352" spans="4:6">
      <c r="D8352" s="8"/>
      <c r="E8352" s="8"/>
      <c r="F8352" s="8"/>
    </row>
    <row r="8353" spans="4:6">
      <c r="D8353" s="8"/>
      <c r="E8353" s="8"/>
      <c r="F8353" s="8"/>
    </row>
    <row r="8354" spans="4:6">
      <c r="D8354" s="8"/>
      <c r="E8354" s="8"/>
      <c r="F8354" s="8"/>
    </row>
    <row r="8355" spans="4:6">
      <c r="D8355" s="8"/>
      <c r="E8355" s="8"/>
      <c r="F8355" s="8"/>
    </row>
    <row r="8356" spans="4:6">
      <c r="D8356" s="8"/>
      <c r="E8356" s="8"/>
      <c r="F8356" s="8"/>
    </row>
    <row r="8357" spans="4:6">
      <c r="D8357" s="8"/>
      <c r="E8357" s="8"/>
      <c r="F8357" s="8"/>
    </row>
    <row r="8358" spans="4:6">
      <c r="D8358" s="8"/>
      <c r="E8358" s="8"/>
      <c r="F8358" s="8"/>
    </row>
    <row r="8359" spans="4:6">
      <c r="D8359" s="8"/>
      <c r="E8359" s="8"/>
      <c r="F8359" s="8"/>
    </row>
    <row r="8360" spans="4:6">
      <c r="D8360" s="8"/>
      <c r="E8360" s="8"/>
      <c r="F8360" s="8"/>
    </row>
    <row r="8361" spans="4:6">
      <c r="D8361" s="8"/>
      <c r="E8361" s="8"/>
      <c r="F8361" s="8"/>
    </row>
    <row r="8362" spans="4:6">
      <c r="D8362" s="8"/>
      <c r="E8362" s="8"/>
      <c r="F8362" s="8"/>
    </row>
    <row r="8363" spans="4:6">
      <c r="D8363" s="8"/>
      <c r="E8363" s="8"/>
      <c r="F8363" s="8"/>
    </row>
    <row r="8364" spans="4:6">
      <c r="D8364" s="8"/>
      <c r="E8364" s="8"/>
      <c r="F8364" s="8"/>
    </row>
    <row r="8365" spans="4:6">
      <c r="D8365" s="8"/>
      <c r="E8365" s="8"/>
      <c r="F8365" s="8"/>
    </row>
    <row r="8366" spans="4:6">
      <c r="D8366" s="8"/>
      <c r="E8366" s="8"/>
      <c r="F8366" s="8"/>
    </row>
    <row r="8367" spans="4:6">
      <c r="D8367" s="8"/>
      <c r="E8367" s="8"/>
      <c r="F8367" s="8"/>
    </row>
    <row r="8368" spans="4:6">
      <c r="D8368" s="8"/>
      <c r="E8368" s="8"/>
      <c r="F8368" s="8"/>
    </row>
    <row r="8369" spans="4:6">
      <c r="D8369" s="8"/>
      <c r="E8369" s="8"/>
      <c r="F8369" s="8"/>
    </row>
    <row r="8370" spans="4:6">
      <c r="D8370" s="8"/>
      <c r="E8370" s="8"/>
      <c r="F8370" s="8"/>
    </row>
    <row r="8371" spans="4:6">
      <c r="D8371" s="8"/>
      <c r="E8371" s="8"/>
      <c r="F8371" s="8"/>
    </row>
    <row r="8372" spans="4:6">
      <c r="D8372" s="8"/>
      <c r="E8372" s="8"/>
      <c r="F8372" s="8"/>
    </row>
    <row r="8373" spans="4:6">
      <c r="D8373" s="8"/>
      <c r="E8373" s="8"/>
      <c r="F8373" s="8"/>
    </row>
    <row r="8374" spans="4:6">
      <c r="D8374" s="8"/>
      <c r="E8374" s="8"/>
      <c r="F8374" s="8"/>
    </row>
    <row r="8375" spans="4:6">
      <c r="D8375" s="8"/>
      <c r="E8375" s="8"/>
      <c r="F8375" s="8"/>
    </row>
    <row r="8376" spans="4:6">
      <c r="D8376" s="8"/>
      <c r="E8376" s="8"/>
      <c r="F8376" s="8"/>
    </row>
    <row r="8377" spans="4:6">
      <c r="D8377" s="8"/>
      <c r="E8377" s="8"/>
      <c r="F8377" s="8"/>
    </row>
    <row r="8378" spans="4:6">
      <c r="D8378" s="8"/>
      <c r="E8378" s="8"/>
      <c r="F8378" s="8"/>
    </row>
    <row r="8379" spans="4:6">
      <c r="D8379" s="8"/>
      <c r="E8379" s="8"/>
      <c r="F8379" s="8"/>
    </row>
    <row r="8380" spans="4:6">
      <c r="D8380" s="8"/>
      <c r="E8380" s="8"/>
      <c r="F8380" s="8"/>
    </row>
    <row r="8381" spans="4:6">
      <c r="D8381" s="8"/>
      <c r="E8381" s="8"/>
      <c r="F8381" s="8"/>
    </row>
    <row r="8382" spans="4:6">
      <c r="D8382" s="8"/>
      <c r="E8382" s="8"/>
      <c r="F8382" s="8"/>
    </row>
    <row r="8383" spans="4:6">
      <c r="D8383" s="8"/>
      <c r="E8383" s="8"/>
      <c r="F8383" s="8"/>
    </row>
    <row r="8384" spans="4:6">
      <c r="D8384" s="8"/>
      <c r="E8384" s="8"/>
      <c r="F8384" s="8"/>
    </row>
    <row r="8385" spans="4:6">
      <c r="D8385" s="8"/>
      <c r="E8385" s="8"/>
      <c r="F8385" s="8"/>
    </row>
    <row r="8386" spans="4:6">
      <c r="D8386" s="8"/>
      <c r="E8386" s="8"/>
      <c r="F8386" s="8"/>
    </row>
    <row r="8387" spans="4:6">
      <c r="D8387" s="8"/>
      <c r="E8387" s="8"/>
      <c r="F8387" s="8"/>
    </row>
    <row r="8388" spans="4:6">
      <c r="D8388" s="8"/>
      <c r="E8388" s="8"/>
      <c r="F8388" s="8"/>
    </row>
    <row r="8389" spans="4:6">
      <c r="D8389" s="8"/>
      <c r="E8389" s="8"/>
      <c r="F8389" s="8"/>
    </row>
    <row r="8390" spans="4:6">
      <c r="D8390" s="8"/>
      <c r="E8390" s="8"/>
      <c r="F8390" s="8"/>
    </row>
    <row r="8391" spans="4:6">
      <c r="D8391" s="8"/>
      <c r="E8391" s="8"/>
      <c r="F8391" s="8"/>
    </row>
    <row r="8392" spans="4:6">
      <c r="D8392" s="8"/>
      <c r="E8392" s="8"/>
      <c r="F8392" s="8"/>
    </row>
    <row r="8393" spans="4:6">
      <c r="D8393" s="8"/>
      <c r="E8393" s="8"/>
      <c r="F8393" s="8"/>
    </row>
    <row r="8394" spans="4:6">
      <c r="D8394" s="8"/>
      <c r="E8394" s="8"/>
      <c r="F8394" s="8"/>
    </row>
    <row r="8395" spans="4:6">
      <c r="D8395" s="8"/>
      <c r="E8395" s="8"/>
      <c r="F8395" s="8"/>
    </row>
    <row r="8396" spans="4:6">
      <c r="D8396" s="8"/>
      <c r="E8396" s="8"/>
      <c r="F8396" s="8"/>
    </row>
    <row r="8397" spans="4:6">
      <c r="D8397" s="8"/>
      <c r="E8397" s="8"/>
      <c r="F8397" s="8"/>
    </row>
    <row r="8398" spans="4:6">
      <c r="D8398" s="8"/>
      <c r="E8398" s="8"/>
      <c r="F8398" s="8"/>
    </row>
    <row r="8399" spans="4:6">
      <c r="D8399" s="8"/>
      <c r="E8399" s="8"/>
      <c r="F8399" s="8"/>
    </row>
    <row r="8400" spans="4:6">
      <c r="D8400" s="8"/>
      <c r="E8400" s="8"/>
      <c r="F8400" s="8"/>
    </row>
    <row r="8401" spans="4:6">
      <c r="D8401" s="8"/>
      <c r="E8401" s="8"/>
      <c r="F8401" s="8"/>
    </row>
    <row r="8402" spans="4:6">
      <c r="D8402" s="8"/>
      <c r="E8402" s="8"/>
      <c r="F8402" s="8"/>
    </row>
    <row r="8403" spans="4:6">
      <c r="D8403" s="8"/>
      <c r="E8403" s="8"/>
      <c r="F8403" s="8"/>
    </row>
    <row r="8404" spans="4:6">
      <c r="D8404" s="8"/>
      <c r="E8404" s="8"/>
      <c r="F8404" s="8"/>
    </row>
    <row r="8405" spans="4:6">
      <c r="D8405" s="8"/>
      <c r="E8405" s="8"/>
      <c r="F8405" s="8"/>
    </row>
    <row r="8406" spans="4:6">
      <c r="D8406" s="8"/>
      <c r="E8406" s="8"/>
      <c r="F8406" s="8"/>
    </row>
    <row r="8407" spans="4:6">
      <c r="D8407" s="8"/>
      <c r="E8407" s="8"/>
      <c r="F8407" s="8"/>
    </row>
    <row r="8408" spans="4:6">
      <c r="D8408" s="8"/>
      <c r="E8408" s="8"/>
      <c r="F8408" s="8"/>
    </row>
    <row r="8409" spans="4:6">
      <c r="D8409" s="8"/>
      <c r="E8409" s="8"/>
      <c r="F8409" s="8"/>
    </row>
    <row r="8410" spans="4:6">
      <c r="D8410" s="8"/>
      <c r="E8410" s="8"/>
      <c r="F8410" s="8"/>
    </row>
    <row r="8411" spans="4:6">
      <c r="D8411" s="8"/>
      <c r="E8411" s="8"/>
      <c r="F8411" s="8"/>
    </row>
    <row r="8412" spans="4:6">
      <c r="D8412" s="8"/>
      <c r="E8412" s="8"/>
      <c r="F8412" s="8"/>
    </row>
    <row r="8413" spans="4:6">
      <c r="D8413" s="8"/>
      <c r="E8413" s="8"/>
      <c r="F8413" s="8"/>
    </row>
    <row r="8414" spans="4:6">
      <c r="D8414" s="8"/>
      <c r="E8414" s="8"/>
      <c r="F8414" s="8"/>
    </row>
    <row r="8415" spans="4:6">
      <c r="D8415" s="8"/>
      <c r="E8415" s="8"/>
      <c r="F8415" s="8"/>
    </row>
    <row r="8416" spans="4:6">
      <c r="D8416" s="8"/>
      <c r="E8416" s="8"/>
      <c r="F8416" s="8"/>
    </row>
    <row r="8417" spans="4:6">
      <c r="D8417" s="8"/>
      <c r="E8417" s="8"/>
      <c r="F8417" s="8"/>
    </row>
    <row r="8418" spans="4:6">
      <c r="D8418" s="8"/>
      <c r="E8418" s="8"/>
      <c r="F8418" s="8"/>
    </row>
    <row r="8419" spans="4:6">
      <c r="D8419" s="8"/>
      <c r="E8419" s="8"/>
      <c r="F8419" s="8"/>
    </row>
    <row r="8420" spans="4:6">
      <c r="D8420" s="8"/>
      <c r="E8420" s="8"/>
      <c r="F8420" s="8"/>
    </row>
    <row r="8421" spans="4:6">
      <c r="D8421" s="8"/>
      <c r="E8421" s="8"/>
      <c r="F8421" s="8"/>
    </row>
    <row r="8422" spans="4:6">
      <c r="D8422" s="8"/>
      <c r="E8422" s="8"/>
      <c r="F8422" s="8"/>
    </row>
    <row r="8423" spans="4:6">
      <c r="D8423" s="8"/>
      <c r="E8423" s="8"/>
      <c r="F8423" s="8"/>
    </row>
    <row r="8424" spans="4:6">
      <c r="D8424" s="8"/>
      <c r="E8424" s="8"/>
      <c r="F8424" s="8"/>
    </row>
    <row r="8425" spans="4:6">
      <c r="D8425" s="8"/>
      <c r="E8425" s="8"/>
      <c r="F8425" s="8"/>
    </row>
    <row r="8426" spans="4:6">
      <c r="D8426" s="8"/>
      <c r="E8426" s="8"/>
      <c r="F8426" s="8"/>
    </row>
    <row r="8427" spans="4:6">
      <c r="D8427" s="8"/>
      <c r="E8427" s="8"/>
      <c r="F8427" s="8"/>
    </row>
    <row r="8428" spans="4:6">
      <c r="D8428" s="8"/>
      <c r="E8428" s="8"/>
      <c r="F8428" s="8"/>
    </row>
    <row r="8429" spans="4:6">
      <c r="D8429" s="8"/>
      <c r="E8429" s="8"/>
      <c r="F8429" s="8"/>
    </row>
    <row r="8430" spans="4:6">
      <c r="D8430" s="8"/>
      <c r="E8430" s="8"/>
      <c r="F8430" s="8"/>
    </row>
    <row r="8431" spans="4:6">
      <c r="D8431" s="8"/>
      <c r="E8431" s="8"/>
      <c r="F8431" s="8"/>
    </row>
    <row r="8432" spans="4:6">
      <c r="D8432" s="8"/>
      <c r="E8432" s="8"/>
      <c r="F8432" s="8"/>
    </row>
    <row r="8433" spans="4:6">
      <c r="D8433" s="8"/>
      <c r="E8433" s="8"/>
      <c r="F8433" s="8"/>
    </row>
    <row r="8434" spans="4:6">
      <c r="D8434" s="8"/>
      <c r="E8434" s="8"/>
      <c r="F8434" s="8"/>
    </row>
    <row r="8435" spans="4:6">
      <c r="D8435" s="8"/>
      <c r="E8435" s="8"/>
      <c r="F8435" s="8"/>
    </row>
    <row r="8436" spans="4:6">
      <c r="D8436" s="8"/>
      <c r="E8436" s="8"/>
      <c r="F8436" s="8"/>
    </row>
    <row r="8437" spans="4:6">
      <c r="D8437" s="8"/>
      <c r="E8437" s="8"/>
      <c r="F8437" s="8"/>
    </row>
    <row r="8438" spans="4:6">
      <c r="D8438" s="8"/>
      <c r="E8438" s="8"/>
      <c r="F8438" s="8"/>
    </row>
    <row r="8439" spans="4:6">
      <c r="D8439" s="8"/>
      <c r="E8439" s="8"/>
      <c r="F8439" s="8"/>
    </row>
    <row r="8440" spans="4:6">
      <c r="D8440" s="8"/>
      <c r="E8440" s="8"/>
      <c r="F8440" s="8"/>
    </row>
    <row r="8441" spans="4:6">
      <c r="D8441" s="8"/>
      <c r="E8441" s="8"/>
      <c r="F8441" s="8"/>
    </row>
    <row r="8442" spans="4:6">
      <c r="D8442" s="8"/>
      <c r="E8442" s="8"/>
      <c r="F8442" s="8"/>
    </row>
    <row r="8443" spans="4:6">
      <c r="D8443" s="8"/>
      <c r="E8443" s="8"/>
      <c r="F8443" s="8"/>
    </row>
    <row r="8444" spans="4:6">
      <c r="D8444" s="8"/>
      <c r="E8444" s="8"/>
      <c r="F8444" s="8"/>
    </row>
    <row r="8445" spans="4:6">
      <c r="D8445" s="8"/>
      <c r="E8445" s="8"/>
      <c r="F8445" s="8"/>
    </row>
    <row r="8446" spans="4:6">
      <c r="D8446" s="8"/>
      <c r="E8446" s="8"/>
      <c r="F8446" s="8"/>
    </row>
    <row r="8447" spans="4:6">
      <c r="D8447" s="8"/>
      <c r="E8447" s="8"/>
      <c r="F8447" s="8"/>
    </row>
    <row r="8448" spans="4:6">
      <c r="D8448" s="8"/>
      <c r="E8448" s="8"/>
      <c r="F8448" s="8"/>
    </row>
    <row r="8449" spans="4:6">
      <c r="D8449" s="8"/>
      <c r="E8449" s="8"/>
      <c r="F8449" s="8"/>
    </row>
    <row r="8450" spans="4:6">
      <c r="D8450" s="8"/>
      <c r="E8450" s="8"/>
      <c r="F8450" s="8"/>
    </row>
    <row r="8451" spans="4:6">
      <c r="D8451" s="8"/>
      <c r="E8451" s="8"/>
      <c r="F8451" s="8"/>
    </row>
    <row r="8452" spans="4:6">
      <c r="D8452" s="8"/>
      <c r="E8452" s="8"/>
      <c r="F8452" s="8"/>
    </row>
    <row r="8453" spans="4:6">
      <c r="D8453" s="8"/>
      <c r="E8453" s="8"/>
      <c r="F8453" s="8"/>
    </row>
    <row r="8454" spans="4:6">
      <c r="D8454" s="8"/>
      <c r="E8454" s="8"/>
      <c r="F8454" s="8"/>
    </row>
    <row r="8455" spans="4:6">
      <c r="D8455" s="8"/>
      <c r="E8455" s="8"/>
      <c r="F8455" s="8"/>
    </row>
    <row r="8456" spans="4:6">
      <c r="D8456" s="8"/>
      <c r="E8456" s="8"/>
      <c r="F8456" s="8"/>
    </row>
    <row r="8457" spans="4:6">
      <c r="D8457" s="8"/>
      <c r="E8457" s="8"/>
      <c r="F8457" s="8"/>
    </row>
    <row r="8458" spans="4:6">
      <c r="D8458" s="8"/>
      <c r="E8458" s="8"/>
      <c r="F8458" s="8"/>
    </row>
    <row r="8459" spans="4:6">
      <c r="D8459" s="8"/>
      <c r="E8459" s="8"/>
      <c r="F8459" s="8"/>
    </row>
    <row r="8460" spans="4:6">
      <c r="D8460" s="8"/>
      <c r="E8460" s="8"/>
      <c r="F8460" s="8"/>
    </row>
    <row r="8461" spans="4:6">
      <c r="D8461" s="8"/>
      <c r="E8461" s="8"/>
      <c r="F8461" s="8"/>
    </row>
    <row r="8462" spans="4:6">
      <c r="D8462" s="8"/>
      <c r="E8462" s="8"/>
      <c r="F8462" s="8"/>
    </row>
    <row r="8463" spans="4:6">
      <c r="D8463" s="8"/>
      <c r="E8463" s="8"/>
      <c r="F8463" s="8"/>
    </row>
    <row r="8464" spans="4:6">
      <c r="D8464" s="8"/>
      <c r="E8464" s="8"/>
      <c r="F8464" s="8"/>
    </row>
    <row r="8465" spans="4:6">
      <c r="D8465" s="8"/>
      <c r="E8465" s="8"/>
      <c r="F8465" s="8"/>
    </row>
    <row r="8466" spans="4:6">
      <c r="D8466" s="8"/>
      <c r="E8466" s="8"/>
      <c r="F8466" s="8"/>
    </row>
    <row r="8467" spans="4:6">
      <c r="D8467" s="8"/>
      <c r="E8467" s="8"/>
      <c r="F8467" s="8"/>
    </row>
    <row r="8468" spans="4:6">
      <c r="D8468" s="8"/>
      <c r="E8468" s="8"/>
      <c r="F8468" s="8"/>
    </row>
    <row r="8469" spans="4:6">
      <c r="D8469" s="8"/>
      <c r="E8469" s="8"/>
      <c r="F8469" s="8"/>
    </row>
    <row r="8470" spans="4:6">
      <c r="D8470" s="8"/>
      <c r="E8470" s="8"/>
      <c r="F8470" s="8"/>
    </row>
    <row r="8471" spans="4:6">
      <c r="D8471" s="8"/>
      <c r="E8471" s="8"/>
      <c r="F8471" s="8"/>
    </row>
    <row r="8472" spans="4:6">
      <c r="D8472" s="8"/>
      <c r="E8472" s="8"/>
      <c r="F8472" s="8"/>
    </row>
    <row r="8473" spans="4:6">
      <c r="D8473" s="8"/>
      <c r="E8473" s="8"/>
      <c r="F8473" s="8"/>
    </row>
    <row r="8474" spans="4:6">
      <c r="D8474" s="8"/>
      <c r="E8474" s="8"/>
      <c r="F8474" s="8"/>
    </row>
    <row r="8475" spans="4:6">
      <c r="D8475" s="8"/>
      <c r="E8475" s="8"/>
      <c r="F8475" s="8"/>
    </row>
    <row r="8476" spans="4:6">
      <c r="D8476" s="8"/>
      <c r="E8476" s="8"/>
      <c r="F8476" s="8"/>
    </row>
    <row r="8477" spans="4:6">
      <c r="D8477" s="8"/>
      <c r="E8477" s="8"/>
      <c r="F8477" s="8"/>
    </row>
    <row r="8478" spans="4:6">
      <c r="D8478" s="8"/>
      <c r="E8478" s="8"/>
      <c r="F8478" s="8"/>
    </row>
    <row r="8479" spans="4:6">
      <c r="D8479" s="8"/>
      <c r="E8479" s="8"/>
      <c r="F8479" s="8"/>
    </row>
    <row r="8480" spans="4:6">
      <c r="D8480" s="8"/>
      <c r="E8480" s="8"/>
      <c r="F8480" s="8"/>
    </row>
    <row r="8481" spans="4:6">
      <c r="D8481" s="8"/>
      <c r="E8481" s="8"/>
      <c r="F8481" s="8"/>
    </row>
    <row r="8482" spans="4:6">
      <c r="D8482" s="8"/>
      <c r="E8482" s="8"/>
      <c r="F8482" s="8"/>
    </row>
    <row r="8483" spans="4:6">
      <c r="D8483" s="8"/>
      <c r="E8483" s="8"/>
      <c r="F8483" s="8"/>
    </row>
    <row r="8484" spans="4:6">
      <c r="D8484" s="8"/>
      <c r="E8484" s="8"/>
      <c r="F8484" s="8"/>
    </row>
    <row r="8485" spans="4:6">
      <c r="D8485" s="8"/>
      <c r="E8485" s="8"/>
      <c r="F8485" s="8"/>
    </row>
    <row r="8486" spans="4:6">
      <c r="D8486" s="8"/>
      <c r="E8486" s="8"/>
      <c r="F8486" s="8"/>
    </row>
    <row r="8487" spans="4:6">
      <c r="D8487" s="8"/>
      <c r="E8487" s="8"/>
      <c r="F8487" s="8"/>
    </row>
    <row r="8488" spans="4:6">
      <c r="D8488" s="8"/>
      <c r="E8488" s="8"/>
      <c r="F8488" s="8"/>
    </row>
    <row r="8489" spans="4:6">
      <c r="D8489" s="8"/>
      <c r="E8489" s="8"/>
      <c r="F8489" s="8"/>
    </row>
    <row r="8490" spans="4:6">
      <c r="D8490" s="8"/>
      <c r="E8490" s="8"/>
      <c r="F8490" s="8"/>
    </row>
    <row r="8491" spans="4:6">
      <c r="D8491" s="8"/>
      <c r="E8491" s="8"/>
      <c r="F8491" s="8"/>
    </row>
    <row r="8492" spans="4:6">
      <c r="D8492" s="8"/>
      <c r="E8492" s="8"/>
      <c r="F8492" s="8"/>
    </row>
    <row r="8493" spans="4:6">
      <c r="D8493" s="8"/>
      <c r="E8493" s="8"/>
      <c r="F8493" s="8"/>
    </row>
    <row r="8494" spans="4:6">
      <c r="D8494" s="8"/>
      <c r="E8494" s="8"/>
      <c r="F8494" s="8"/>
    </row>
    <row r="8495" spans="4:6">
      <c r="D8495" s="8"/>
      <c r="E8495" s="8"/>
      <c r="F8495" s="8"/>
    </row>
    <row r="8496" spans="4:6">
      <c r="D8496" s="8"/>
      <c r="E8496" s="8"/>
      <c r="F8496" s="8"/>
    </row>
    <row r="8497" spans="4:6">
      <c r="D8497" s="8"/>
      <c r="E8497" s="8"/>
      <c r="F8497" s="8"/>
    </row>
    <row r="8498" spans="4:6">
      <c r="D8498" s="8"/>
      <c r="E8498" s="8"/>
      <c r="F8498" s="8"/>
    </row>
    <row r="8499" spans="4:6">
      <c r="D8499" s="8"/>
      <c r="E8499" s="8"/>
      <c r="F8499" s="8"/>
    </row>
    <row r="8500" spans="4:6">
      <c r="D8500" s="8"/>
      <c r="E8500" s="8"/>
      <c r="F8500" s="8"/>
    </row>
    <row r="8501" spans="4:6">
      <c r="D8501" s="8"/>
      <c r="E8501" s="8"/>
      <c r="F8501" s="8"/>
    </row>
    <row r="8502" spans="4:6">
      <c r="D8502" s="8"/>
      <c r="E8502" s="8"/>
      <c r="F8502" s="8"/>
    </row>
    <row r="8503" spans="4:6">
      <c r="D8503" s="8"/>
      <c r="E8503" s="8"/>
      <c r="F8503" s="8"/>
    </row>
    <row r="8504" spans="4:6">
      <c r="D8504" s="8"/>
      <c r="E8504" s="8"/>
      <c r="F8504" s="8"/>
    </row>
    <row r="8505" spans="4:6">
      <c r="D8505" s="8"/>
      <c r="E8505" s="8"/>
      <c r="F8505" s="8"/>
    </row>
    <row r="8506" spans="4:6">
      <c r="D8506" s="8"/>
      <c r="E8506" s="8"/>
      <c r="F8506" s="8"/>
    </row>
    <row r="8507" spans="4:6">
      <c r="D8507" s="8"/>
      <c r="E8507" s="8"/>
      <c r="F8507" s="8"/>
    </row>
    <row r="8508" spans="4:6">
      <c r="D8508" s="8"/>
      <c r="E8508" s="8"/>
      <c r="F8508" s="8"/>
    </row>
    <row r="8509" spans="4:6">
      <c r="D8509" s="8"/>
      <c r="E8509" s="8"/>
      <c r="F8509" s="8"/>
    </row>
    <row r="8510" spans="4:6">
      <c r="D8510" s="8"/>
      <c r="E8510" s="8"/>
      <c r="F8510" s="8"/>
    </row>
    <row r="8511" spans="4:6">
      <c r="D8511" s="8"/>
      <c r="E8511" s="8"/>
      <c r="F8511" s="8"/>
    </row>
    <row r="8512" spans="4:6">
      <c r="D8512" s="8"/>
      <c r="E8512" s="8"/>
      <c r="F8512" s="8"/>
    </row>
    <row r="8513" spans="4:6">
      <c r="D8513" s="8"/>
      <c r="E8513" s="8"/>
      <c r="F8513" s="8"/>
    </row>
    <row r="8514" spans="4:6">
      <c r="D8514" s="8"/>
      <c r="E8514" s="8"/>
      <c r="F8514" s="8"/>
    </row>
    <row r="8515" spans="4:6">
      <c r="D8515" s="8"/>
      <c r="E8515" s="8"/>
      <c r="F8515" s="8"/>
    </row>
    <row r="8516" spans="4:6">
      <c r="D8516" s="8"/>
      <c r="E8516" s="8"/>
      <c r="F8516" s="8"/>
    </row>
    <row r="8517" spans="4:6">
      <c r="D8517" s="8"/>
      <c r="E8517" s="8"/>
      <c r="F8517" s="8"/>
    </row>
    <row r="8518" spans="4:6">
      <c r="D8518" s="8"/>
      <c r="E8518" s="8"/>
      <c r="F8518" s="8"/>
    </row>
    <row r="8519" spans="4:6">
      <c r="D8519" s="8"/>
      <c r="E8519" s="8"/>
      <c r="F8519" s="8"/>
    </row>
    <row r="8520" spans="4:6">
      <c r="D8520" s="8"/>
      <c r="E8520" s="8"/>
      <c r="F8520" s="8"/>
    </row>
    <row r="8521" spans="4:6">
      <c r="D8521" s="8"/>
      <c r="E8521" s="8"/>
      <c r="F8521" s="8"/>
    </row>
    <row r="8522" spans="4:6">
      <c r="D8522" s="8"/>
      <c r="E8522" s="8"/>
      <c r="F8522" s="8"/>
    </row>
    <row r="8523" spans="4:6">
      <c r="D8523" s="8"/>
      <c r="E8523" s="8"/>
      <c r="F8523" s="8"/>
    </row>
    <row r="8524" spans="4:6">
      <c r="D8524" s="8"/>
      <c r="E8524" s="8"/>
      <c r="F8524" s="8"/>
    </row>
    <row r="8525" spans="4:6">
      <c r="D8525" s="8"/>
      <c r="E8525" s="8"/>
      <c r="F8525" s="8"/>
    </row>
    <row r="8526" spans="4:6">
      <c r="D8526" s="8"/>
      <c r="E8526" s="8"/>
      <c r="F8526" s="8"/>
    </row>
    <row r="8527" spans="4:6">
      <c r="D8527" s="8"/>
      <c r="E8527" s="8"/>
      <c r="F8527" s="8"/>
    </row>
    <row r="8528" spans="4:6">
      <c r="D8528" s="8"/>
      <c r="E8528" s="8"/>
      <c r="F8528" s="8"/>
    </row>
    <row r="8529" spans="4:6">
      <c r="D8529" s="8"/>
      <c r="E8529" s="8"/>
      <c r="F8529" s="8"/>
    </row>
    <row r="8530" spans="4:6">
      <c r="D8530" s="8"/>
      <c r="E8530" s="8"/>
      <c r="F8530" s="8"/>
    </row>
    <row r="8531" spans="4:6">
      <c r="D8531" s="8"/>
      <c r="E8531" s="8"/>
      <c r="F8531" s="8"/>
    </row>
    <row r="8532" spans="4:6">
      <c r="D8532" s="8"/>
      <c r="E8532" s="8"/>
      <c r="F8532" s="8"/>
    </row>
    <row r="8533" spans="4:6">
      <c r="D8533" s="8"/>
      <c r="E8533" s="8"/>
      <c r="F8533" s="8"/>
    </row>
    <row r="8534" spans="4:6">
      <c r="D8534" s="8"/>
      <c r="E8534" s="8"/>
      <c r="F8534" s="8"/>
    </row>
    <row r="8535" spans="4:6">
      <c r="D8535" s="8"/>
      <c r="E8535" s="8"/>
      <c r="F8535" s="8"/>
    </row>
    <row r="8536" spans="4:6">
      <c r="D8536" s="8"/>
      <c r="E8536" s="8"/>
      <c r="F8536" s="8"/>
    </row>
    <row r="8537" spans="4:6">
      <c r="D8537" s="8"/>
      <c r="E8537" s="8"/>
      <c r="F8537" s="8"/>
    </row>
    <row r="8538" spans="4:6">
      <c r="D8538" s="8"/>
      <c r="E8538" s="8"/>
      <c r="F8538" s="8"/>
    </row>
    <row r="8539" spans="4:6">
      <c r="D8539" s="8"/>
      <c r="E8539" s="8"/>
      <c r="F8539" s="8"/>
    </row>
    <row r="8540" spans="4:6">
      <c r="D8540" s="8"/>
      <c r="E8540" s="8"/>
      <c r="F8540" s="8"/>
    </row>
    <row r="8541" spans="4:6">
      <c r="D8541" s="8"/>
      <c r="E8541" s="8"/>
      <c r="F8541" s="8"/>
    </row>
    <row r="8542" spans="4:6">
      <c r="D8542" s="8"/>
      <c r="E8542" s="8"/>
      <c r="F8542" s="8"/>
    </row>
    <row r="8543" spans="4:6">
      <c r="D8543" s="8"/>
      <c r="E8543" s="8"/>
      <c r="F8543" s="8"/>
    </row>
    <row r="8544" spans="4:6">
      <c r="D8544" s="8"/>
      <c r="E8544" s="8"/>
      <c r="F8544" s="8"/>
    </row>
    <row r="8545" spans="4:6">
      <c r="D8545" s="8"/>
      <c r="E8545" s="8"/>
      <c r="F8545" s="8"/>
    </row>
    <row r="8546" spans="4:6">
      <c r="D8546" s="8"/>
      <c r="E8546" s="8"/>
      <c r="F8546" s="8"/>
    </row>
    <row r="8547" spans="4:6">
      <c r="D8547" s="8"/>
      <c r="E8547" s="8"/>
      <c r="F8547" s="8"/>
    </row>
    <row r="8548" spans="4:6">
      <c r="D8548" s="8"/>
      <c r="E8548" s="8"/>
      <c r="F8548" s="8"/>
    </row>
    <row r="8549" spans="4:6">
      <c r="D8549" s="8"/>
      <c r="E8549" s="8"/>
      <c r="F8549" s="8"/>
    </row>
    <row r="8550" spans="4:6">
      <c r="D8550" s="8"/>
      <c r="E8550" s="8"/>
      <c r="F8550" s="8"/>
    </row>
    <row r="8551" spans="4:6">
      <c r="D8551" s="8"/>
      <c r="E8551" s="8"/>
      <c r="F8551" s="8"/>
    </row>
    <row r="8552" spans="4:6">
      <c r="D8552" s="8"/>
      <c r="E8552" s="8"/>
      <c r="F8552" s="8"/>
    </row>
    <row r="8553" spans="4:6">
      <c r="D8553" s="8"/>
      <c r="E8553" s="8"/>
      <c r="F8553" s="8"/>
    </row>
    <row r="8554" spans="4:6">
      <c r="D8554" s="8"/>
      <c r="E8554" s="8"/>
      <c r="F8554" s="8"/>
    </row>
    <row r="8555" spans="4:6">
      <c r="D8555" s="8"/>
      <c r="E8555" s="8"/>
      <c r="F8555" s="8"/>
    </row>
    <row r="8556" spans="4:6">
      <c r="D8556" s="8"/>
      <c r="E8556" s="8"/>
      <c r="F8556" s="8"/>
    </row>
    <row r="8557" spans="4:6">
      <c r="D8557" s="8"/>
      <c r="E8557" s="8"/>
      <c r="F8557" s="8"/>
    </row>
    <row r="8558" spans="4:6">
      <c r="D8558" s="8"/>
      <c r="E8558" s="8"/>
      <c r="F8558" s="8"/>
    </row>
    <row r="8559" spans="4:6">
      <c r="D8559" s="8"/>
      <c r="E8559" s="8"/>
      <c r="F8559" s="8"/>
    </row>
    <row r="8560" spans="4:6">
      <c r="D8560" s="8"/>
      <c r="E8560" s="8"/>
      <c r="F8560" s="8"/>
    </row>
    <row r="8561" spans="4:6">
      <c r="D8561" s="8"/>
      <c r="E8561" s="8"/>
      <c r="F8561" s="8"/>
    </row>
    <row r="8562" spans="4:6">
      <c r="D8562" s="8"/>
      <c r="E8562" s="8"/>
      <c r="F8562" s="8"/>
    </row>
    <row r="8563" spans="4:6">
      <c r="D8563" s="8"/>
      <c r="E8563" s="8"/>
      <c r="F8563" s="8"/>
    </row>
    <row r="8564" spans="4:6">
      <c r="D8564" s="8"/>
      <c r="E8564" s="8"/>
      <c r="F8564" s="8"/>
    </row>
    <row r="8565" spans="4:6">
      <c r="D8565" s="8"/>
      <c r="E8565" s="8"/>
      <c r="F8565" s="8"/>
    </row>
    <row r="8566" spans="4:6">
      <c r="D8566" s="8"/>
      <c r="E8566" s="8"/>
      <c r="F8566" s="8"/>
    </row>
    <row r="8567" spans="4:6">
      <c r="D8567" s="8"/>
      <c r="E8567" s="8"/>
      <c r="F8567" s="8"/>
    </row>
    <row r="8568" spans="4:6">
      <c r="D8568" s="8"/>
      <c r="E8568" s="8"/>
      <c r="F8568" s="8"/>
    </row>
    <row r="8569" spans="4:6">
      <c r="D8569" s="8"/>
      <c r="E8569" s="8"/>
      <c r="F8569" s="8"/>
    </row>
    <row r="8570" spans="4:6">
      <c r="D8570" s="8"/>
      <c r="E8570" s="8"/>
      <c r="F8570" s="8"/>
    </row>
    <row r="8571" spans="4:6">
      <c r="D8571" s="8"/>
      <c r="E8571" s="8"/>
      <c r="F8571" s="8"/>
    </row>
    <row r="8572" spans="4:6">
      <c r="D8572" s="8"/>
      <c r="E8572" s="8"/>
      <c r="F8572" s="8"/>
    </row>
    <row r="8573" spans="4:6">
      <c r="D8573" s="8"/>
      <c r="E8573" s="8"/>
      <c r="F8573" s="8"/>
    </row>
    <row r="8574" spans="4:6">
      <c r="D8574" s="8"/>
      <c r="E8574" s="8"/>
      <c r="F8574" s="8"/>
    </row>
    <row r="8575" spans="4:6">
      <c r="D8575" s="8"/>
      <c r="E8575" s="8"/>
      <c r="F8575" s="8"/>
    </row>
    <row r="8576" spans="4:6">
      <c r="D8576" s="8"/>
      <c r="E8576" s="8"/>
      <c r="F8576" s="8"/>
    </row>
    <row r="8577" spans="4:6">
      <c r="D8577" s="8"/>
      <c r="E8577" s="8"/>
      <c r="F8577" s="8"/>
    </row>
    <row r="8578" spans="4:6">
      <c r="D8578" s="8"/>
      <c r="E8578" s="8"/>
      <c r="F8578" s="8"/>
    </row>
    <row r="8579" spans="4:6">
      <c r="D8579" s="8"/>
      <c r="E8579" s="8"/>
      <c r="F8579" s="8"/>
    </row>
    <row r="8580" spans="4:6">
      <c r="D8580" s="8"/>
      <c r="E8580" s="8"/>
      <c r="F8580" s="8"/>
    </row>
    <row r="8581" spans="4:6">
      <c r="D8581" s="8"/>
      <c r="E8581" s="8"/>
      <c r="F8581" s="8"/>
    </row>
    <row r="8582" spans="4:6">
      <c r="D8582" s="8"/>
      <c r="E8582" s="8"/>
      <c r="F8582" s="8"/>
    </row>
    <row r="8583" spans="4:6">
      <c r="D8583" s="8"/>
      <c r="E8583" s="8"/>
      <c r="F8583" s="8"/>
    </row>
    <row r="8584" spans="4:6">
      <c r="D8584" s="8"/>
      <c r="E8584" s="8"/>
      <c r="F8584" s="8"/>
    </row>
    <row r="8585" spans="4:6">
      <c r="D8585" s="8"/>
      <c r="E8585" s="8"/>
      <c r="F8585" s="8"/>
    </row>
    <row r="8586" spans="4:6">
      <c r="D8586" s="8"/>
      <c r="E8586" s="8"/>
      <c r="F8586" s="8"/>
    </row>
    <row r="8587" spans="4:6">
      <c r="D8587" s="8"/>
      <c r="E8587" s="8"/>
      <c r="F8587" s="8"/>
    </row>
    <row r="8588" spans="4:6">
      <c r="D8588" s="8"/>
      <c r="E8588" s="8"/>
      <c r="F8588" s="8"/>
    </row>
    <row r="8589" spans="4:6">
      <c r="D8589" s="8"/>
      <c r="E8589" s="8"/>
      <c r="F8589" s="8"/>
    </row>
    <row r="8590" spans="4:6">
      <c r="D8590" s="8"/>
      <c r="E8590" s="8"/>
      <c r="F8590" s="8"/>
    </row>
    <row r="8591" spans="4:6">
      <c r="D8591" s="8"/>
      <c r="E8591" s="8"/>
      <c r="F8591" s="8"/>
    </row>
    <row r="8592" spans="4:6">
      <c r="D8592" s="8"/>
      <c r="E8592" s="8"/>
      <c r="F8592" s="8"/>
    </row>
    <row r="8593" spans="4:6">
      <c r="D8593" s="8"/>
      <c r="E8593" s="8"/>
      <c r="F8593" s="8"/>
    </row>
    <row r="8594" spans="4:6">
      <c r="D8594" s="8"/>
      <c r="E8594" s="8"/>
      <c r="F8594" s="8"/>
    </row>
    <row r="8595" spans="4:6">
      <c r="D8595" s="8"/>
      <c r="E8595" s="8"/>
      <c r="F8595" s="8"/>
    </row>
    <row r="8596" spans="4:6">
      <c r="D8596" s="8"/>
      <c r="E8596" s="8"/>
      <c r="F8596" s="8"/>
    </row>
    <row r="8597" spans="4:6">
      <c r="D8597" s="8"/>
      <c r="E8597" s="8"/>
      <c r="F8597" s="8"/>
    </row>
    <row r="8598" spans="4:6">
      <c r="D8598" s="8"/>
      <c r="E8598" s="8"/>
      <c r="F8598" s="8"/>
    </row>
    <row r="8599" spans="4:6">
      <c r="D8599" s="8"/>
      <c r="E8599" s="8"/>
      <c r="F8599" s="8"/>
    </row>
    <row r="8600" spans="4:6">
      <c r="D8600" s="8"/>
      <c r="E8600" s="8"/>
      <c r="F8600" s="8"/>
    </row>
    <row r="8601" spans="4:6">
      <c r="D8601" s="8"/>
      <c r="E8601" s="8"/>
      <c r="F8601" s="8"/>
    </row>
    <row r="8602" spans="4:6">
      <c r="D8602" s="8"/>
      <c r="E8602" s="8"/>
      <c r="F8602" s="8"/>
    </row>
    <row r="8603" spans="4:6">
      <c r="D8603" s="8"/>
      <c r="E8603" s="8"/>
      <c r="F8603" s="8"/>
    </row>
    <row r="8604" spans="4:6">
      <c r="D8604" s="8"/>
      <c r="E8604" s="8"/>
      <c r="F8604" s="8"/>
    </row>
    <row r="8605" spans="4:6">
      <c r="D8605" s="8"/>
      <c r="E8605" s="8"/>
      <c r="F8605" s="8"/>
    </row>
    <row r="8606" spans="4:6">
      <c r="D8606" s="8"/>
      <c r="E8606" s="8"/>
      <c r="F8606" s="8"/>
    </row>
    <row r="8607" spans="4:6">
      <c r="D8607" s="8"/>
      <c r="E8607" s="8"/>
      <c r="F8607" s="8"/>
    </row>
    <row r="8608" spans="4:6">
      <c r="D8608" s="8"/>
      <c r="E8608" s="8"/>
      <c r="F8608" s="8"/>
    </row>
    <row r="8609" spans="4:6">
      <c r="D8609" s="8"/>
      <c r="E8609" s="8"/>
      <c r="F8609" s="8"/>
    </row>
    <row r="8610" spans="4:6">
      <c r="D8610" s="8"/>
      <c r="E8610" s="8"/>
      <c r="F8610" s="8"/>
    </row>
    <row r="8611" spans="4:6">
      <c r="D8611" s="8"/>
      <c r="E8611" s="8"/>
      <c r="F8611" s="8"/>
    </row>
    <row r="8612" spans="4:6">
      <c r="D8612" s="8"/>
      <c r="E8612" s="8"/>
      <c r="F8612" s="8"/>
    </row>
    <row r="8613" spans="4:6">
      <c r="D8613" s="8"/>
      <c r="E8613" s="8"/>
      <c r="F8613" s="8"/>
    </row>
    <row r="8614" spans="4:6">
      <c r="D8614" s="8"/>
      <c r="E8614" s="8"/>
      <c r="F8614" s="8"/>
    </row>
    <row r="8615" spans="4:6">
      <c r="D8615" s="8"/>
      <c r="E8615" s="8"/>
      <c r="F8615" s="8"/>
    </row>
    <row r="8616" spans="4:6">
      <c r="D8616" s="8"/>
      <c r="E8616" s="8"/>
      <c r="F8616" s="8"/>
    </row>
    <row r="8617" spans="4:6">
      <c r="D8617" s="8"/>
      <c r="E8617" s="8"/>
      <c r="F8617" s="8"/>
    </row>
    <row r="8618" spans="4:6">
      <c r="D8618" s="8"/>
      <c r="E8618" s="8"/>
      <c r="F8618" s="8"/>
    </row>
    <row r="8619" spans="4:6">
      <c r="D8619" s="8"/>
      <c r="E8619" s="8"/>
      <c r="F8619" s="8"/>
    </row>
    <row r="8620" spans="4:6">
      <c r="D8620" s="8"/>
      <c r="E8620" s="8"/>
      <c r="F8620" s="8"/>
    </row>
    <row r="8621" spans="4:6">
      <c r="D8621" s="8"/>
      <c r="E8621" s="8"/>
      <c r="F8621" s="8"/>
    </row>
    <row r="8622" spans="4:6">
      <c r="D8622" s="8"/>
      <c r="E8622" s="8"/>
      <c r="F8622" s="8"/>
    </row>
    <row r="8623" spans="4:6">
      <c r="D8623" s="8"/>
      <c r="E8623" s="8"/>
      <c r="F8623" s="8"/>
    </row>
    <row r="8624" spans="4:6">
      <c r="D8624" s="8"/>
      <c r="E8624" s="8"/>
      <c r="F8624" s="8"/>
    </row>
    <row r="8625" spans="4:6">
      <c r="D8625" s="8"/>
      <c r="E8625" s="8"/>
      <c r="F8625" s="8"/>
    </row>
    <row r="8626" spans="4:6">
      <c r="D8626" s="8"/>
      <c r="E8626" s="8"/>
      <c r="F8626" s="8"/>
    </row>
    <row r="8627" spans="4:6">
      <c r="D8627" s="8"/>
      <c r="E8627" s="8"/>
      <c r="F8627" s="8"/>
    </row>
    <row r="8628" spans="4:6">
      <c r="D8628" s="8"/>
      <c r="E8628" s="8"/>
      <c r="F8628" s="8"/>
    </row>
    <row r="8629" spans="4:6">
      <c r="D8629" s="8"/>
      <c r="E8629" s="8"/>
      <c r="F8629" s="8"/>
    </row>
    <row r="8630" spans="4:6">
      <c r="D8630" s="8"/>
      <c r="E8630" s="8"/>
      <c r="F8630" s="8"/>
    </row>
    <row r="8631" spans="4:6">
      <c r="D8631" s="8"/>
      <c r="E8631" s="8"/>
      <c r="F8631" s="8"/>
    </row>
    <row r="8632" spans="4:6">
      <c r="D8632" s="8"/>
      <c r="E8632" s="8"/>
      <c r="F8632" s="8"/>
    </row>
    <row r="8633" spans="4:6">
      <c r="D8633" s="8"/>
      <c r="E8633" s="8"/>
      <c r="F8633" s="8"/>
    </row>
    <row r="8634" spans="4:6">
      <c r="D8634" s="8"/>
      <c r="E8634" s="8"/>
      <c r="F8634" s="8"/>
    </row>
    <row r="8635" spans="4:6">
      <c r="D8635" s="8"/>
      <c r="E8635" s="8"/>
      <c r="F8635" s="8"/>
    </row>
    <row r="8636" spans="4:6">
      <c r="D8636" s="8"/>
      <c r="E8636" s="8"/>
      <c r="F8636" s="8"/>
    </row>
    <row r="8637" spans="4:6">
      <c r="D8637" s="8"/>
      <c r="E8637" s="8"/>
      <c r="F8637" s="8"/>
    </row>
    <row r="8638" spans="4:6">
      <c r="D8638" s="8"/>
      <c r="E8638" s="8"/>
      <c r="F8638" s="8"/>
    </row>
    <row r="8639" spans="4:6">
      <c r="D8639" s="8"/>
      <c r="E8639" s="8"/>
      <c r="F8639" s="8"/>
    </row>
    <row r="8640" spans="4:6">
      <c r="D8640" s="8"/>
      <c r="E8640" s="8"/>
      <c r="F8640" s="8"/>
    </row>
    <row r="8641" spans="4:6">
      <c r="D8641" s="8"/>
      <c r="E8641" s="8"/>
      <c r="F8641" s="8"/>
    </row>
    <row r="8642" spans="4:6">
      <c r="D8642" s="8"/>
      <c r="E8642" s="8"/>
      <c r="F8642" s="8"/>
    </row>
    <row r="8643" spans="4:6">
      <c r="D8643" s="8"/>
      <c r="E8643" s="8"/>
      <c r="F8643" s="8"/>
    </row>
    <row r="8644" spans="4:6">
      <c r="D8644" s="8"/>
      <c r="E8644" s="8"/>
      <c r="F8644" s="8"/>
    </row>
    <row r="8645" spans="4:6">
      <c r="D8645" s="8"/>
      <c r="E8645" s="8"/>
      <c r="F8645" s="8"/>
    </row>
    <row r="8646" spans="4:6">
      <c r="D8646" s="8"/>
      <c r="E8646" s="8"/>
      <c r="F8646" s="8"/>
    </row>
    <row r="8647" spans="4:6">
      <c r="D8647" s="8"/>
      <c r="E8647" s="8"/>
      <c r="F8647" s="8"/>
    </row>
    <row r="8648" spans="4:6">
      <c r="D8648" s="8"/>
      <c r="E8648" s="8"/>
      <c r="F8648" s="8"/>
    </row>
    <row r="8649" spans="4:6">
      <c r="D8649" s="8"/>
      <c r="E8649" s="8"/>
      <c r="F8649" s="8"/>
    </row>
    <row r="8650" spans="4:6">
      <c r="D8650" s="8"/>
      <c r="E8650" s="8"/>
      <c r="F8650" s="8"/>
    </row>
    <row r="8651" spans="4:6">
      <c r="D8651" s="8"/>
      <c r="E8651" s="8"/>
      <c r="F8651" s="8"/>
    </row>
    <row r="8652" spans="4:6">
      <c r="D8652" s="8"/>
      <c r="E8652" s="8"/>
      <c r="F8652" s="8"/>
    </row>
    <row r="8653" spans="4:6">
      <c r="D8653" s="8"/>
      <c r="E8653" s="8"/>
      <c r="F8653" s="8"/>
    </row>
    <row r="8654" spans="4:6">
      <c r="D8654" s="8"/>
      <c r="E8654" s="8"/>
      <c r="F8654" s="8"/>
    </row>
    <row r="8655" spans="4:6">
      <c r="D8655" s="8"/>
      <c r="E8655" s="8"/>
      <c r="F8655" s="8"/>
    </row>
    <row r="8656" spans="4:6">
      <c r="D8656" s="8"/>
      <c r="E8656" s="8"/>
      <c r="F8656" s="8"/>
    </row>
    <row r="8657" spans="4:6">
      <c r="D8657" s="8"/>
      <c r="E8657" s="8"/>
      <c r="F8657" s="8"/>
    </row>
    <row r="8658" spans="4:6">
      <c r="D8658" s="8"/>
      <c r="E8658" s="8"/>
      <c r="F8658" s="8"/>
    </row>
    <row r="8659" spans="4:6">
      <c r="D8659" s="8"/>
      <c r="E8659" s="8"/>
      <c r="F8659" s="8"/>
    </row>
    <row r="8660" spans="4:6">
      <c r="D8660" s="8"/>
      <c r="E8660" s="8"/>
      <c r="F8660" s="8"/>
    </row>
    <row r="8661" spans="4:6">
      <c r="D8661" s="8"/>
      <c r="E8661" s="8"/>
      <c r="F8661" s="8"/>
    </row>
    <row r="8662" spans="4:6">
      <c r="D8662" s="8"/>
      <c r="E8662" s="8"/>
      <c r="F8662" s="8"/>
    </row>
    <row r="8663" spans="4:6">
      <c r="D8663" s="8"/>
      <c r="E8663" s="8"/>
      <c r="F8663" s="8"/>
    </row>
    <row r="8664" spans="4:6">
      <c r="D8664" s="8"/>
      <c r="E8664" s="8"/>
      <c r="F8664" s="8"/>
    </row>
    <row r="8665" spans="4:6">
      <c r="D8665" s="8"/>
      <c r="E8665" s="8"/>
      <c r="F8665" s="8"/>
    </row>
    <row r="8666" spans="4:6">
      <c r="D8666" s="8"/>
      <c r="E8666" s="8"/>
      <c r="F8666" s="8"/>
    </row>
    <row r="8667" spans="4:6">
      <c r="D8667" s="8"/>
      <c r="E8667" s="8"/>
      <c r="F8667" s="8"/>
    </row>
    <row r="8668" spans="4:6">
      <c r="D8668" s="8"/>
      <c r="E8668" s="8"/>
      <c r="F8668" s="8"/>
    </row>
    <row r="8669" spans="4:6">
      <c r="D8669" s="8"/>
      <c r="E8669" s="8"/>
      <c r="F8669" s="8"/>
    </row>
    <row r="8670" spans="4:6">
      <c r="D8670" s="8"/>
      <c r="E8670" s="8"/>
      <c r="F8670" s="8"/>
    </row>
    <row r="8671" spans="4:6">
      <c r="D8671" s="8"/>
      <c r="E8671" s="8"/>
      <c r="F8671" s="8"/>
    </row>
    <row r="8672" spans="4:6">
      <c r="D8672" s="8"/>
      <c r="E8672" s="8"/>
      <c r="F8672" s="8"/>
    </row>
    <row r="8673" spans="4:6">
      <c r="D8673" s="8"/>
      <c r="E8673" s="8"/>
      <c r="F8673" s="8"/>
    </row>
    <row r="8674" spans="4:6">
      <c r="D8674" s="8"/>
      <c r="E8674" s="8"/>
      <c r="F8674" s="8"/>
    </row>
    <row r="8675" spans="4:6">
      <c r="D8675" s="8"/>
      <c r="E8675" s="8"/>
      <c r="F8675" s="8"/>
    </row>
    <row r="8676" spans="4:6">
      <c r="D8676" s="8"/>
      <c r="E8676" s="8"/>
      <c r="F8676" s="8"/>
    </row>
    <row r="8677" spans="4:6">
      <c r="D8677" s="8"/>
      <c r="E8677" s="8"/>
      <c r="F8677" s="8"/>
    </row>
    <row r="8678" spans="4:6">
      <c r="D8678" s="8"/>
      <c r="E8678" s="8"/>
      <c r="F8678" s="8"/>
    </row>
    <row r="8679" spans="4:6">
      <c r="D8679" s="8"/>
      <c r="E8679" s="8"/>
      <c r="F8679" s="8"/>
    </row>
    <row r="8680" spans="4:6">
      <c r="D8680" s="8"/>
      <c r="E8680" s="8"/>
      <c r="F8680" s="8"/>
    </row>
    <row r="8681" spans="4:6">
      <c r="D8681" s="8"/>
      <c r="E8681" s="8"/>
      <c r="F8681" s="8"/>
    </row>
    <row r="8682" spans="4:6">
      <c r="D8682" s="8"/>
      <c r="E8682" s="8"/>
      <c r="F8682" s="8"/>
    </row>
    <row r="8683" spans="4:6">
      <c r="D8683" s="8"/>
      <c r="E8683" s="8"/>
      <c r="F8683" s="8"/>
    </row>
    <row r="8684" spans="4:6">
      <c r="D8684" s="8"/>
      <c r="E8684" s="8"/>
      <c r="F8684" s="8"/>
    </row>
    <row r="8685" spans="4:6">
      <c r="D8685" s="8"/>
      <c r="E8685" s="8"/>
      <c r="F8685" s="8"/>
    </row>
    <row r="8686" spans="4:6">
      <c r="D8686" s="8"/>
      <c r="E8686" s="8"/>
      <c r="F8686" s="8"/>
    </row>
    <row r="8687" spans="4:6">
      <c r="D8687" s="8"/>
      <c r="E8687" s="8"/>
      <c r="F8687" s="8"/>
    </row>
    <row r="8688" spans="4:6">
      <c r="D8688" s="8"/>
      <c r="E8688" s="8"/>
      <c r="F8688" s="8"/>
    </row>
    <row r="8689" spans="4:6">
      <c r="D8689" s="8"/>
      <c r="E8689" s="8"/>
      <c r="F8689" s="8"/>
    </row>
    <row r="8690" spans="4:6">
      <c r="D8690" s="8"/>
      <c r="E8690" s="8"/>
      <c r="F8690" s="8"/>
    </row>
    <row r="8691" spans="4:6">
      <c r="D8691" s="8"/>
      <c r="E8691" s="8"/>
      <c r="F8691" s="8"/>
    </row>
    <row r="8692" spans="4:6">
      <c r="D8692" s="8"/>
      <c r="E8692" s="8"/>
      <c r="F8692" s="8"/>
    </row>
    <row r="8693" spans="4:6">
      <c r="D8693" s="8"/>
      <c r="E8693" s="8"/>
      <c r="F8693" s="8"/>
    </row>
    <row r="8694" spans="4:6">
      <c r="D8694" s="8"/>
      <c r="E8694" s="8"/>
      <c r="F8694" s="8"/>
    </row>
    <row r="8695" spans="4:6">
      <c r="D8695" s="8"/>
      <c r="E8695" s="8"/>
      <c r="F8695" s="8"/>
    </row>
    <row r="8696" spans="4:6">
      <c r="D8696" s="8"/>
      <c r="E8696" s="8"/>
      <c r="F8696" s="8"/>
    </row>
    <row r="8697" spans="4:6">
      <c r="D8697" s="8"/>
      <c r="E8697" s="8"/>
      <c r="F8697" s="8"/>
    </row>
    <row r="8698" spans="4:6">
      <c r="D8698" s="8"/>
      <c r="E8698" s="8"/>
      <c r="F8698" s="8"/>
    </row>
    <row r="8699" spans="4:6">
      <c r="D8699" s="8"/>
      <c r="E8699" s="8"/>
      <c r="F8699" s="8"/>
    </row>
    <row r="8700" spans="4:6">
      <c r="D8700" s="8"/>
      <c r="E8700" s="8"/>
      <c r="F8700" s="8"/>
    </row>
    <row r="8701" spans="4:6">
      <c r="D8701" s="8"/>
      <c r="E8701" s="8"/>
      <c r="F8701" s="8"/>
    </row>
    <row r="8702" spans="4:6">
      <c r="D8702" s="8"/>
      <c r="E8702" s="8"/>
      <c r="F8702" s="8"/>
    </row>
    <row r="8703" spans="4:6">
      <c r="D8703" s="8"/>
      <c r="E8703" s="8"/>
      <c r="F8703" s="8"/>
    </row>
    <row r="8704" spans="4:6">
      <c r="D8704" s="8"/>
      <c r="E8704" s="8"/>
      <c r="F8704" s="8"/>
    </row>
    <row r="8705" spans="4:6">
      <c r="D8705" s="8"/>
      <c r="E8705" s="8"/>
      <c r="F8705" s="8"/>
    </row>
    <row r="8706" spans="4:6">
      <c r="D8706" s="8"/>
      <c r="E8706" s="8"/>
      <c r="F8706" s="8"/>
    </row>
    <row r="8707" spans="4:6">
      <c r="D8707" s="8"/>
      <c r="E8707" s="8"/>
      <c r="F8707" s="8"/>
    </row>
    <row r="8708" spans="4:6">
      <c r="D8708" s="8"/>
      <c r="E8708" s="8"/>
      <c r="F8708" s="8"/>
    </row>
    <row r="8709" spans="4:6">
      <c r="D8709" s="8"/>
      <c r="E8709" s="8"/>
      <c r="F8709" s="8"/>
    </row>
    <row r="8710" spans="4:6">
      <c r="D8710" s="8"/>
      <c r="E8710" s="8"/>
      <c r="F8710" s="8"/>
    </row>
    <row r="8711" spans="4:6">
      <c r="D8711" s="8"/>
      <c r="E8711" s="8"/>
      <c r="F8711" s="8"/>
    </row>
    <row r="8712" spans="4:6">
      <c r="D8712" s="8"/>
      <c r="E8712" s="8"/>
      <c r="F8712" s="8"/>
    </row>
    <row r="8713" spans="4:6">
      <c r="D8713" s="8"/>
      <c r="E8713" s="8"/>
      <c r="F8713" s="8"/>
    </row>
    <row r="8714" spans="4:6">
      <c r="D8714" s="8"/>
      <c r="E8714" s="8"/>
      <c r="F8714" s="8"/>
    </row>
    <row r="8715" spans="4:6">
      <c r="D8715" s="8"/>
      <c r="E8715" s="8"/>
      <c r="F8715" s="8"/>
    </row>
    <row r="8716" spans="4:6">
      <c r="D8716" s="8"/>
      <c r="E8716" s="8"/>
      <c r="F8716" s="8"/>
    </row>
    <row r="8717" spans="4:6">
      <c r="D8717" s="8"/>
      <c r="E8717" s="8"/>
      <c r="F8717" s="8"/>
    </row>
    <row r="8718" spans="4:6">
      <c r="D8718" s="8"/>
      <c r="E8718" s="8"/>
      <c r="F8718" s="8"/>
    </row>
    <row r="8719" spans="4:6">
      <c r="D8719" s="8"/>
      <c r="E8719" s="8"/>
      <c r="F8719" s="8"/>
    </row>
    <row r="8720" spans="4:6">
      <c r="D8720" s="8"/>
      <c r="E8720" s="8"/>
      <c r="F8720" s="8"/>
    </row>
    <row r="8721" spans="4:6">
      <c r="D8721" s="8"/>
      <c r="E8721" s="8"/>
      <c r="F8721" s="8"/>
    </row>
    <row r="8722" spans="4:6">
      <c r="D8722" s="8"/>
      <c r="E8722" s="8"/>
      <c r="F8722" s="8"/>
    </row>
    <row r="8723" spans="4:6">
      <c r="D8723" s="8"/>
      <c r="E8723" s="8"/>
      <c r="F8723" s="8"/>
    </row>
    <row r="8724" spans="4:6">
      <c r="D8724" s="8"/>
      <c r="E8724" s="8"/>
      <c r="F8724" s="8"/>
    </row>
    <row r="8725" spans="4:6">
      <c r="D8725" s="8"/>
      <c r="E8725" s="8"/>
      <c r="F8725" s="8"/>
    </row>
    <row r="8726" spans="4:6">
      <c r="D8726" s="8"/>
      <c r="E8726" s="8"/>
      <c r="F8726" s="8"/>
    </row>
    <row r="8727" spans="4:6">
      <c r="D8727" s="8"/>
      <c r="E8727" s="8"/>
      <c r="F8727" s="8"/>
    </row>
    <row r="8728" spans="4:6">
      <c r="D8728" s="8"/>
      <c r="E8728" s="8"/>
      <c r="F8728" s="8"/>
    </row>
    <row r="8729" spans="4:6">
      <c r="D8729" s="8"/>
      <c r="E8729" s="8"/>
      <c r="F8729" s="8"/>
    </row>
    <row r="8730" spans="4:6">
      <c r="D8730" s="8"/>
      <c r="E8730" s="8"/>
      <c r="F8730" s="8"/>
    </row>
    <row r="8731" spans="4:6">
      <c r="D8731" s="8"/>
      <c r="E8731" s="8"/>
      <c r="F8731" s="8"/>
    </row>
    <row r="8732" spans="4:6">
      <c r="D8732" s="8"/>
      <c r="E8732" s="8"/>
      <c r="F8732" s="8"/>
    </row>
    <row r="8733" spans="4:6">
      <c r="D8733" s="8"/>
      <c r="E8733" s="8"/>
      <c r="F8733" s="8"/>
    </row>
    <row r="8734" spans="4:6">
      <c r="D8734" s="8"/>
      <c r="E8734" s="8"/>
      <c r="F8734" s="8"/>
    </row>
    <row r="8735" spans="4:6">
      <c r="D8735" s="8"/>
      <c r="E8735" s="8"/>
      <c r="F8735" s="8"/>
    </row>
    <row r="8736" spans="4:6">
      <c r="D8736" s="8"/>
      <c r="E8736" s="8"/>
      <c r="F8736" s="8"/>
    </row>
    <row r="8737" spans="4:6">
      <c r="D8737" s="8"/>
      <c r="E8737" s="8"/>
      <c r="F8737" s="8"/>
    </row>
    <row r="8738" spans="4:6">
      <c r="D8738" s="8"/>
      <c r="E8738" s="8"/>
      <c r="F8738" s="8"/>
    </row>
    <row r="8739" spans="4:6">
      <c r="D8739" s="8"/>
      <c r="E8739" s="8"/>
      <c r="F8739" s="8"/>
    </row>
    <row r="8740" spans="4:6">
      <c r="D8740" s="8"/>
      <c r="E8740" s="8"/>
      <c r="F8740" s="8"/>
    </row>
    <row r="8741" spans="4:6">
      <c r="D8741" s="8"/>
      <c r="E8741" s="8"/>
      <c r="F8741" s="8"/>
    </row>
    <row r="8742" spans="4:6">
      <c r="D8742" s="8"/>
      <c r="E8742" s="8"/>
      <c r="F8742" s="8"/>
    </row>
    <row r="8743" spans="4:6">
      <c r="D8743" s="8"/>
      <c r="E8743" s="8"/>
      <c r="F8743" s="8"/>
    </row>
    <row r="8744" spans="4:6">
      <c r="D8744" s="8"/>
      <c r="E8744" s="8"/>
      <c r="F8744" s="8"/>
    </row>
    <row r="8745" spans="4:6">
      <c r="D8745" s="8"/>
      <c r="E8745" s="8"/>
      <c r="F8745" s="8"/>
    </row>
    <row r="8746" spans="4:6">
      <c r="D8746" s="8"/>
      <c r="E8746" s="8"/>
      <c r="F8746" s="8"/>
    </row>
    <row r="8747" spans="4:6">
      <c r="D8747" s="8"/>
      <c r="E8747" s="8"/>
      <c r="F8747" s="8"/>
    </row>
    <row r="8748" spans="4:6">
      <c r="D8748" s="8"/>
      <c r="E8748" s="8"/>
      <c r="F8748" s="8"/>
    </row>
    <row r="8749" spans="4:6">
      <c r="D8749" s="8"/>
      <c r="E8749" s="8"/>
      <c r="F8749" s="8"/>
    </row>
    <row r="8750" spans="4:6">
      <c r="D8750" s="8"/>
      <c r="E8750" s="8"/>
      <c r="F8750" s="8"/>
    </row>
    <row r="8751" spans="4:6">
      <c r="D8751" s="8"/>
      <c r="E8751" s="8"/>
      <c r="F8751" s="8"/>
    </row>
    <row r="8752" spans="4:6">
      <c r="D8752" s="8"/>
      <c r="E8752" s="8"/>
      <c r="F8752" s="8"/>
    </row>
    <row r="8753" spans="4:6">
      <c r="D8753" s="8"/>
      <c r="E8753" s="8"/>
      <c r="F8753" s="8"/>
    </row>
    <row r="8754" spans="4:6">
      <c r="D8754" s="8"/>
      <c r="E8754" s="8"/>
      <c r="F8754" s="8"/>
    </row>
    <row r="8755" spans="4:6">
      <c r="D8755" s="8"/>
      <c r="E8755" s="8"/>
      <c r="F8755" s="8"/>
    </row>
    <row r="8756" spans="4:6">
      <c r="D8756" s="8"/>
      <c r="E8756" s="8"/>
      <c r="F8756" s="8"/>
    </row>
    <row r="8757" spans="4:6">
      <c r="D8757" s="8"/>
      <c r="E8757" s="8"/>
      <c r="F8757" s="8"/>
    </row>
    <row r="8758" spans="4:6">
      <c r="D8758" s="8"/>
      <c r="E8758" s="8"/>
      <c r="F8758" s="8"/>
    </row>
    <row r="8759" spans="4:6">
      <c r="D8759" s="8"/>
      <c r="E8759" s="8"/>
      <c r="F8759" s="8"/>
    </row>
    <row r="8760" spans="4:6">
      <c r="D8760" s="8"/>
      <c r="E8760" s="8"/>
      <c r="F8760" s="8"/>
    </row>
    <row r="8761" spans="4:6">
      <c r="D8761" s="8"/>
      <c r="E8761" s="8"/>
      <c r="F8761" s="8"/>
    </row>
    <row r="8762" spans="4:6">
      <c r="D8762" s="8"/>
      <c r="E8762" s="8"/>
      <c r="F8762" s="8"/>
    </row>
    <row r="8763" spans="4:6">
      <c r="D8763" s="8"/>
      <c r="E8763" s="8"/>
      <c r="F8763" s="8"/>
    </row>
    <row r="8764" spans="4:6">
      <c r="D8764" s="8"/>
      <c r="E8764" s="8"/>
      <c r="F8764" s="8"/>
    </row>
    <row r="8765" spans="4:6">
      <c r="D8765" s="8"/>
      <c r="E8765" s="8"/>
      <c r="F8765" s="8"/>
    </row>
    <row r="8766" spans="4:6">
      <c r="D8766" s="8"/>
      <c r="E8766" s="8"/>
      <c r="F8766" s="8"/>
    </row>
    <row r="8767" spans="4:6">
      <c r="D8767" s="8"/>
      <c r="E8767" s="8"/>
      <c r="F8767" s="8"/>
    </row>
    <row r="8768" spans="4:6">
      <c r="D8768" s="8"/>
      <c r="E8768" s="8"/>
      <c r="F8768" s="8"/>
    </row>
    <row r="8769" spans="4:6">
      <c r="D8769" s="8"/>
      <c r="E8769" s="8"/>
      <c r="F8769" s="8"/>
    </row>
    <row r="8770" spans="4:6">
      <c r="D8770" s="8"/>
      <c r="E8770" s="8"/>
      <c r="F8770" s="8"/>
    </row>
    <row r="8771" spans="4:6">
      <c r="D8771" s="8"/>
      <c r="E8771" s="8"/>
      <c r="F8771" s="8"/>
    </row>
    <row r="8772" spans="4:6">
      <c r="D8772" s="8"/>
      <c r="E8772" s="8"/>
      <c r="F8772" s="8"/>
    </row>
    <row r="8773" spans="4:6">
      <c r="D8773" s="8"/>
      <c r="E8773" s="8"/>
      <c r="F8773" s="8"/>
    </row>
    <row r="8774" spans="4:6">
      <c r="D8774" s="8"/>
      <c r="E8774" s="8"/>
      <c r="F8774" s="8"/>
    </row>
    <row r="8775" spans="4:6">
      <c r="D8775" s="8"/>
      <c r="E8775" s="8"/>
      <c r="F8775" s="8"/>
    </row>
    <row r="8776" spans="4:6">
      <c r="D8776" s="8"/>
      <c r="E8776" s="8"/>
      <c r="F8776" s="8"/>
    </row>
    <row r="8777" spans="4:6">
      <c r="D8777" s="8"/>
      <c r="E8777" s="8"/>
      <c r="F8777" s="8"/>
    </row>
    <row r="8778" spans="4:6">
      <c r="D8778" s="8"/>
      <c r="E8778" s="8"/>
      <c r="F8778" s="8"/>
    </row>
    <row r="8779" spans="4:6">
      <c r="D8779" s="8"/>
      <c r="E8779" s="8"/>
      <c r="F8779" s="8"/>
    </row>
    <row r="8780" spans="4:6">
      <c r="D8780" s="8"/>
      <c r="E8780" s="8"/>
      <c r="F8780" s="8"/>
    </row>
    <row r="8781" spans="4:6">
      <c r="D8781" s="8"/>
      <c r="E8781" s="8"/>
      <c r="F8781" s="8"/>
    </row>
    <row r="8782" spans="4:6">
      <c r="D8782" s="8"/>
      <c r="E8782" s="8"/>
      <c r="F8782" s="8"/>
    </row>
    <row r="8783" spans="4:6">
      <c r="D8783" s="8"/>
      <c r="E8783" s="8"/>
      <c r="F8783" s="8"/>
    </row>
    <row r="8784" spans="4:6">
      <c r="D8784" s="8"/>
      <c r="E8784" s="8"/>
      <c r="F8784" s="8"/>
    </row>
    <row r="8785" spans="4:6">
      <c r="D8785" s="8"/>
      <c r="E8785" s="8"/>
      <c r="F8785" s="8"/>
    </row>
    <row r="8786" spans="4:6">
      <c r="D8786" s="8"/>
      <c r="E8786" s="8"/>
      <c r="F8786" s="8"/>
    </row>
    <row r="8787" spans="4:6">
      <c r="D8787" s="8"/>
      <c r="E8787" s="8"/>
      <c r="F8787" s="8"/>
    </row>
    <row r="8788" spans="4:6">
      <c r="D8788" s="8"/>
      <c r="E8788" s="8"/>
      <c r="F8788" s="8"/>
    </row>
    <row r="8789" spans="4:6">
      <c r="D8789" s="8"/>
      <c r="E8789" s="8"/>
      <c r="F8789" s="8"/>
    </row>
    <row r="8790" spans="4:6">
      <c r="D8790" s="8"/>
      <c r="E8790" s="8"/>
      <c r="F8790" s="8"/>
    </row>
    <row r="8791" spans="4:6">
      <c r="D8791" s="8"/>
      <c r="E8791" s="8"/>
      <c r="F8791" s="8"/>
    </row>
    <row r="8792" spans="4:6">
      <c r="D8792" s="8"/>
      <c r="E8792" s="8"/>
      <c r="F8792" s="8"/>
    </row>
    <row r="8793" spans="4:6">
      <c r="D8793" s="8"/>
      <c r="E8793" s="8"/>
      <c r="F8793" s="8"/>
    </row>
    <row r="8794" spans="4:6">
      <c r="D8794" s="8"/>
      <c r="E8794" s="8"/>
      <c r="F8794" s="8"/>
    </row>
    <row r="8795" spans="4:6">
      <c r="D8795" s="8"/>
      <c r="E8795" s="8"/>
      <c r="F8795" s="8"/>
    </row>
    <row r="8796" spans="4:6">
      <c r="D8796" s="8"/>
      <c r="E8796" s="8"/>
      <c r="F8796" s="8"/>
    </row>
    <row r="8797" spans="4:6">
      <c r="D8797" s="8"/>
      <c r="E8797" s="8"/>
      <c r="F8797" s="8"/>
    </row>
    <row r="8798" spans="4:6">
      <c r="D8798" s="8"/>
      <c r="E8798" s="8"/>
      <c r="F8798" s="8"/>
    </row>
    <row r="8799" spans="4:6">
      <c r="D8799" s="8"/>
      <c r="E8799" s="8"/>
      <c r="F8799" s="8"/>
    </row>
    <row r="8800" spans="4:6">
      <c r="D8800" s="8"/>
      <c r="E8800" s="8"/>
      <c r="F8800" s="8"/>
    </row>
    <row r="8801" spans="4:6">
      <c r="D8801" s="8"/>
      <c r="E8801" s="8"/>
      <c r="F8801" s="8"/>
    </row>
    <row r="8802" spans="4:6">
      <c r="D8802" s="8"/>
      <c r="E8802" s="8"/>
      <c r="F8802" s="8"/>
    </row>
    <row r="8803" spans="4:6">
      <c r="D8803" s="8"/>
      <c r="E8803" s="8"/>
      <c r="F8803" s="8"/>
    </row>
    <row r="8804" spans="4:6">
      <c r="D8804" s="8"/>
      <c r="E8804" s="8"/>
      <c r="F8804" s="8"/>
    </row>
    <row r="8805" spans="4:6">
      <c r="D8805" s="8"/>
      <c r="E8805" s="8"/>
      <c r="F8805" s="8"/>
    </row>
    <row r="8806" spans="4:6">
      <c r="D8806" s="8"/>
      <c r="E8806" s="8"/>
      <c r="F8806" s="8"/>
    </row>
    <row r="8807" spans="4:6">
      <c r="D8807" s="8"/>
      <c r="E8807" s="8"/>
      <c r="F8807" s="8"/>
    </row>
    <row r="8808" spans="4:6">
      <c r="D8808" s="8"/>
      <c r="E8808" s="8"/>
      <c r="F8808" s="8"/>
    </row>
    <row r="8809" spans="4:6">
      <c r="D8809" s="8"/>
      <c r="E8809" s="8"/>
      <c r="F8809" s="8"/>
    </row>
    <row r="8810" spans="4:6">
      <c r="D8810" s="8"/>
      <c r="E8810" s="8"/>
      <c r="F8810" s="8"/>
    </row>
    <row r="8811" spans="4:6">
      <c r="D8811" s="8"/>
      <c r="E8811" s="8"/>
      <c r="F8811" s="8"/>
    </row>
    <row r="8812" spans="4:6">
      <c r="D8812" s="8"/>
      <c r="E8812" s="8"/>
      <c r="F8812" s="8"/>
    </row>
    <row r="8813" spans="4:6">
      <c r="D8813" s="8"/>
      <c r="E8813" s="8"/>
      <c r="F8813" s="8"/>
    </row>
    <row r="8814" spans="4:6">
      <c r="D8814" s="8"/>
      <c r="E8814" s="8"/>
      <c r="F8814" s="8"/>
    </row>
    <row r="8815" spans="4:6">
      <c r="D8815" s="8"/>
      <c r="E8815" s="8"/>
      <c r="F8815" s="8"/>
    </row>
    <row r="8816" spans="4:6">
      <c r="D8816" s="8"/>
      <c r="E8816" s="8"/>
      <c r="F8816" s="8"/>
    </row>
    <row r="8817" spans="4:6">
      <c r="D8817" s="8"/>
      <c r="E8817" s="8"/>
      <c r="F8817" s="8"/>
    </row>
    <row r="8818" spans="4:6">
      <c r="D8818" s="8"/>
      <c r="E8818" s="8"/>
      <c r="F8818" s="8"/>
    </row>
    <row r="8819" spans="4:6">
      <c r="D8819" s="8"/>
      <c r="E8819" s="8"/>
      <c r="F8819" s="8"/>
    </row>
    <row r="8820" spans="4:6">
      <c r="D8820" s="8"/>
      <c r="E8820" s="8"/>
      <c r="F8820" s="8"/>
    </row>
    <row r="8821" spans="4:6">
      <c r="D8821" s="8"/>
      <c r="E8821" s="8"/>
      <c r="F8821" s="8"/>
    </row>
    <row r="8822" spans="4:6">
      <c r="D8822" s="8"/>
      <c r="E8822" s="8"/>
      <c r="F8822" s="8"/>
    </row>
    <row r="8823" spans="4:6">
      <c r="D8823" s="8"/>
      <c r="E8823" s="8"/>
      <c r="F8823" s="8"/>
    </row>
    <row r="8824" spans="4:6">
      <c r="D8824" s="8"/>
      <c r="E8824" s="8"/>
      <c r="F8824" s="8"/>
    </row>
    <row r="8825" spans="4:6">
      <c r="D8825" s="8"/>
      <c r="E8825" s="8"/>
      <c r="F8825" s="8"/>
    </row>
    <row r="8826" spans="4:6">
      <c r="D8826" s="8"/>
      <c r="E8826" s="8"/>
      <c r="F8826" s="8"/>
    </row>
    <row r="8827" spans="4:6">
      <c r="D8827" s="8"/>
      <c r="E8827" s="8"/>
      <c r="F8827" s="8"/>
    </row>
    <row r="8828" spans="4:6">
      <c r="D8828" s="8"/>
      <c r="E8828" s="8"/>
      <c r="F8828" s="8"/>
    </row>
    <row r="8829" spans="4:6">
      <c r="D8829" s="8"/>
      <c r="E8829" s="8"/>
      <c r="F8829" s="8"/>
    </row>
    <row r="8830" spans="4:6">
      <c r="D8830" s="8"/>
      <c r="E8830" s="8"/>
      <c r="F8830" s="8"/>
    </row>
    <row r="8831" spans="4:6">
      <c r="D8831" s="8"/>
      <c r="E8831" s="8"/>
      <c r="F8831" s="8"/>
    </row>
    <row r="8832" spans="4:6">
      <c r="D8832" s="8"/>
      <c r="E8832" s="8"/>
      <c r="F8832" s="8"/>
    </row>
    <row r="8833" spans="4:6">
      <c r="D8833" s="8"/>
      <c r="E8833" s="8"/>
      <c r="F8833" s="8"/>
    </row>
    <row r="8834" spans="4:6">
      <c r="D8834" s="8"/>
      <c r="E8834" s="8"/>
      <c r="F8834" s="8"/>
    </row>
    <row r="8835" spans="4:6">
      <c r="D8835" s="8"/>
      <c r="E8835" s="8"/>
      <c r="F8835" s="8"/>
    </row>
    <row r="8836" spans="4:6">
      <c r="D8836" s="8"/>
      <c r="E8836" s="8"/>
      <c r="F8836" s="8"/>
    </row>
    <row r="8837" spans="4:6">
      <c r="D8837" s="8"/>
      <c r="E8837" s="8"/>
      <c r="F8837" s="8"/>
    </row>
    <row r="8838" spans="4:6">
      <c r="D8838" s="8"/>
      <c r="E8838" s="8"/>
      <c r="F8838" s="8"/>
    </row>
    <row r="8839" spans="4:6">
      <c r="D8839" s="8"/>
      <c r="E8839" s="8"/>
      <c r="F8839" s="8"/>
    </row>
    <row r="8840" spans="4:6">
      <c r="D8840" s="8"/>
      <c r="E8840" s="8"/>
      <c r="F8840" s="8"/>
    </row>
    <row r="8841" spans="4:6">
      <c r="D8841" s="8"/>
      <c r="E8841" s="8"/>
      <c r="F8841" s="8"/>
    </row>
    <row r="8842" spans="4:6">
      <c r="D8842" s="8"/>
      <c r="E8842" s="8"/>
      <c r="F8842" s="8"/>
    </row>
    <row r="8843" spans="4:6">
      <c r="D8843" s="8"/>
      <c r="E8843" s="8"/>
      <c r="F8843" s="8"/>
    </row>
    <row r="8844" spans="4:6">
      <c r="D8844" s="8"/>
      <c r="E8844" s="8"/>
      <c r="F8844" s="8"/>
    </row>
    <row r="8845" spans="4:6">
      <c r="D8845" s="8"/>
      <c r="E8845" s="8"/>
      <c r="F8845" s="8"/>
    </row>
    <row r="8846" spans="4:6">
      <c r="D8846" s="8"/>
      <c r="E8846" s="8"/>
      <c r="F8846" s="8"/>
    </row>
    <row r="8847" spans="4:6">
      <c r="D8847" s="8"/>
      <c r="E8847" s="8"/>
      <c r="F8847" s="8"/>
    </row>
    <row r="8848" spans="4:6">
      <c r="D8848" s="8"/>
      <c r="E8848" s="8"/>
      <c r="F8848" s="8"/>
    </row>
    <row r="8849" spans="4:6">
      <c r="D8849" s="8"/>
      <c r="E8849" s="8"/>
      <c r="F8849" s="8"/>
    </row>
    <row r="8850" spans="4:6">
      <c r="D8850" s="8"/>
      <c r="E8850" s="8"/>
      <c r="F8850" s="8"/>
    </row>
    <row r="8851" spans="4:6">
      <c r="D8851" s="8"/>
      <c r="E8851" s="8"/>
      <c r="F8851" s="8"/>
    </row>
    <row r="8852" spans="4:6">
      <c r="D8852" s="8"/>
      <c r="E8852" s="8"/>
      <c r="F8852" s="8"/>
    </row>
    <row r="8853" spans="4:6">
      <c r="D8853" s="8"/>
      <c r="E8853" s="8"/>
      <c r="F8853" s="8"/>
    </row>
    <row r="8854" spans="4:6">
      <c r="D8854" s="8"/>
      <c r="E8854" s="8"/>
      <c r="F8854" s="8"/>
    </row>
    <row r="8855" spans="4:6">
      <c r="D8855" s="8"/>
      <c r="E8855" s="8"/>
      <c r="F8855" s="8"/>
    </row>
    <row r="8856" spans="4:6">
      <c r="D8856" s="8"/>
      <c r="E8856" s="8"/>
      <c r="F8856" s="8"/>
    </row>
    <row r="8857" spans="4:6">
      <c r="D8857" s="8"/>
      <c r="E8857" s="8"/>
      <c r="F8857" s="8"/>
    </row>
    <row r="8858" spans="4:6">
      <c r="D8858" s="8"/>
      <c r="E8858" s="8"/>
      <c r="F8858" s="8"/>
    </row>
    <row r="8859" spans="4:6">
      <c r="D8859" s="8"/>
      <c r="E8859" s="8"/>
      <c r="F8859" s="8"/>
    </row>
    <row r="8860" spans="4:6">
      <c r="D8860" s="8"/>
      <c r="E8860" s="8"/>
      <c r="F8860" s="8"/>
    </row>
    <row r="8861" spans="4:6">
      <c r="D8861" s="8"/>
      <c r="E8861" s="8"/>
      <c r="F8861" s="8"/>
    </row>
    <row r="8862" spans="4:6">
      <c r="D8862" s="8"/>
      <c r="E8862" s="8"/>
      <c r="F8862" s="8"/>
    </row>
    <row r="8863" spans="4:6">
      <c r="D8863" s="8"/>
      <c r="E8863" s="8"/>
      <c r="F8863" s="8"/>
    </row>
    <row r="8864" spans="4:6">
      <c r="D8864" s="8"/>
      <c r="E8864" s="8"/>
      <c r="F8864" s="8"/>
    </row>
    <row r="8865" spans="4:6">
      <c r="D8865" s="8"/>
      <c r="E8865" s="8"/>
      <c r="F8865" s="8"/>
    </row>
    <row r="8866" spans="4:6">
      <c r="D8866" s="8"/>
      <c r="E8866" s="8"/>
      <c r="F8866" s="8"/>
    </row>
    <row r="8867" spans="4:6">
      <c r="D8867" s="8"/>
      <c r="E8867" s="8"/>
      <c r="F8867" s="8"/>
    </row>
    <row r="8868" spans="4:6">
      <c r="D8868" s="8"/>
      <c r="E8868" s="8"/>
      <c r="F8868" s="8"/>
    </row>
    <row r="8869" spans="4:6">
      <c r="D8869" s="8"/>
      <c r="E8869" s="8"/>
      <c r="F8869" s="8"/>
    </row>
    <row r="8870" spans="4:6">
      <c r="D8870" s="8"/>
      <c r="E8870" s="8"/>
      <c r="F8870" s="8"/>
    </row>
    <row r="8871" spans="4:6">
      <c r="D8871" s="8"/>
      <c r="E8871" s="8"/>
      <c r="F8871" s="8"/>
    </row>
    <row r="8872" spans="4:6">
      <c r="D8872" s="8"/>
      <c r="E8872" s="8"/>
      <c r="F8872" s="8"/>
    </row>
    <row r="8873" spans="4:6">
      <c r="D8873" s="8"/>
      <c r="E8873" s="8"/>
      <c r="F8873" s="8"/>
    </row>
    <row r="8874" spans="4:6">
      <c r="D8874" s="8"/>
      <c r="E8874" s="8"/>
      <c r="F8874" s="8"/>
    </row>
    <row r="8875" spans="4:6">
      <c r="D8875" s="8"/>
      <c r="E8875" s="8"/>
      <c r="F8875" s="8"/>
    </row>
    <row r="8876" spans="4:6">
      <c r="D8876" s="8"/>
      <c r="E8876" s="8"/>
      <c r="F8876" s="8"/>
    </row>
    <row r="8877" spans="4:6">
      <c r="D8877" s="8"/>
      <c r="E8877" s="8"/>
      <c r="F8877" s="8"/>
    </row>
    <row r="8878" spans="4:6">
      <c r="D8878" s="8"/>
      <c r="E8878" s="8"/>
      <c r="F8878" s="8"/>
    </row>
    <row r="8879" spans="4:6">
      <c r="D8879" s="8"/>
      <c r="E8879" s="8"/>
      <c r="F8879" s="8"/>
    </row>
    <row r="8880" spans="4:6">
      <c r="D8880" s="8"/>
      <c r="E8880" s="8"/>
      <c r="F8880" s="8"/>
    </row>
    <row r="8881" spans="4:6">
      <c r="D8881" s="8"/>
      <c r="E8881" s="8"/>
      <c r="F8881" s="8"/>
    </row>
    <row r="8882" spans="4:6">
      <c r="D8882" s="8"/>
      <c r="E8882" s="8"/>
      <c r="F8882" s="8"/>
    </row>
    <row r="8883" spans="4:6">
      <c r="D8883" s="8"/>
      <c r="E8883" s="8"/>
      <c r="F8883" s="8"/>
    </row>
    <row r="8884" spans="4:6">
      <c r="D8884" s="8"/>
      <c r="E8884" s="8"/>
      <c r="F8884" s="8"/>
    </row>
    <row r="8885" spans="4:6">
      <c r="D8885" s="8"/>
      <c r="E8885" s="8"/>
      <c r="F8885" s="8"/>
    </row>
    <row r="8886" spans="4:6">
      <c r="D8886" s="8"/>
      <c r="E8886" s="8"/>
      <c r="F8886" s="8"/>
    </row>
    <row r="8887" spans="4:6">
      <c r="D8887" s="8"/>
      <c r="E8887" s="8"/>
      <c r="F8887" s="8"/>
    </row>
    <row r="8888" spans="4:6">
      <c r="D8888" s="8"/>
      <c r="E8888" s="8"/>
      <c r="F8888" s="8"/>
    </row>
    <row r="8889" spans="4:6">
      <c r="D8889" s="8"/>
      <c r="E8889" s="8"/>
      <c r="F8889" s="8"/>
    </row>
    <row r="8890" spans="4:6">
      <c r="D8890" s="8"/>
      <c r="E8890" s="8"/>
      <c r="F8890" s="8"/>
    </row>
    <row r="8891" spans="4:6">
      <c r="D8891" s="8"/>
      <c r="E8891" s="8"/>
      <c r="F8891" s="8"/>
    </row>
    <row r="8892" spans="4:6">
      <c r="D8892" s="8"/>
      <c r="E8892" s="8"/>
      <c r="F8892" s="8"/>
    </row>
    <row r="8893" spans="4:6">
      <c r="D8893" s="8"/>
      <c r="E8893" s="8"/>
      <c r="F8893" s="8"/>
    </row>
    <row r="8894" spans="4:6">
      <c r="D8894" s="8"/>
      <c r="E8894" s="8"/>
      <c r="F8894" s="8"/>
    </row>
    <row r="8895" spans="4:6">
      <c r="D8895" s="8"/>
      <c r="E8895" s="8"/>
      <c r="F8895" s="8"/>
    </row>
    <row r="8896" spans="4:6">
      <c r="D8896" s="8"/>
      <c r="E8896" s="8"/>
      <c r="F8896" s="8"/>
    </row>
    <row r="8897" spans="4:6">
      <c r="D8897" s="8"/>
      <c r="E8897" s="8"/>
      <c r="F8897" s="8"/>
    </row>
    <row r="8898" spans="4:6">
      <c r="D8898" s="8"/>
      <c r="E8898" s="8"/>
      <c r="F8898" s="8"/>
    </row>
    <row r="8899" spans="4:6">
      <c r="D8899" s="8"/>
      <c r="E8899" s="8"/>
      <c r="F8899" s="8"/>
    </row>
    <row r="8900" spans="4:6">
      <c r="D8900" s="8"/>
      <c r="E8900" s="8"/>
      <c r="F8900" s="8"/>
    </row>
    <row r="8901" spans="4:6">
      <c r="D8901" s="8"/>
      <c r="E8901" s="8"/>
      <c r="F8901" s="8"/>
    </row>
    <row r="8902" spans="4:6">
      <c r="D8902" s="8"/>
      <c r="E8902" s="8"/>
      <c r="F8902" s="8"/>
    </row>
    <row r="8903" spans="4:6">
      <c r="D8903" s="8"/>
      <c r="E8903" s="8"/>
      <c r="F8903" s="8"/>
    </row>
    <row r="8904" spans="4:6">
      <c r="D8904" s="8"/>
      <c r="E8904" s="8"/>
      <c r="F8904" s="8"/>
    </row>
    <row r="8905" spans="4:6">
      <c r="D8905" s="8"/>
      <c r="E8905" s="8"/>
      <c r="F8905" s="8"/>
    </row>
    <row r="8906" spans="4:6">
      <c r="D8906" s="8"/>
      <c r="E8906" s="8"/>
      <c r="F8906" s="8"/>
    </row>
    <row r="8907" spans="4:6">
      <c r="D8907" s="8"/>
      <c r="E8907" s="8"/>
      <c r="F8907" s="8"/>
    </row>
    <row r="8908" spans="4:6">
      <c r="D8908" s="8"/>
      <c r="E8908" s="8"/>
      <c r="F8908" s="8"/>
    </row>
    <row r="8909" spans="4:6">
      <c r="D8909" s="8"/>
      <c r="E8909" s="8"/>
      <c r="F8909" s="8"/>
    </row>
    <row r="8910" spans="4:6">
      <c r="D8910" s="8"/>
      <c r="E8910" s="8"/>
      <c r="F8910" s="8"/>
    </row>
    <row r="8911" spans="4:6">
      <c r="D8911" s="8"/>
      <c r="E8911" s="8"/>
      <c r="F8911" s="8"/>
    </row>
    <row r="8912" spans="4:6">
      <c r="D8912" s="8"/>
      <c r="E8912" s="8"/>
      <c r="F8912" s="8"/>
    </row>
    <row r="8913" spans="4:6">
      <c r="D8913" s="8"/>
      <c r="E8913" s="8"/>
      <c r="F8913" s="8"/>
    </row>
    <row r="8914" spans="4:6">
      <c r="D8914" s="8"/>
      <c r="E8914" s="8"/>
      <c r="F8914" s="8"/>
    </row>
    <row r="8915" spans="4:6">
      <c r="D8915" s="8"/>
      <c r="E8915" s="8"/>
      <c r="F8915" s="8"/>
    </row>
    <row r="8916" spans="4:6">
      <c r="D8916" s="8"/>
      <c r="E8916" s="8"/>
      <c r="F8916" s="8"/>
    </row>
    <row r="8917" spans="4:6">
      <c r="D8917" s="8"/>
      <c r="E8917" s="8"/>
      <c r="F8917" s="8"/>
    </row>
    <row r="8918" spans="4:6">
      <c r="D8918" s="8"/>
      <c r="E8918" s="8"/>
      <c r="F8918" s="8"/>
    </row>
    <row r="8919" spans="4:6">
      <c r="D8919" s="8"/>
      <c r="E8919" s="8"/>
      <c r="F8919" s="8"/>
    </row>
    <row r="8920" spans="4:6">
      <c r="D8920" s="8"/>
      <c r="E8920" s="8"/>
      <c r="F8920" s="8"/>
    </row>
    <row r="8921" spans="4:6">
      <c r="D8921" s="8"/>
      <c r="E8921" s="8"/>
      <c r="F8921" s="8"/>
    </row>
    <row r="8922" spans="4:6">
      <c r="D8922" s="8"/>
      <c r="E8922" s="8"/>
      <c r="F8922" s="8"/>
    </row>
    <row r="8923" spans="4:6">
      <c r="D8923" s="8"/>
      <c r="E8923" s="8"/>
      <c r="F8923" s="8"/>
    </row>
    <row r="8924" spans="4:6">
      <c r="D8924" s="8"/>
      <c r="E8924" s="8"/>
      <c r="F8924" s="8"/>
    </row>
    <row r="8925" spans="4:6">
      <c r="D8925" s="8"/>
      <c r="E8925" s="8"/>
      <c r="F8925" s="8"/>
    </row>
    <row r="8926" spans="4:6">
      <c r="D8926" s="8"/>
      <c r="E8926" s="8"/>
      <c r="F8926" s="8"/>
    </row>
    <row r="8927" spans="4:6">
      <c r="D8927" s="8"/>
      <c r="E8927" s="8"/>
      <c r="F8927" s="8"/>
    </row>
    <row r="8928" spans="4:6">
      <c r="D8928" s="8"/>
      <c r="E8928" s="8"/>
      <c r="F8928" s="8"/>
    </row>
    <row r="8929" spans="4:6">
      <c r="D8929" s="8"/>
      <c r="E8929" s="8"/>
      <c r="F8929" s="8"/>
    </row>
    <row r="8930" spans="4:6">
      <c r="D8930" s="8"/>
      <c r="E8930" s="8"/>
      <c r="F8930" s="8"/>
    </row>
    <row r="8931" spans="4:6">
      <c r="D8931" s="8"/>
      <c r="E8931" s="8"/>
      <c r="F8931" s="8"/>
    </row>
    <row r="8932" spans="4:6">
      <c r="D8932" s="8"/>
      <c r="E8932" s="8"/>
      <c r="F8932" s="8"/>
    </row>
    <row r="8933" spans="4:6">
      <c r="D8933" s="8"/>
      <c r="E8933" s="8"/>
      <c r="F8933" s="8"/>
    </row>
    <row r="8934" spans="4:6">
      <c r="D8934" s="8"/>
      <c r="E8934" s="8"/>
      <c r="F8934" s="8"/>
    </row>
    <row r="8935" spans="4:6">
      <c r="D8935" s="8"/>
      <c r="E8935" s="8"/>
      <c r="F8935" s="8"/>
    </row>
    <row r="8936" spans="4:6">
      <c r="D8936" s="8"/>
      <c r="E8936" s="8"/>
      <c r="F8936" s="8"/>
    </row>
    <row r="8937" spans="4:6">
      <c r="D8937" s="8"/>
      <c r="E8937" s="8"/>
      <c r="F8937" s="8"/>
    </row>
    <row r="8938" spans="4:6">
      <c r="D8938" s="8"/>
      <c r="E8938" s="8"/>
      <c r="F8938" s="8"/>
    </row>
    <row r="8939" spans="4:6">
      <c r="D8939" s="8"/>
      <c r="E8939" s="8"/>
      <c r="F8939" s="8"/>
    </row>
    <row r="8940" spans="4:6">
      <c r="D8940" s="8"/>
      <c r="E8940" s="8"/>
      <c r="F8940" s="8"/>
    </row>
    <row r="8941" spans="4:6">
      <c r="D8941" s="8"/>
      <c r="E8941" s="8"/>
      <c r="F8941" s="8"/>
    </row>
    <row r="8942" spans="4:6">
      <c r="D8942" s="8"/>
      <c r="E8942" s="8"/>
      <c r="F8942" s="8"/>
    </row>
    <row r="8943" spans="4:6">
      <c r="D8943" s="8"/>
      <c r="E8943" s="8"/>
      <c r="F8943" s="8"/>
    </row>
    <row r="8944" spans="4:6">
      <c r="D8944" s="8"/>
      <c r="E8944" s="8"/>
      <c r="F8944" s="8"/>
    </row>
    <row r="8945" spans="4:6">
      <c r="D8945" s="8"/>
      <c r="E8945" s="8"/>
      <c r="F8945" s="8"/>
    </row>
    <row r="8946" spans="4:6">
      <c r="D8946" s="8"/>
      <c r="E8946" s="8"/>
      <c r="F8946" s="8"/>
    </row>
    <row r="8947" spans="4:6">
      <c r="D8947" s="8"/>
      <c r="E8947" s="8"/>
      <c r="F8947" s="8"/>
    </row>
    <row r="8948" spans="4:6">
      <c r="D8948" s="8"/>
      <c r="E8948" s="8"/>
      <c r="F8948" s="8"/>
    </row>
    <row r="8949" spans="4:6">
      <c r="D8949" s="8"/>
      <c r="E8949" s="8"/>
      <c r="F8949" s="8"/>
    </row>
    <row r="8950" spans="4:6">
      <c r="D8950" s="8"/>
      <c r="E8950" s="8"/>
      <c r="F8950" s="8"/>
    </row>
    <row r="8951" spans="4:6">
      <c r="D8951" s="8"/>
      <c r="E8951" s="8"/>
      <c r="F8951" s="8"/>
    </row>
    <row r="8952" spans="4:6">
      <c r="D8952" s="8"/>
      <c r="E8952" s="8"/>
      <c r="F8952" s="8"/>
    </row>
    <row r="8953" spans="4:6">
      <c r="D8953" s="8"/>
      <c r="E8953" s="8"/>
      <c r="F8953" s="8"/>
    </row>
    <row r="8954" spans="4:6">
      <c r="D8954" s="8"/>
      <c r="E8954" s="8"/>
      <c r="F8954" s="8"/>
    </row>
    <row r="8955" spans="4:6">
      <c r="D8955" s="8"/>
      <c r="E8955" s="8"/>
      <c r="F8955" s="8"/>
    </row>
    <row r="8956" spans="4:6">
      <c r="D8956" s="8"/>
      <c r="E8956" s="8"/>
      <c r="F8956" s="8"/>
    </row>
    <row r="8957" spans="4:6">
      <c r="D8957" s="8"/>
      <c r="E8957" s="8"/>
      <c r="F8957" s="8"/>
    </row>
    <row r="8958" spans="4:6">
      <c r="D8958" s="8"/>
      <c r="E8958" s="8"/>
      <c r="F8958" s="8"/>
    </row>
    <row r="8959" spans="4:6">
      <c r="D8959" s="8"/>
      <c r="E8959" s="8"/>
      <c r="F8959" s="8"/>
    </row>
    <row r="8960" spans="4:6">
      <c r="D8960" s="8"/>
      <c r="E8960" s="8"/>
      <c r="F8960" s="8"/>
    </row>
    <row r="8961" spans="4:6">
      <c r="D8961" s="8"/>
      <c r="E8961" s="8"/>
      <c r="F8961" s="8"/>
    </row>
    <row r="8962" spans="4:6">
      <c r="D8962" s="8"/>
      <c r="E8962" s="8"/>
      <c r="F8962" s="8"/>
    </row>
    <row r="8963" spans="4:6">
      <c r="D8963" s="8"/>
      <c r="E8963" s="8"/>
      <c r="F8963" s="8"/>
    </row>
    <row r="8964" spans="4:6">
      <c r="D8964" s="8"/>
      <c r="E8964" s="8"/>
      <c r="F8964" s="8"/>
    </row>
    <row r="8965" spans="4:6">
      <c r="D8965" s="8"/>
      <c r="E8965" s="8"/>
      <c r="F8965" s="8"/>
    </row>
    <row r="8966" spans="4:6">
      <c r="D8966" s="8"/>
      <c r="E8966" s="8"/>
      <c r="F8966" s="8"/>
    </row>
    <row r="8967" spans="4:6">
      <c r="D8967" s="8"/>
      <c r="E8967" s="8"/>
      <c r="F8967" s="8"/>
    </row>
    <row r="8968" spans="4:6">
      <c r="D8968" s="8"/>
      <c r="E8968" s="8"/>
      <c r="F8968" s="8"/>
    </row>
    <row r="8969" spans="4:6">
      <c r="D8969" s="8"/>
      <c r="E8969" s="8"/>
      <c r="F8969" s="8"/>
    </row>
    <row r="8970" spans="4:6">
      <c r="D8970" s="8"/>
      <c r="E8970" s="8"/>
      <c r="F8970" s="8"/>
    </row>
    <row r="8971" spans="4:6">
      <c r="D8971" s="8"/>
      <c r="E8971" s="8"/>
      <c r="F8971" s="8"/>
    </row>
    <row r="8972" spans="4:6">
      <c r="D8972" s="8"/>
      <c r="E8972" s="8"/>
      <c r="F8972" s="8"/>
    </row>
    <row r="8973" spans="4:6">
      <c r="D8973" s="8"/>
      <c r="E8973" s="8"/>
      <c r="F8973" s="8"/>
    </row>
    <row r="8974" spans="4:6">
      <c r="D8974" s="8"/>
      <c r="E8974" s="8"/>
      <c r="F8974" s="8"/>
    </row>
    <row r="8975" spans="4:6">
      <c r="D8975" s="8"/>
      <c r="E8975" s="8"/>
      <c r="F8975" s="8"/>
    </row>
    <row r="8976" spans="4:6">
      <c r="D8976" s="8"/>
      <c r="E8976" s="8"/>
      <c r="F8976" s="8"/>
    </row>
    <row r="8977" spans="4:6">
      <c r="D8977" s="8"/>
      <c r="E8977" s="8"/>
      <c r="F8977" s="8"/>
    </row>
    <row r="8978" spans="4:6">
      <c r="D8978" s="8"/>
      <c r="E8978" s="8"/>
      <c r="F8978" s="8"/>
    </row>
    <row r="8979" spans="4:6">
      <c r="D8979" s="8"/>
      <c r="E8979" s="8"/>
      <c r="F8979" s="8"/>
    </row>
    <row r="8980" spans="4:6">
      <c r="D8980" s="8"/>
      <c r="E8980" s="8"/>
      <c r="F8980" s="8"/>
    </row>
    <row r="8981" spans="4:6">
      <c r="D8981" s="8"/>
      <c r="E8981" s="8"/>
      <c r="F8981" s="8"/>
    </row>
    <row r="8982" spans="4:6">
      <c r="D8982" s="8"/>
      <c r="E8982" s="8"/>
      <c r="F8982" s="8"/>
    </row>
    <row r="8983" spans="4:6">
      <c r="D8983" s="8"/>
      <c r="E8983" s="8"/>
      <c r="F8983" s="8"/>
    </row>
    <row r="8984" spans="4:6">
      <c r="D8984" s="8"/>
      <c r="E8984" s="8"/>
      <c r="F8984" s="8"/>
    </row>
    <row r="8985" spans="4:6">
      <c r="D8985" s="8"/>
      <c r="E8985" s="8"/>
      <c r="F8985" s="8"/>
    </row>
    <row r="8986" spans="4:6">
      <c r="D8986" s="8"/>
      <c r="E8986" s="8"/>
      <c r="F8986" s="8"/>
    </row>
    <row r="8987" spans="4:6">
      <c r="D8987" s="8"/>
      <c r="E8987" s="8"/>
      <c r="F8987" s="8"/>
    </row>
    <row r="8988" spans="4:6">
      <c r="D8988" s="8"/>
      <c r="E8988" s="8"/>
      <c r="F8988" s="8"/>
    </row>
    <row r="8989" spans="4:6">
      <c r="D8989" s="8"/>
      <c r="E8989" s="8"/>
      <c r="F8989" s="8"/>
    </row>
    <row r="8990" spans="4:6">
      <c r="D8990" s="8"/>
      <c r="E8990" s="8"/>
      <c r="F8990" s="8"/>
    </row>
    <row r="8991" spans="4:6">
      <c r="D8991" s="8"/>
      <c r="E8991" s="8"/>
      <c r="F8991" s="8"/>
    </row>
    <row r="8992" spans="4:6">
      <c r="D8992" s="8"/>
      <c r="E8992" s="8"/>
      <c r="F8992" s="8"/>
    </row>
    <row r="8993" spans="4:6">
      <c r="D8993" s="8"/>
      <c r="E8993" s="8"/>
      <c r="F8993" s="8"/>
    </row>
    <row r="8994" spans="4:6">
      <c r="D8994" s="8"/>
      <c r="E8994" s="8"/>
      <c r="F8994" s="8"/>
    </row>
    <row r="8995" spans="4:6">
      <c r="D8995" s="8"/>
      <c r="E8995" s="8"/>
      <c r="F8995" s="8"/>
    </row>
    <row r="8996" spans="4:6">
      <c r="D8996" s="8"/>
      <c r="E8996" s="8"/>
      <c r="F8996" s="8"/>
    </row>
    <row r="8997" spans="4:6">
      <c r="D8997" s="8"/>
      <c r="E8997" s="8"/>
      <c r="F8997" s="8"/>
    </row>
    <row r="8998" spans="4:6">
      <c r="D8998" s="8"/>
      <c r="E8998" s="8"/>
      <c r="F8998" s="8"/>
    </row>
    <row r="8999" spans="4:6">
      <c r="D8999" s="8"/>
      <c r="E8999" s="8"/>
      <c r="F8999" s="8"/>
    </row>
    <row r="9000" spans="4:6">
      <c r="D9000" s="8"/>
      <c r="E9000" s="8"/>
      <c r="F9000" s="8"/>
    </row>
    <row r="9001" spans="4:6">
      <c r="D9001" s="8"/>
      <c r="E9001" s="8"/>
      <c r="F9001" s="8"/>
    </row>
    <row r="9002" spans="4:6">
      <c r="D9002" s="8"/>
      <c r="E9002" s="8"/>
      <c r="F9002" s="8"/>
    </row>
    <row r="9003" spans="4:6">
      <c r="D9003" s="8"/>
      <c r="E9003" s="8"/>
      <c r="F9003" s="8"/>
    </row>
    <row r="9004" spans="4:6">
      <c r="D9004" s="8"/>
      <c r="E9004" s="8"/>
      <c r="F9004" s="8"/>
    </row>
    <row r="9005" spans="4:6">
      <c r="D9005" s="8"/>
      <c r="E9005" s="8"/>
      <c r="F9005" s="8"/>
    </row>
    <row r="9006" spans="4:6">
      <c r="D9006" s="8"/>
      <c r="E9006" s="8"/>
      <c r="F9006" s="8"/>
    </row>
    <row r="9007" spans="4:6">
      <c r="D9007" s="8"/>
      <c r="E9007" s="8"/>
      <c r="F9007" s="8"/>
    </row>
    <row r="9008" spans="4:6">
      <c r="D9008" s="8"/>
      <c r="E9008" s="8"/>
      <c r="F9008" s="8"/>
    </row>
    <row r="9009" spans="4:6">
      <c r="D9009" s="8"/>
      <c r="E9009" s="8"/>
      <c r="F9009" s="8"/>
    </row>
    <row r="9010" spans="4:6">
      <c r="D9010" s="8"/>
      <c r="E9010" s="8"/>
      <c r="F9010" s="8"/>
    </row>
    <row r="9011" spans="4:6">
      <c r="D9011" s="8"/>
      <c r="E9011" s="8"/>
      <c r="F9011" s="8"/>
    </row>
    <row r="9012" spans="4:6">
      <c r="D9012" s="8"/>
      <c r="E9012" s="8"/>
      <c r="F9012" s="8"/>
    </row>
    <row r="9013" spans="4:6">
      <c r="D9013" s="8"/>
      <c r="E9013" s="8"/>
      <c r="F9013" s="8"/>
    </row>
    <row r="9014" spans="4:6">
      <c r="D9014" s="8"/>
      <c r="E9014" s="8"/>
      <c r="F9014" s="8"/>
    </row>
    <row r="9015" spans="4:6">
      <c r="D9015" s="8"/>
      <c r="E9015" s="8"/>
      <c r="F9015" s="8"/>
    </row>
    <row r="9016" spans="4:6">
      <c r="D9016" s="8"/>
      <c r="E9016" s="8"/>
      <c r="F9016" s="8"/>
    </row>
    <row r="9017" spans="4:6">
      <c r="D9017" s="8"/>
      <c r="E9017" s="8"/>
      <c r="F9017" s="8"/>
    </row>
    <row r="9018" spans="4:6">
      <c r="D9018" s="8"/>
      <c r="E9018" s="8"/>
      <c r="F9018" s="8"/>
    </row>
    <row r="9019" spans="4:6">
      <c r="D9019" s="8"/>
      <c r="E9019" s="8"/>
      <c r="F9019" s="8"/>
    </row>
    <row r="9020" spans="4:6">
      <c r="D9020" s="8"/>
      <c r="E9020" s="8"/>
      <c r="F9020" s="8"/>
    </row>
    <row r="9021" spans="4:6">
      <c r="D9021" s="8"/>
      <c r="E9021" s="8"/>
      <c r="F9021" s="8"/>
    </row>
    <row r="9022" spans="4:6">
      <c r="D9022" s="8"/>
      <c r="E9022" s="8"/>
      <c r="F9022" s="8"/>
    </row>
    <row r="9023" spans="4:6">
      <c r="D9023" s="8"/>
      <c r="E9023" s="8"/>
      <c r="F9023" s="8"/>
    </row>
    <row r="9024" spans="4:6">
      <c r="D9024" s="8"/>
      <c r="E9024" s="8"/>
      <c r="F9024" s="8"/>
    </row>
    <row r="9025" spans="4:6">
      <c r="D9025" s="8"/>
      <c r="E9025" s="8"/>
      <c r="F9025" s="8"/>
    </row>
    <row r="9026" spans="4:6">
      <c r="D9026" s="8"/>
      <c r="E9026" s="8"/>
      <c r="F9026" s="8"/>
    </row>
    <row r="9027" spans="4:6">
      <c r="D9027" s="8"/>
      <c r="E9027" s="8"/>
      <c r="F9027" s="8"/>
    </row>
    <row r="9028" spans="4:6">
      <c r="D9028" s="8"/>
      <c r="E9028" s="8"/>
      <c r="F9028" s="8"/>
    </row>
    <row r="9029" spans="4:6">
      <c r="D9029" s="8"/>
      <c r="E9029" s="8"/>
      <c r="F9029" s="8"/>
    </row>
    <row r="9030" spans="4:6">
      <c r="D9030" s="8"/>
      <c r="E9030" s="8"/>
      <c r="F9030" s="8"/>
    </row>
    <row r="9031" spans="4:6">
      <c r="D9031" s="8"/>
      <c r="E9031" s="8"/>
      <c r="F9031" s="8"/>
    </row>
    <row r="9032" spans="4:6">
      <c r="D9032" s="8"/>
      <c r="E9032" s="8"/>
      <c r="F9032" s="8"/>
    </row>
    <row r="9033" spans="4:6">
      <c r="D9033" s="8"/>
      <c r="E9033" s="8"/>
      <c r="F9033" s="8"/>
    </row>
    <row r="9034" spans="4:6">
      <c r="D9034" s="8"/>
      <c r="E9034" s="8"/>
      <c r="F9034" s="8"/>
    </row>
    <row r="9035" spans="4:6">
      <c r="D9035" s="8"/>
      <c r="E9035" s="8"/>
      <c r="F9035" s="8"/>
    </row>
    <row r="9036" spans="4:6">
      <c r="D9036" s="8"/>
      <c r="E9036" s="8"/>
      <c r="F9036" s="8"/>
    </row>
    <row r="9037" spans="4:6">
      <c r="D9037" s="8"/>
      <c r="E9037" s="8"/>
      <c r="F9037" s="8"/>
    </row>
    <row r="9038" spans="4:6">
      <c r="D9038" s="8"/>
      <c r="E9038" s="8"/>
      <c r="F9038" s="8"/>
    </row>
    <row r="9039" spans="4:6">
      <c r="D9039" s="8"/>
      <c r="E9039" s="8"/>
      <c r="F9039" s="8"/>
    </row>
    <row r="9040" spans="4:6">
      <c r="D9040" s="8"/>
      <c r="E9040" s="8"/>
      <c r="F9040" s="8"/>
    </row>
    <row r="9041" spans="4:6">
      <c r="D9041" s="8"/>
      <c r="E9041" s="8"/>
      <c r="F9041" s="8"/>
    </row>
    <row r="9042" spans="4:6">
      <c r="D9042" s="8"/>
      <c r="E9042" s="8"/>
      <c r="F9042" s="8"/>
    </row>
    <row r="9043" spans="4:6">
      <c r="D9043" s="8"/>
      <c r="E9043" s="8"/>
      <c r="F9043" s="8"/>
    </row>
    <row r="9044" spans="4:6">
      <c r="D9044" s="8"/>
      <c r="E9044" s="8"/>
      <c r="F9044" s="8"/>
    </row>
    <row r="9045" spans="4:6">
      <c r="D9045" s="8"/>
      <c r="E9045" s="8"/>
      <c r="F9045" s="8"/>
    </row>
    <row r="9046" spans="4:6">
      <c r="D9046" s="8"/>
      <c r="E9046" s="8"/>
      <c r="F9046" s="8"/>
    </row>
    <row r="9047" spans="4:6">
      <c r="D9047" s="8"/>
      <c r="E9047" s="8"/>
      <c r="F9047" s="8"/>
    </row>
    <row r="9048" spans="4:6">
      <c r="D9048" s="8"/>
      <c r="E9048" s="8"/>
      <c r="F9048" s="8"/>
    </row>
    <row r="9049" spans="4:6">
      <c r="D9049" s="8"/>
      <c r="E9049" s="8"/>
      <c r="F9049" s="8"/>
    </row>
    <row r="9050" spans="4:6">
      <c r="D9050" s="8"/>
      <c r="E9050" s="8"/>
      <c r="F9050" s="8"/>
    </row>
    <row r="9051" spans="4:6">
      <c r="D9051" s="8"/>
      <c r="E9051" s="8"/>
      <c r="F9051" s="8"/>
    </row>
    <row r="9052" spans="4:6">
      <c r="D9052" s="8"/>
      <c r="E9052" s="8"/>
      <c r="F9052" s="8"/>
    </row>
    <row r="9053" spans="4:6">
      <c r="D9053" s="8"/>
      <c r="E9053" s="8"/>
      <c r="F9053" s="8"/>
    </row>
    <row r="9054" spans="4:6">
      <c r="D9054" s="8"/>
      <c r="E9054" s="8"/>
      <c r="F9054" s="8"/>
    </row>
    <row r="9055" spans="4:6">
      <c r="D9055" s="8"/>
      <c r="E9055" s="8"/>
      <c r="F9055" s="8"/>
    </row>
    <row r="9056" spans="4:6">
      <c r="D9056" s="8"/>
      <c r="E9056" s="8"/>
      <c r="F9056" s="8"/>
    </row>
    <row r="9057" spans="4:6">
      <c r="D9057" s="8"/>
      <c r="E9057" s="8"/>
      <c r="F9057" s="8"/>
    </row>
    <row r="9058" spans="4:6">
      <c r="D9058" s="8"/>
      <c r="E9058" s="8"/>
      <c r="F9058" s="8"/>
    </row>
    <row r="9059" spans="4:6">
      <c r="D9059" s="8"/>
      <c r="E9059" s="8"/>
      <c r="F9059" s="8"/>
    </row>
    <row r="9060" spans="4:6">
      <c r="D9060" s="8"/>
      <c r="E9060" s="8"/>
      <c r="F9060" s="8"/>
    </row>
    <row r="9061" spans="4:6">
      <c r="D9061" s="8"/>
      <c r="E9061" s="8"/>
      <c r="F9061" s="8"/>
    </row>
    <row r="9062" spans="4:6">
      <c r="D9062" s="8"/>
      <c r="E9062" s="8"/>
      <c r="F9062" s="8"/>
    </row>
    <row r="9063" spans="4:6">
      <c r="D9063" s="8"/>
      <c r="E9063" s="8"/>
      <c r="F9063" s="8"/>
    </row>
    <row r="9064" spans="4:6">
      <c r="D9064" s="8"/>
      <c r="E9064" s="8"/>
      <c r="F9064" s="8"/>
    </row>
    <row r="9065" spans="4:6">
      <c r="D9065" s="8"/>
      <c r="E9065" s="8"/>
      <c r="F9065" s="8"/>
    </row>
    <row r="9066" spans="4:6">
      <c r="D9066" s="8"/>
      <c r="E9066" s="8"/>
      <c r="F9066" s="8"/>
    </row>
    <row r="9067" spans="4:6">
      <c r="D9067" s="8"/>
      <c r="E9067" s="8"/>
      <c r="F9067" s="8"/>
    </row>
    <row r="9068" spans="4:6">
      <c r="D9068" s="8"/>
      <c r="E9068" s="8"/>
      <c r="F9068" s="8"/>
    </row>
    <row r="9069" spans="4:6">
      <c r="D9069" s="8"/>
      <c r="E9069" s="8"/>
      <c r="F9069" s="8"/>
    </row>
    <row r="9070" spans="4:6">
      <c r="D9070" s="8"/>
      <c r="E9070" s="8"/>
      <c r="F9070" s="8"/>
    </row>
    <row r="9071" spans="4:6">
      <c r="D9071" s="8"/>
      <c r="E9071" s="8"/>
      <c r="F9071" s="8"/>
    </row>
    <row r="9072" spans="4:6">
      <c r="D9072" s="8"/>
      <c r="E9072" s="8"/>
      <c r="F9072" s="8"/>
    </row>
    <row r="9073" spans="4:6">
      <c r="D9073" s="8"/>
      <c r="E9073" s="8"/>
      <c r="F9073" s="8"/>
    </row>
    <row r="9074" spans="4:6">
      <c r="D9074" s="8"/>
      <c r="E9074" s="8"/>
      <c r="F9074" s="8"/>
    </row>
    <row r="9075" spans="4:6">
      <c r="D9075" s="8"/>
      <c r="E9075" s="8"/>
      <c r="F9075" s="8"/>
    </row>
    <row r="9076" spans="4:6">
      <c r="D9076" s="8"/>
      <c r="E9076" s="8"/>
      <c r="F9076" s="8"/>
    </row>
    <row r="9077" spans="4:6">
      <c r="D9077" s="8"/>
      <c r="E9077" s="8"/>
      <c r="F9077" s="8"/>
    </row>
    <row r="9078" spans="4:6">
      <c r="D9078" s="8"/>
      <c r="E9078" s="8"/>
      <c r="F9078" s="8"/>
    </row>
    <row r="9079" spans="4:6">
      <c r="D9079" s="8"/>
      <c r="E9079" s="8"/>
      <c r="F9079" s="8"/>
    </row>
    <row r="9080" spans="4:6">
      <c r="D9080" s="8"/>
      <c r="E9080" s="8"/>
      <c r="F9080" s="8"/>
    </row>
    <row r="9081" spans="4:6">
      <c r="D9081" s="8"/>
      <c r="E9081" s="8"/>
      <c r="F9081" s="8"/>
    </row>
    <row r="9082" spans="4:6">
      <c r="D9082" s="8"/>
      <c r="E9082" s="8"/>
      <c r="F9082" s="8"/>
    </row>
    <row r="9083" spans="4:6">
      <c r="D9083" s="8"/>
      <c r="E9083" s="8"/>
      <c r="F9083" s="8"/>
    </row>
    <row r="9084" spans="4:6">
      <c r="D9084" s="8"/>
      <c r="E9084" s="8"/>
      <c r="F9084" s="8"/>
    </row>
    <row r="9085" spans="4:6">
      <c r="D9085" s="8"/>
      <c r="E9085" s="8"/>
      <c r="F9085" s="8"/>
    </row>
    <row r="9086" spans="4:6">
      <c r="D9086" s="8"/>
      <c r="E9086" s="8"/>
      <c r="F9086" s="8"/>
    </row>
    <row r="9087" spans="4:6">
      <c r="D9087" s="8"/>
      <c r="E9087" s="8"/>
      <c r="F9087" s="8"/>
    </row>
    <row r="9088" spans="4:6">
      <c r="D9088" s="8"/>
      <c r="E9088" s="8"/>
      <c r="F9088" s="8"/>
    </row>
    <row r="9089" spans="4:6">
      <c r="D9089" s="8"/>
      <c r="E9089" s="8"/>
      <c r="F9089" s="8"/>
    </row>
    <row r="9090" spans="4:6">
      <c r="D9090" s="8"/>
      <c r="E9090" s="8"/>
      <c r="F9090" s="8"/>
    </row>
    <row r="9091" spans="4:6">
      <c r="D9091" s="8"/>
      <c r="E9091" s="8"/>
      <c r="F9091" s="8"/>
    </row>
    <row r="9092" spans="4:6">
      <c r="D9092" s="8"/>
      <c r="E9092" s="8"/>
      <c r="F9092" s="8"/>
    </row>
    <row r="9093" spans="4:6">
      <c r="D9093" s="8"/>
      <c r="E9093" s="8"/>
      <c r="F9093" s="8"/>
    </row>
    <row r="9094" spans="4:6">
      <c r="D9094" s="8"/>
      <c r="E9094" s="8"/>
      <c r="F9094" s="8"/>
    </row>
    <row r="9095" spans="4:6">
      <c r="D9095" s="8"/>
      <c r="E9095" s="8"/>
      <c r="F9095" s="8"/>
    </row>
    <row r="9096" spans="4:6">
      <c r="D9096" s="8"/>
      <c r="E9096" s="8"/>
      <c r="F9096" s="8"/>
    </row>
    <row r="9097" spans="4:6">
      <c r="D9097" s="8"/>
      <c r="E9097" s="8"/>
      <c r="F9097" s="8"/>
    </row>
    <row r="9098" spans="4:6">
      <c r="D9098" s="8"/>
      <c r="E9098" s="8"/>
      <c r="F9098" s="8"/>
    </row>
    <row r="9099" spans="4:6">
      <c r="D9099" s="8"/>
      <c r="E9099" s="8"/>
      <c r="F9099" s="8"/>
    </row>
    <row r="9100" spans="4:6">
      <c r="D9100" s="8"/>
      <c r="E9100" s="8"/>
      <c r="F9100" s="8"/>
    </row>
    <row r="9101" spans="4:6">
      <c r="D9101" s="8"/>
      <c r="E9101" s="8"/>
      <c r="F9101" s="8"/>
    </row>
    <row r="9102" spans="4:6">
      <c r="D9102" s="8"/>
      <c r="E9102" s="8"/>
      <c r="F9102" s="8"/>
    </row>
    <row r="9103" spans="4:6">
      <c r="D9103" s="8"/>
      <c r="E9103" s="8"/>
      <c r="F9103" s="8"/>
    </row>
    <row r="9104" spans="4:6">
      <c r="D9104" s="8"/>
      <c r="E9104" s="8"/>
      <c r="F9104" s="8"/>
    </row>
    <row r="9105" spans="4:6">
      <c r="D9105" s="8"/>
      <c r="E9105" s="8"/>
      <c r="F9105" s="8"/>
    </row>
    <row r="9106" spans="4:6">
      <c r="D9106" s="8"/>
      <c r="E9106" s="8"/>
      <c r="F9106" s="8"/>
    </row>
    <row r="9107" spans="4:6">
      <c r="D9107" s="8"/>
      <c r="E9107" s="8"/>
      <c r="F9107" s="8"/>
    </row>
    <row r="9108" spans="4:6">
      <c r="D9108" s="8"/>
      <c r="E9108" s="8"/>
      <c r="F9108" s="8"/>
    </row>
    <row r="9109" spans="4:6">
      <c r="D9109" s="8"/>
      <c r="E9109" s="8"/>
      <c r="F9109" s="8"/>
    </row>
    <row r="9110" spans="4:6">
      <c r="D9110" s="8"/>
      <c r="E9110" s="8"/>
      <c r="F9110" s="8"/>
    </row>
    <row r="9111" spans="4:6">
      <c r="D9111" s="8"/>
      <c r="E9111" s="8"/>
      <c r="F9111" s="8"/>
    </row>
    <row r="9112" spans="4:6">
      <c r="D9112" s="8"/>
      <c r="E9112" s="8"/>
      <c r="F9112" s="8"/>
    </row>
    <row r="9113" spans="4:6">
      <c r="D9113" s="8"/>
      <c r="E9113" s="8"/>
      <c r="F9113" s="8"/>
    </row>
    <row r="9114" spans="4:6">
      <c r="D9114" s="8"/>
      <c r="E9114" s="8"/>
      <c r="F9114" s="8"/>
    </row>
    <row r="9115" spans="4:6">
      <c r="D9115" s="8"/>
      <c r="E9115" s="8"/>
      <c r="F9115" s="8"/>
    </row>
    <row r="9116" spans="4:6">
      <c r="D9116" s="8"/>
      <c r="E9116" s="8"/>
      <c r="F9116" s="8"/>
    </row>
    <row r="9117" spans="4:6">
      <c r="D9117" s="8"/>
      <c r="E9117" s="8"/>
      <c r="F9117" s="8"/>
    </row>
    <row r="9118" spans="4:6">
      <c r="D9118" s="8"/>
      <c r="E9118" s="8"/>
      <c r="F9118" s="8"/>
    </row>
    <row r="9119" spans="4:6">
      <c r="D9119" s="8"/>
      <c r="E9119" s="8"/>
      <c r="F9119" s="8"/>
    </row>
    <row r="9120" spans="4:6">
      <c r="D9120" s="8"/>
      <c r="E9120" s="8"/>
      <c r="F9120" s="8"/>
    </row>
    <row r="9121" spans="4:6">
      <c r="D9121" s="8"/>
      <c r="E9121" s="8"/>
      <c r="F9121" s="8"/>
    </row>
    <row r="9122" spans="4:6">
      <c r="D9122" s="8"/>
      <c r="E9122" s="8"/>
      <c r="F9122" s="8"/>
    </row>
    <row r="9123" spans="4:6">
      <c r="D9123" s="8"/>
      <c r="E9123" s="8"/>
      <c r="F9123" s="8"/>
    </row>
    <row r="9124" spans="4:6">
      <c r="D9124" s="8"/>
      <c r="E9124" s="8"/>
      <c r="F9124" s="8"/>
    </row>
    <row r="9125" spans="4:6">
      <c r="D9125" s="8"/>
      <c r="E9125" s="8"/>
      <c r="F9125" s="8"/>
    </row>
    <row r="9126" spans="4:6">
      <c r="D9126" s="8"/>
      <c r="E9126" s="8"/>
      <c r="F9126" s="8"/>
    </row>
    <row r="9127" spans="4:6">
      <c r="D9127" s="8"/>
      <c r="E9127" s="8"/>
      <c r="F9127" s="8"/>
    </row>
    <row r="9128" spans="4:6">
      <c r="D9128" s="8"/>
      <c r="E9128" s="8"/>
      <c r="F9128" s="8"/>
    </row>
    <row r="9129" spans="4:6">
      <c r="D9129" s="8"/>
      <c r="E9129" s="8"/>
      <c r="F9129" s="8"/>
    </row>
    <row r="9130" spans="4:6">
      <c r="D9130" s="8"/>
      <c r="E9130" s="8"/>
      <c r="F9130" s="8"/>
    </row>
    <row r="9131" spans="4:6">
      <c r="D9131" s="8"/>
      <c r="E9131" s="8"/>
      <c r="F9131" s="8"/>
    </row>
    <row r="9132" spans="4:6">
      <c r="D9132" s="8"/>
      <c r="E9132" s="8"/>
      <c r="F9132" s="8"/>
    </row>
    <row r="9133" spans="4:6">
      <c r="D9133" s="8"/>
      <c r="E9133" s="8"/>
      <c r="F9133" s="8"/>
    </row>
    <row r="9134" spans="4:6">
      <c r="D9134" s="8"/>
      <c r="E9134" s="8"/>
      <c r="F9134" s="8"/>
    </row>
    <row r="9135" spans="4:6">
      <c r="D9135" s="8"/>
      <c r="E9135" s="8"/>
      <c r="F9135" s="8"/>
    </row>
    <row r="9136" spans="4:6">
      <c r="D9136" s="8"/>
      <c r="E9136" s="8"/>
      <c r="F9136" s="8"/>
    </row>
    <row r="9137" spans="4:6">
      <c r="D9137" s="8"/>
      <c r="E9137" s="8"/>
      <c r="F9137" s="8"/>
    </row>
    <row r="9138" spans="4:6">
      <c r="D9138" s="8"/>
      <c r="E9138" s="8"/>
      <c r="F9138" s="8"/>
    </row>
    <row r="9139" spans="4:6">
      <c r="D9139" s="8"/>
      <c r="E9139" s="8"/>
      <c r="F9139" s="8"/>
    </row>
    <row r="9140" spans="4:6">
      <c r="D9140" s="8"/>
      <c r="E9140" s="8"/>
      <c r="F9140" s="8"/>
    </row>
    <row r="9141" spans="4:6">
      <c r="D9141" s="8"/>
      <c r="E9141" s="8"/>
      <c r="F9141" s="8"/>
    </row>
    <row r="9142" spans="4:6">
      <c r="D9142" s="8"/>
      <c r="E9142" s="8"/>
      <c r="F9142" s="8"/>
    </row>
    <row r="9143" spans="4:6">
      <c r="D9143" s="8"/>
      <c r="E9143" s="8"/>
      <c r="F9143" s="8"/>
    </row>
    <row r="9144" spans="4:6">
      <c r="D9144" s="8"/>
      <c r="E9144" s="8"/>
      <c r="F9144" s="8"/>
    </row>
    <row r="9145" spans="4:6">
      <c r="D9145" s="8"/>
      <c r="E9145" s="8"/>
      <c r="F9145" s="8"/>
    </row>
    <row r="9146" spans="4:6">
      <c r="D9146" s="8"/>
      <c r="E9146" s="8"/>
      <c r="F9146" s="8"/>
    </row>
    <row r="9147" spans="4:6">
      <c r="D9147" s="8"/>
      <c r="E9147" s="8"/>
      <c r="F9147" s="8"/>
    </row>
    <row r="9148" spans="4:6">
      <c r="D9148" s="8"/>
      <c r="E9148" s="8"/>
      <c r="F9148" s="8"/>
    </row>
    <row r="9149" spans="4:6">
      <c r="D9149" s="8"/>
      <c r="E9149" s="8"/>
      <c r="F9149" s="8"/>
    </row>
    <row r="9150" spans="4:6">
      <c r="D9150" s="8"/>
      <c r="E9150" s="8"/>
      <c r="F9150" s="8"/>
    </row>
    <row r="9151" spans="4:6">
      <c r="D9151" s="8"/>
      <c r="E9151" s="8"/>
      <c r="F9151" s="8"/>
    </row>
    <row r="9152" spans="4:6">
      <c r="D9152" s="8"/>
      <c r="E9152" s="8"/>
      <c r="F9152" s="8"/>
    </row>
    <row r="9153" spans="4:6">
      <c r="D9153" s="8"/>
      <c r="E9153" s="8"/>
      <c r="F9153" s="8"/>
    </row>
    <row r="9154" spans="4:6">
      <c r="D9154" s="8"/>
      <c r="E9154" s="8"/>
      <c r="F9154" s="8"/>
    </row>
    <row r="9155" spans="4:6">
      <c r="D9155" s="8"/>
      <c r="E9155" s="8"/>
      <c r="F9155" s="8"/>
    </row>
    <row r="9156" spans="4:6">
      <c r="D9156" s="8"/>
      <c r="E9156" s="8"/>
      <c r="F9156" s="8"/>
    </row>
    <row r="9157" spans="4:6">
      <c r="D9157" s="8"/>
      <c r="E9157" s="8"/>
      <c r="F9157" s="8"/>
    </row>
    <row r="9158" spans="4:6">
      <c r="D9158" s="8"/>
      <c r="E9158" s="8"/>
      <c r="F9158" s="8"/>
    </row>
    <row r="9159" spans="4:6">
      <c r="D9159" s="8"/>
      <c r="E9159" s="8"/>
      <c r="F9159" s="8"/>
    </row>
    <row r="9160" spans="4:6">
      <c r="D9160" s="8"/>
      <c r="E9160" s="8"/>
      <c r="F9160" s="8"/>
    </row>
    <row r="9161" spans="4:6">
      <c r="D9161" s="8"/>
      <c r="E9161" s="8"/>
      <c r="F9161" s="8"/>
    </row>
    <row r="9162" spans="4:6">
      <c r="D9162" s="8"/>
      <c r="E9162" s="8"/>
      <c r="F9162" s="8"/>
    </row>
    <row r="9163" spans="4:6">
      <c r="D9163" s="8"/>
      <c r="E9163" s="8"/>
      <c r="F9163" s="8"/>
    </row>
    <row r="9164" spans="4:6">
      <c r="D9164" s="8"/>
      <c r="E9164" s="8"/>
      <c r="F9164" s="8"/>
    </row>
    <row r="9165" spans="4:6">
      <c r="D9165" s="8"/>
      <c r="E9165" s="8"/>
      <c r="F9165" s="8"/>
    </row>
    <row r="9166" spans="4:6">
      <c r="D9166" s="8"/>
      <c r="E9166" s="8"/>
      <c r="F9166" s="8"/>
    </row>
    <row r="9167" spans="4:6">
      <c r="D9167" s="8"/>
      <c r="E9167" s="8"/>
      <c r="F9167" s="8"/>
    </row>
    <row r="9168" spans="4:6">
      <c r="D9168" s="8"/>
      <c r="E9168" s="8"/>
      <c r="F9168" s="8"/>
    </row>
    <row r="9169" spans="4:6">
      <c r="D9169" s="8"/>
      <c r="E9169" s="8"/>
      <c r="F9169" s="8"/>
    </row>
    <row r="9170" spans="4:6">
      <c r="D9170" s="8"/>
      <c r="E9170" s="8"/>
      <c r="F9170" s="8"/>
    </row>
    <row r="9171" spans="4:6">
      <c r="D9171" s="8"/>
      <c r="E9171" s="8"/>
      <c r="F9171" s="8"/>
    </row>
    <row r="9172" spans="4:6">
      <c r="D9172" s="8"/>
      <c r="E9172" s="8"/>
      <c r="F9172" s="8"/>
    </row>
    <row r="9173" spans="4:6">
      <c r="D9173" s="8"/>
      <c r="E9173" s="8"/>
      <c r="F9173" s="8"/>
    </row>
    <row r="9174" spans="4:6">
      <c r="D9174" s="8"/>
      <c r="E9174" s="8"/>
      <c r="F9174" s="8"/>
    </row>
    <row r="9175" spans="4:6">
      <c r="D9175" s="8"/>
      <c r="E9175" s="8"/>
      <c r="F9175" s="8"/>
    </row>
    <row r="9176" spans="4:6">
      <c r="D9176" s="8"/>
      <c r="E9176" s="8"/>
      <c r="F9176" s="8"/>
    </row>
    <row r="9177" spans="4:6">
      <c r="D9177" s="8"/>
      <c r="E9177" s="8"/>
      <c r="F9177" s="8"/>
    </row>
    <row r="9178" spans="4:6">
      <c r="D9178" s="8"/>
      <c r="E9178" s="8"/>
      <c r="F9178" s="8"/>
    </row>
    <row r="9179" spans="4:6">
      <c r="D9179" s="8"/>
      <c r="E9179" s="8"/>
      <c r="F9179" s="8"/>
    </row>
    <row r="9180" spans="4:6">
      <c r="D9180" s="8"/>
      <c r="E9180" s="8"/>
      <c r="F9180" s="8"/>
    </row>
    <row r="9181" spans="4:6">
      <c r="D9181" s="8"/>
      <c r="E9181" s="8"/>
      <c r="F9181" s="8"/>
    </row>
    <row r="9182" spans="4:6">
      <c r="D9182" s="8"/>
      <c r="E9182" s="8"/>
      <c r="F9182" s="8"/>
    </row>
    <row r="9183" spans="4:6">
      <c r="D9183" s="8"/>
      <c r="E9183" s="8"/>
      <c r="F9183" s="8"/>
    </row>
    <row r="9184" spans="4:6">
      <c r="D9184" s="8"/>
      <c r="E9184" s="8"/>
      <c r="F9184" s="8"/>
    </row>
    <row r="9185" spans="4:6">
      <c r="D9185" s="8"/>
      <c r="E9185" s="8"/>
      <c r="F9185" s="8"/>
    </row>
    <row r="9186" spans="4:6">
      <c r="D9186" s="8"/>
      <c r="E9186" s="8"/>
      <c r="F9186" s="8"/>
    </row>
    <row r="9187" spans="4:6">
      <c r="D9187" s="8"/>
      <c r="E9187" s="8"/>
      <c r="F9187" s="8"/>
    </row>
    <row r="9188" spans="4:6">
      <c r="D9188" s="8"/>
      <c r="E9188" s="8"/>
      <c r="F9188" s="8"/>
    </row>
    <row r="9189" spans="4:6">
      <c r="D9189" s="8"/>
      <c r="E9189" s="8"/>
      <c r="F9189" s="8"/>
    </row>
    <row r="9190" spans="4:6">
      <c r="D9190" s="8"/>
      <c r="E9190" s="8"/>
      <c r="F9190" s="8"/>
    </row>
    <row r="9191" spans="4:6">
      <c r="D9191" s="8"/>
      <c r="E9191" s="8"/>
      <c r="F9191" s="8"/>
    </row>
    <row r="9192" spans="4:6">
      <c r="D9192" s="8"/>
      <c r="E9192" s="8"/>
      <c r="F9192" s="8"/>
    </row>
    <row r="9193" spans="4:6">
      <c r="D9193" s="8"/>
      <c r="E9193" s="8"/>
      <c r="F9193" s="8"/>
    </row>
    <row r="9194" spans="4:6">
      <c r="D9194" s="8"/>
      <c r="E9194" s="8"/>
      <c r="F9194" s="8"/>
    </row>
    <row r="9195" spans="4:6">
      <c r="D9195" s="8"/>
      <c r="E9195" s="8"/>
      <c r="F9195" s="8"/>
    </row>
    <row r="9196" spans="4:6">
      <c r="D9196" s="8"/>
      <c r="E9196" s="8"/>
      <c r="F9196" s="8"/>
    </row>
    <row r="9197" spans="4:6">
      <c r="D9197" s="8"/>
      <c r="E9197" s="8"/>
      <c r="F9197" s="8"/>
    </row>
    <row r="9198" spans="4:6">
      <c r="D9198" s="8"/>
      <c r="E9198" s="8"/>
      <c r="F9198" s="8"/>
    </row>
    <row r="9199" spans="4:6">
      <c r="D9199" s="8"/>
      <c r="E9199" s="8"/>
      <c r="F9199" s="8"/>
    </row>
    <row r="9200" spans="4:6">
      <c r="D9200" s="8"/>
      <c r="E9200" s="8"/>
      <c r="F9200" s="8"/>
    </row>
    <row r="9201" spans="4:6">
      <c r="D9201" s="8"/>
      <c r="E9201" s="8"/>
      <c r="F9201" s="8"/>
    </row>
    <row r="9202" spans="4:6">
      <c r="D9202" s="8"/>
      <c r="E9202" s="8"/>
      <c r="F9202" s="8"/>
    </row>
    <row r="9203" spans="4:6">
      <c r="D9203" s="8"/>
      <c r="E9203" s="8"/>
      <c r="F9203" s="8"/>
    </row>
    <row r="9204" spans="4:6">
      <c r="D9204" s="8"/>
      <c r="E9204" s="8"/>
      <c r="F9204" s="8"/>
    </row>
    <row r="9205" spans="4:6">
      <c r="D9205" s="8"/>
      <c r="E9205" s="8"/>
      <c r="F9205" s="8"/>
    </row>
    <row r="9206" spans="4:6">
      <c r="D9206" s="8"/>
      <c r="E9206" s="8"/>
      <c r="F9206" s="8"/>
    </row>
    <row r="9207" spans="4:6">
      <c r="D9207" s="8"/>
      <c r="E9207" s="8"/>
      <c r="F9207" s="8"/>
    </row>
    <row r="9208" spans="4:6">
      <c r="D9208" s="8"/>
      <c r="E9208" s="8"/>
      <c r="F9208" s="8"/>
    </row>
    <row r="9209" spans="4:6">
      <c r="D9209" s="8"/>
      <c r="E9209" s="8"/>
      <c r="F9209" s="8"/>
    </row>
    <row r="9210" spans="4:6">
      <c r="D9210" s="8"/>
      <c r="E9210" s="8"/>
      <c r="F9210" s="8"/>
    </row>
    <row r="9211" spans="4:6">
      <c r="D9211" s="8"/>
      <c r="E9211" s="8"/>
      <c r="F9211" s="8"/>
    </row>
    <row r="9212" spans="4:6">
      <c r="D9212" s="8"/>
      <c r="E9212" s="8"/>
      <c r="F9212" s="8"/>
    </row>
    <row r="9213" spans="4:6">
      <c r="D9213" s="8"/>
      <c r="E9213" s="8"/>
      <c r="F9213" s="8"/>
    </row>
    <row r="9214" spans="4:6">
      <c r="D9214" s="8"/>
      <c r="E9214" s="8"/>
      <c r="F9214" s="8"/>
    </row>
    <row r="9215" spans="4:6">
      <c r="D9215" s="8"/>
      <c r="E9215" s="8"/>
      <c r="F9215" s="8"/>
    </row>
    <row r="9216" spans="4:6">
      <c r="D9216" s="8"/>
      <c r="E9216" s="8"/>
      <c r="F9216" s="8"/>
    </row>
    <row r="9217" spans="4:6">
      <c r="D9217" s="8"/>
      <c r="E9217" s="8"/>
      <c r="F9217" s="8"/>
    </row>
    <row r="9218" spans="4:6">
      <c r="D9218" s="8"/>
      <c r="E9218" s="8"/>
      <c r="F9218" s="8"/>
    </row>
    <row r="9219" spans="4:6">
      <c r="D9219" s="8"/>
      <c r="E9219" s="8"/>
      <c r="F9219" s="8"/>
    </row>
    <row r="9220" spans="4:6">
      <c r="D9220" s="8"/>
      <c r="E9220" s="8"/>
      <c r="F9220" s="8"/>
    </row>
    <row r="9221" spans="4:6">
      <c r="D9221" s="8"/>
      <c r="E9221" s="8"/>
      <c r="F9221" s="8"/>
    </row>
    <row r="9222" spans="4:6">
      <c r="D9222" s="8"/>
      <c r="E9222" s="8"/>
      <c r="F9222" s="8"/>
    </row>
    <row r="9223" spans="4:6">
      <c r="D9223" s="8"/>
      <c r="E9223" s="8"/>
      <c r="F9223" s="8"/>
    </row>
    <row r="9224" spans="4:6">
      <c r="D9224" s="8"/>
      <c r="E9224" s="8"/>
      <c r="F9224" s="8"/>
    </row>
    <row r="9225" spans="4:6">
      <c r="D9225" s="8"/>
      <c r="E9225" s="8"/>
      <c r="F9225" s="8"/>
    </row>
    <row r="9226" spans="4:6">
      <c r="D9226" s="8"/>
      <c r="E9226" s="8"/>
      <c r="F9226" s="8"/>
    </row>
    <row r="9227" spans="4:6">
      <c r="D9227" s="8"/>
      <c r="E9227" s="8"/>
      <c r="F9227" s="8"/>
    </row>
    <row r="9228" spans="4:6">
      <c r="D9228" s="8"/>
      <c r="E9228" s="8"/>
      <c r="F9228" s="8"/>
    </row>
    <row r="9229" spans="4:6">
      <c r="D9229" s="8"/>
      <c r="E9229" s="8"/>
      <c r="F9229" s="8"/>
    </row>
    <row r="9230" spans="4:6">
      <c r="D9230" s="8"/>
      <c r="E9230" s="8"/>
      <c r="F9230" s="8"/>
    </row>
    <row r="9231" spans="4:6">
      <c r="D9231" s="8"/>
      <c r="E9231" s="8"/>
      <c r="F9231" s="8"/>
    </row>
    <row r="9232" spans="4:6">
      <c r="D9232" s="8"/>
      <c r="E9232" s="8"/>
      <c r="F9232" s="8"/>
    </row>
    <row r="9233" spans="4:6">
      <c r="D9233" s="8"/>
      <c r="E9233" s="8"/>
      <c r="F9233" s="8"/>
    </row>
    <row r="9234" spans="4:6">
      <c r="D9234" s="8"/>
      <c r="E9234" s="8"/>
      <c r="F9234" s="8"/>
    </row>
    <row r="9235" spans="4:6">
      <c r="D9235" s="8"/>
      <c r="E9235" s="8"/>
      <c r="F9235" s="8"/>
    </row>
    <row r="9236" spans="4:6">
      <c r="D9236" s="8"/>
      <c r="E9236" s="8"/>
      <c r="F9236" s="8"/>
    </row>
    <row r="9237" spans="4:6">
      <c r="D9237" s="8"/>
      <c r="E9237" s="8"/>
      <c r="F9237" s="8"/>
    </row>
    <row r="9238" spans="4:6">
      <c r="D9238" s="8"/>
      <c r="E9238" s="8"/>
      <c r="F9238" s="8"/>
    </row>
    <row r="9239" spans="4:6">
      <c r="D9239" s="8"/>
      <c r="E9239" s="8"/>
      <c r="F9239" s="8"/>
    </row>
    <row r="9240" spans="4:6">
      <c r="D9240" s="8"/>
      <c r="E9240" s="8"/>
      <c r="F9240" s="8"/>
    </row>
    <row r="9241" spans="4:6">
      <c r="D9241" s="8"/>
      <c r="E9241" s="8"/>
      <c r="F9241" s="8"/>
    </row>
    <row r="9242" spans="4:6">
      <c r="D9242" s="8"/>
      <c r="E9242" s="8"/>
      <c r="F9242" s="8"/>
    </row>
    <row r="9243" spans="4:6">
      <c r="D9243" s="8"/>
      <c r="E9243" s="8"/>
      <c r="F9243" s="8"/>
    </row>
    <row r="9244" spans="4:6">
      <c r="D9244" s="8"/>
      <c r="E9244" s="8"/>
      <c r="F9244" s="8"/>
    </row>
    <row r="9245" spans="4:6">
      <c r="D9245" s="8"/>
      <c r="E9245" s="8"/>
      <c r="F9245" s="8"/>
    </row>
    <row r="9246" spans="4:6">
      <c r="D9246" s="8"/>
      <c r="E9246" s="8"/>
      <c r="F9246" s="8"/>
    </row>
    <row r="9247" spans="4:6">
      <c r="D9247" s="8"/>
      <c r="E9247" s="8"/>
      <c r="F9247" s="8"/>
    </row>
    <row r="9248" spans="4:6">
      <c r="D9248" s="8"/>
      <c r="E9248" s="8"/>
      <c r="F9248" s="8"/>
    </row>
    <row r="9249" spans="4:6">
      <c r="D9249" s="8"/>
      <c r="E9249" s="8"/>
      <c r="F9249" s="8"/>
    </row>
    <row r="9250" spans="4:6">
      <c r="D9250" s="8"/>
      <c r="E9250" s="8"/>
      <c r="F9250" s="8"/>
    </row>
    <row r="9251" spans="4:6">
      <c r="D9251" s="8"/>
      <c r="E9251" s="8"/>
      <c r="F9251" s="8"/>
    </row>
    <row r="9252" spans="4:6">
      <c r="D9252" s="8"/>
      <c r="E9252" s="8"/>
      <c r="F9252" s="8"/>
    </row>
    <row r="9253" spans="4:6">
      <c r="D9253" s="8"/>
      <c r="E9253" s="8"/>
      <c r="F9253" s="8"/>
    </row>
    <row r="9254" spans="4:6">
      <c r="D9254" s="8"/>
      <c r="E9254" s="8"/>
      <c r="F9254" s="8"/>
    </row>
    <row r="9255" spans="4:6">
      <c r="D9255" s="8"/>
      <c r="E9255" s="8"/>
      <c r="F9255" s="8"/>
    </row>
    <row r="9256" spans="4:6">
      <c r="D9256" s="8"/>
      <c r="E9256" s="8"/>
      <c r="F9256" s="8"/>
    </row>
    <row r="9257" spans="4:6">
      <c r="D9257" s="8"/>
      <c r="E9257" s="8"/>
      <c r="F9257" s="8"/>
    </row>
    <row r="9258" spans="4:6">
      <c r="D9258" s="8"/>
      <c r="E9258" s="8"/>
      <c r="F9258" s="8"/>
    </row>
    <row r="9259" spans="4:6">
      <c r="D9259" s="8"/>
      <c r="E9259" s="8"/>
      <c r="F9259" s="8"/>
    </row>
    <row r="9260" spans="4:6">
      <c r="D9260" s="8"/>
      <c r="E9260" s="8"/>
      <c r="F9260" s="8"/>
    </row>
    <row r="9261" spans="4:6">
      <c r="D9261" s="8"/>
      <c r="E9261" s="8"/>
      <c r="F9261" s="8"/>
    </row>
    <row r="9262" spans="4:6">
      <c r="D9262" s="8"/>
      <c r="E9262" s="8"/>
      <c r="F9262" s="8"/>
    </row>
    <row r="9263" spans="4:6">
      <c r="D9263" s="8"/>
      <c r="E9263" s="8"/>
      <c r="F9263" s="8"/>
    </row>
    <row r="9264" spans="4:6">
      <c r="D9264" s="8"/>
      <c r="E9264" s="8"/>
      <c r="F9264" s="8"/>
    </row>
    <row r="9265" spans="4:6">
      <c r="D9265" s="8"/>
      <c r="E9265" s="8"/>
      <c r="F9265" s="8"/>
    </row>
    <row r="9266" spans="4:6">
      <c r="D9266" s="8"/>
      <c r="E9266" s="8"/>
      <c r="F9266" s="8"/>
    </row>
    <row r="9267" spans="4:6">
      <c r="D9267" s="8"/>
      <c r="E9267" s="8"/>
      <c r="F9267" s="8"/>
    </row>
    <row r="9268" spans="4:6">
      <c r="D9268" s="8"/>
      <c r="E9268" s="8"/>
      <c r="F9268" s="8"/>
    </row>
    <row r="9269" spans="4:6">
      <c r="D9269" s="8"/>
      <c r="E9269" s="8"/>
      <c r="F9269" s="8"/>
    </row>
    <row r="9270" spans="4:6">
      <c r="D9270" s="8"/>
      <c r="E9270" s="8"/>
      <c r="F9270" s="8"/>
    </row>
    <row r="9271" spans="4:6">
      <c r="D9271" s="8"/>
      <c r="E9271" s="8"/>
      <c r="F9271" s="8"/>
    </row>
    <row r="9272" spans="4:6">
      <c r="D9272" s="8"/>
      <c r="E9272" s="8"/>
      <c r="F9272" s="8"/>
    </row>
    <row r="9273" spans="4:6">
      <c r="D9273" s="8"/>
      <c r="E9273" s="8"/>
      <c r="F9273" s="8"/>
    </row>
    <row r="9274" spans="4:6">
      <c r="D9274" s="8"/>
      <c r="E9274" s="8"/>
      <c r="F9274" s="8"/>
    </row>
    <row r="9275" spans="4:6">
      <c r="D9275" s="8"/>
      <c r="E9275" s="8"/>
      <c r="F9275" s="8"/>
    </row>
    <row r="9276" spans="4:6">
      <c r="D9276" s="8"/>
      <c r="E9276" s="8"/>
      <c r="F9276" s="8"/>
    </row>
    <row r="9277" spans="4:6">
      <c r="D9277" s="8"/>
      <c r="E9277" s="8"/>
      <c r="F9277" s="8"/>
    </row>
    <row r="9278" spans="4:6">
      <c r="D9278" s="8"/>
      <c r="E9278" s="8"/>
      <c r="F9278" s="8"/>
    </row>
    <row r="9279" spans="4:6">
      <c r="D9279" s="8"/>
      <c r="E9279" s="8"/>
      <c r="F9279" s="8"/>
    </row>
    <row r="9280" spans="4:6">
      <c r="D9280" s="8"/>
      <c r="E9280" s="8"/>
      <c r="F9280" s="8"/>
    </row>
    <row r="9281" spans="4:6">
      <c r="D9281" s="8"/>
      <c r="E9281" s="8"/>
      <c r="F9281" s="8"/>
    </row>
    <row r="9282" spans="4:6">
      <c r="D9282" s="8"/>
      <c r="E9282" s="8"/>
      <c r="F9282" s="8"/>
    </row>
    <row r="9283" spans="4:6">
      <c r="D9283" s="8"/>
      <c r="E9283" s="8"/>
      <c r="F9283" s="8"/>
    </row>
    <row r="9284" spans="4:6">
      <c r="D9284" s="8"/>
      <c r="E9284" s="8"/>
      <c r="F9284" s="8"/>
    </row>
    <row r="9285" spans="4:6">
      <c r="D9285" s="8"/>
      <c r="E9285" s="8"/>
      <c r="F9285" s="8"/>
    </row>
    <row r="9286" spans="4:6">
      <c r="D9286" s="8"/>
      <c r="E9286" s="8"/>
      <c r="F9286" s="8"/>
    </row>
    <row r="9287" spans="4:6">
      <c r="D9287" s="8"/>
      <c r="E9287" s="8"/>
      <c r="F9287" s="8"/>
    </row>
    <row r="9288" spans="4:6">
      <c r="D9288" s="8"/>
      <c r="E9288" s="8"/>
      <c r="F9288" s="8"/>
    </row>
    <row r="9289" spans="4:6">
      <c r="D9289" s="8"/>
      <c r="E9289" s="8"/>
      <c r="F9289" s="8"/>
    </row>
    <row r="9290" spans="4:6">
      <c r="D9290" s="8"/>
      <c r="E9290" s="8"/>
      <c r="F9290" s="8"/>
    </row>
    <row r="9291" spans="4:6">
      <c r="D9291" s="8"/>
      <c r="E9291" s="8"/>
      <c r="F9291" s="8"/>
    </row>
    <row r="9292" spans="4:6">
      <c r="D9292" s="8"/>
      <c r="E9292" s="8"/>
      <c r="F9292" s="8"/>
    </row>
    <row r="9293" spans="4:6">
      <c r="D9293" s="8"/>
      <c r="E9293" s="8"/>
      <c r="F9293" s="8"/>
    </row>
    <row r="9294" spans="4:6">
      <c r="D9294" s="8"/>
      <c r="E9294" s="8"/>
      <c r="F9294" s="8"/>
    </row>
    <row r="9295" spans="4:6">
      <c r="D9295" s="8"/>
      <c r="E9295" s="8"/>
      <c r="F9295" s="8"/>
    </row>
    <row r="9296" spans="4:6">
      <c r="D9296" s="8"/>
      <c r="E9296" s="8"/>
      <c r="F9296" s="8"/>
    </row>
    <row r="9297" spans="4:6">
      <c r="D9297" s="8"/>
      <c r="E9297" s="8"/>
      <c r="F9297" s="8"/>
    </row>
    <row r="9298" spans="4:6">
      <c r="D9298" s="8"/>
      <c r="E9298" s="8"/>
      <c r="F9298" s="8"/>
    </row>
    <row r="9299" spans="4:6">
      <c r="D9299" s="8"/>
      <c r="E9299" s="8"/>
      <c r="F9299" s="8"/>
    </row>
    <row r="9300" spans="4:6">
      <c r="D9300" s="8"/>
      <c r="E9300" s="8"/>
      <c r="F9300" s="8"/>
    </row>
    <row r="9301" spans="4:6">
      <c r="D9301" s="8"/>
      <c r="E9301" s="8"/>
      <c r="F9301" s="8"/>
    </row>
    <row r="9302" spans="4:6">
      <c r="D9302" s="8"/>
      <c r="E9302" s="8"/>
      <c r="F9302" s="8"/>
    </row>
    <row r="9303" spans="4:6">
      <c r="D9303" s="8"/>
      <c r="E9303" s="8"/>
      <c r="F9303" s="8"/>
    </row>
    <row r="9304" spans="4:6">
      <c r="D9304" s="8"/>
      <c r="E9304" s="8"/>
      <c r="F9304" s="8"/>
    </row>
    <row r="9305" spans="4:6">
      <c r="D9305" s="8"/>
      <c r="E9305" s="8"/>
      <c r="F9305" s="8"/>
    </row>
    <row r="9306" spans="4:6">
      <c r="D9306" s="8"/>
      <c r="E9306" s="8"/>
      <c r="F9306" s="8"/>
    </row>
    <row r="9307" spans="4:6">
      <c r="D9307" s="8"/>
      <c r="E9307" s="8"/>
      <c r="F9307" s="8"/>
    </row>
    <row r="9308" spans="4:6">
      <c r="D9308" s="8"/>
      <c r="E9308" s="8"/>
      <c r="F9308" s="8"/>
    </row>
    <row r="9309" spans="4:6">
      <c r="D9309" s="8"/>
      <c r="E9309" s="8"/>
      <c r="F9309" s="8"/>
    </row>
    <row r="9310" spans="4:6">
      <c r="D9310" s="8"/>
      <c r="E9310" s="8"/>
      <c r="F9310" s="8"/>
    </row>
    <row r="9311" spans="4:6">
      <c r="D9311" s="8"/>
      <c r="E9311" s="8"/>
      <c r="F9311" s="8"/>
    </row>
    <row r="9312" spans="4:6">
      <c r="D9312" s="8"/>
      <c r="E9312" s="8"/>
      <c r="F9312" s="8"/>
    </row>
    <row r="9313" spans="4:6">
      <c r="D9313" s="8"/>
      <c r="E9313" s="8"/>
      <c r="F9313" s="8"/>
    </row>
    <row r="9314" spans="4:6">
      <c r="D9314" s="8"/>
      <c r="E9314" s="8"/>
      <c r="F9314" s="8"/>
    </row>
    <row r="9315" spans="4:6">
      <c r="D9315" s="8"/>
      <c r="E9315" s="8"/>
      <c r="F9315" s="8"/>
    </row>
    <row r="9316" spans="4:6">
      <c r="D9316" s="8"/>
      <c r="E9316" s="8"/>
      <c r="F9316" s="8"/>
    </row>
    <row r="9317" spans="4:6">
      <c r="D9317" s="8"/>
      <c r="E9317" s="8"/>
      <c r="F9317" s="8"/>
    </row>
    <row r="9318" spans="4:6">
      <c r="D9318" s="8"/>
      <c r="E9318" s="8"/>
      <c r="F9318" s="8"/>
    </row>
    <row r="9319" spans="4:6">
      <c r="D9319" s="8"/>
      <c r="E9319" s="8"/>
      <c r="F9319" s="8"/>
    </row>
    <row r="9320" spans="4:6">
      <c r="D9320" s="8"/>
      <c r="E9320" s="8"/>
      <c r="F9320" s="8"/>
    </row>
    <row r="9321" spans="4:6">
      <c r="D9321" s="8"/>
      <c r="E9321" s="8"/>
      <c r="F9321" s="8"/>
    </row>
    <row r="9322" spans="4:6">
      <c r="D9322" s="8"/>
      <c r="E9322" s="8"/>
      <c r="F9322" s="8"/>
    </row>
    <row r="9323" spans="4:6">
      <c r="D9323" s="8"/>
      <c r="E9323" s="8"/>
      <c r="F9323" s="8"/>
    </row>
    <row r="9324" spans="4:6">
      <c r="D9324" s="8"/>
      <c r="E9324" s="8"/>
      <c r="F9324" s="8"/>
    </row>
    <row r="9325" spans="4:6">
      <c r="D9325" s="8"/>
      <c r="E9325" s="8"/>
      <c r="F9325" s="8"/>
    </row>
    <row r="9326" spans="4:6">
      <c r="D9326" s="8"/>
      <c r="E9326" s="8"/>
      <c r="F9326" s="8"/>
    </row>
    <row r="9327" spans="4:6">
      <c r="D9327" s="8"/>
      <c r="E9327" s="8"/>
      <c r="F9327" s="8"/>
    </row>
    <row r="9328" spans="4:6">
      <c r="D9328" s="8"/>
      <c r="E9328" s="8"/>
      <c r="F9328" s="8"/>
    </row>
    <row r="9329" spans="4:6">
      <c r="D9329" s="8"/>
      <c r="E9329" s="8"/>
      <c r="F9329" s="8"/>
    </row>
    <row r="9330" spans="4:6">
      <c r="D9330" s="8"/>
      <c r="E9330" s="8"/>
      <c r="F9330" s="8"/>
    </row>
    <row r="9331" spans="4:6">
      <c r="D9331" s="8"/>
      <c r="E9331" s="8"/>
      <c r="F9331" s="8"/>
    </row>
    <row r="9332" spans="4:6">
      <c r="D9332" s="8"/>
      <c r="E9332" s="8"/>
      <c r="F9332" s="8"/>
    </row>
    <row r="9333" spans="4:6">
      <c r="D9333" s="8"/>
      <c r="E9333" s="8"/>
      <c r="F9333" s="8"/>
    </row>
    <row r="9334" spans="4:6">
      <c r="D9334" s="8"/>
      <c r="E9334" s="8"/>
      <c r="F9334" s="8"/>
    </row>
    <row r="9335" spans="4:6">
      <c r="D9335" s="8"/>
      <c r="E9335" s="8"/>
      <c r="F9335" s="8"/>
    </row>
    <row r="9336" spans="4:6">
      <c r="D9336" s="8"/>
      <c r="E9336" s="8"/>
      <c r="F9336" s="8"/>
    </row>
    <row r="9337" spans="4:6">
      <c r="D9337" s="8"/>
      <c r="E9337" s="8"/>
      <c r="F9337" s="8"/>
    </row>
    <row r="9338" spans="4:6">
      <c r="D9338" s="8"/>
      <c r="E9338" s="8"/>
      <c r="F9338" s="8"/>
    </row>
    <row r="9339" spans="4:6">
      <c r="D9339" s="8"/>
      <c r="E9339" s="8"/>
      <c r="F9339" s="8"/>
    </row>
    <row r="9340" spans="4:6">
      <c r="D9340" s="8"/>
      <c r="E9340" s="8"/>
      <c r="F9340" s="8"/>
    </row>
    <row r="9341" spans="4:6">
      <c r="D9341" s="8"/>
      <c r="E9341" s="8"/>
      <c r="F9341" s="8"/>
    </row>
    <row r="9342" spans="4:6">
      <c r="D9342" s="8"/>
      <c r="E9342" s="8"/>
      <c r="F9342" s="8"/>
    </row>
    <row r="9343" spans="4:6">
      <c r="D9343" s="8"/>
      <c r="E9343" s="8"/>
      <c r="F9343" s="8"/>
    </row>
    <row r="9344" spans="4:6">
      <c r="D9344" s="8"/>
      <c r="E9344" s="8"/>
      <c r="F9344" s="8"/>
    </row>
    <row r="9345" spans="4:6">
      <c r="D9345" s="8"/>
      <c r="E9345" s="8"/>
      <c r="F9345" s="8"/>
    </row>
    <row r="9346" spans="4:6">
      <c r="D9346" s="8"/>
      <c r="E9346" s="8"/>
      <c r="F9346" s="8"/>
    </row>
    <row r="9347" spans="4:6">
      <c r="D9347" s="8"/>
      <c r="E9347" s="8"/>
      <c r="F9347" s="8"/>
    </row>
    <row r="9348" spans="4:6">
      <c r="D9348" s="8"/>
      <c r="E9348" s="8"/>
      <c r="F9348" s="8"/>
    </row>
    <row r="9349" spans="4:6">
      <c r="D9349" s="8"/>
      <c r="E9349" s="8"/>
      <c r="F9349" s="8"/>
    </row>
    <row r="9350" spans="4:6">
      <c r="D9350" s="8"/>
      <c r="E9350" s="8"/>
      <c r="F9350" s="8"/>
    </row>
    <row r="9351" spans="4:6">
      <c r="D9351" s="8"/>
      <c r="E9351" s="8"/>
      <c r="F9351" s="8"/>
    </row>
    <row r="9352" spans="4:6">
      <c r="D9352" s="8"/>
      <c r="E9352" s="8"/>
      <c r="F9352" s="8"/>
    </row>
    <row r="9353" spans="4:6">
      <c r="D9353" s="8"/>
      <c r="E9353" s="8"/>
      <c r="F9353" s="8"/>
    </row>
    <row r="9354" spans="4:6">
      <c r="D9354" s="8"/>
      <c r="E9354" s="8"/>
      <c r="F9354" s="8"/>
    </row>
    <row r="9355" spans="4:6">
      <c r="D9355" s="8"/>
      <c r="E9355" s="8"/>
      <c r="F9355" s="8"/>
    </row>
    <row r="9356" spans="4:6">
      <c r="D9356" s="8"/>
      <c r="E9356" s="8"/>
      <c r="F9356" s="8"/>
    </row>
    <row r="9357" spans="4:6">
      <c r="D9357" s="8"/>
      <c r="E9357" s="8"/>
      <c r="F9357" s="8"/>
    </row>
    <row r="9358" spans="4:6">
      <c r="D9358" s="8"/>
      <c r="E9358" s="8"/>
      <c r="F9358" s="8"/>
    </row>
    <row r="9359" spans="4:6">
      <c r="D9359" s="8"/>
      <c r="E9359" s="8"/>
      <c r="F9359" s="8"/>
    </row>
    <row r="9360" spans="4:6">
      <c r="D9360" s="8"/>
      <c r="E9360" s="8"/>
      <c r="F9360" s="8"/>
    </row>
    <row r="9361" spans="4:6">
      <c r="D9361" s="8"/>
      <c r="E9361" s="8"/>
      <c r="F9361" s="8"/>
    </row>
    <row r="9362" spans="4:6">
      <c r="D9362" s="8"/>
      <c r="E9362" s="8"/>
      <c r="F9362" s="8"/>
    </row>
    <row r="9363" spans="4:6">
      <c r="D9363" s="8"/>
      <c r="E9363" s="8"/>
      <c r="F9363" s="8"/>
    </row>
    <row r="9364" spans="4:6">
      <c r="D9364" s="8"/>
      <c r="E9364" s="8"/>
      <c r="F9364" s="8"/>
    </row>
    <row r="9365" spans="4:6">
      <c r="D9365" s="8"/>
      <c r="E9365" s="8"/>
      <c r="F9365" s="8"/>
    </row>
    <row r="9366" spans="4:6">
      <c r="D9366" s="8"/>
      <c r="E9366" s="8"/>
      <c r="F9366" s="8"/>
    </row>
    <row r="9367" spans="4:6">
      <c r="D9367" s="8"/>
      <c r="E9367" s="8"/>
      <c r="F9367" s="8"/>
    </row>
    <row r="9368" spans="4:6">
      <c r="D9368" s="8"/>
      <c r="E9368" s="8"/>
      <c r="F9368" s="8"/>
    </row>
    <row r="9369" spans="4:6">
      <c r="D9369" s="8"/>
      <c r="E9369" s="8"/>
      <c r="F9369" s="8"/>
    </row>
    <row r="9370" spans="4:6">
      <c r="D9370" s="8"/>
      <c r="E9370" s="8"/>
      <c r="F9370" s="8"/>
    </row>
    <row r="9371" spans="4:6">
      <c r="D9371" s="8"/>
      <c r="E9371" s="8"/>
      <c r="F9371" s="8"/>
    </row>
    <row r="9372" spans="4:6">
      <c r="D9372" s="8"/>
      <c r="E9372" s="8"/>
      <c r="F9372" s="8"/>
    </row>
    <row r="9373" spans="4:6">
      <c r="D9373" s="8"/>
      <c r="E9373" s="8"/>
      <c r="F9373" s="8"/>
    </row>
    <row r="9374" spans="4:6">
      <c r="D9374" s="8"/>
      <c r="E9374" s="8"/>
      <c r="F9374" s="8"/>
    </row>
    <row r="9375" spans="4:6">
      <c r="D9375" s="8"/>
      <c r="E9375" s="8"/>
      <c r="F9375" s="8"/>
    </row>
    <row r="9376" spans="4:6">
      <c r="D9376" s="8"/>
      <c r="E9376" s="8"/>
      <c r="F9376" s="8"/>
    </row>
    <row r="9377" spans="4:6">
      <c r="D9377" s="8"/>
      <c r="E9377" s="8"/>
      <c r="F9377" s="8"/>
    </row>
    <row r="9378" spans="4:6">
      <c r="D9378" s="8"/>
      <c r="E9378" s="8"/>
      <c r="F9378" s="8"/>
    </row>
    <row r="9379" spans="4:6">
      <c r="D9379" s="8"/>
      <c r="E9379" s="8"/>
      <c r="F9379" s="8"/>
    </row>
    <row r="9380" spans="4:6">
      <c r="D9380" s="8"/>
      <c r="E9380" s="8"/>
      <c r="F9380" s="8"/>
    </row>
    <row r="9381" spans="4:6">
      <c r="D9381" s="8"/>
      <c r="E9381" s="8"/>
      <c r="F9381" s="8"/>
    </row>
    <row r="9382" spans="4:6">
      <c r="D9382" s="8"/>
      <c r="E9382" s="8"/>
      <c r="F9382" s="8"/>
    </row>
    <row r="9383" spans="4:6">
      <c r="D9383" s="8"/>
      <c r="E9383" s="8"/>
      <c r="F9383" s="8"/>
    </row>
    <row r="9384" spans="4:6">
      <c r="D9384" s="8"/>
      <c r="E9384" s="8"/>
      <c r="F9384" s="8"/>
    </row>
    <row r="9385" spans="4:6">
      <c r="D9385" s="8"/>
      <c r="E9385" s="8"/>
      <c r="F9385" s="8"/>
    </row>
    <row r="9386" spans="4:6">
      <c r="D9386" s="8"/>
      <c r="E9386" s="8"/>
      <c r="F9386" s="8"/>
    </row>
    <row r="9387" spans="4:6">
      <c r="D9387" s="8"/>
      <c r="E9387" s="8"/>
      <c r="F9387" s="8"/>
    </row>
    <row r="9388" spans="4:6">
      <c r="D9388" s="8"/>
      <c r="E9388" s="8"/>
      <c r="F9388" s="8"/>
    </row>
    <row r="9389" spans="4:6">
      <c r="D9389" s="8"/>
      <c r="E9389" s="8"/>
      <c r="F9389" s="8"/>
    </row>
    <row r="9390" spans="4:6">
      <c r="D9390" s="8"/>
      <c r="E9390" s="8"/>
      <c r="F9390" s="8"/>
    </row>
    <row r="9391" spans="4:6">
      <c r="D9391" s="8"/>
      <c r="E9391" s="8"/>
      <c r="F9391" s="8"/>
    </row>
    <row r="9392" spans="4:6">
      <c r="D9392" s="8"/>
      <c r="E9392" s="8"/>
      <c r="F9392" s="8"/>
    </row>
    <row r="9393" spans="4:6">
      <c r="D9393" s="8"/>
      <c r="E9393" s="8"/>
      <c r="F9393" s="8"/>
    </row>
    <row r="9394" spans="4:6">
      <c r="D9394" s="8"/>
      <c r="E9394" s="8"/>
      <c r="F9394" s="8"/>
    </row>
    <row r="9395" spans="4:6">
      <c r="D9395" s="8"/>
      <c r="E9395" s="8"/>
      <c r="F9395" s="8"/>
    </row>
    <row r="9396" spans="4:6">
      <c r="D9396" s="8"/>
      <c r="E9396" s="8"/>
      <c r="F9396" s="8"/>
    </row>
    <row r="9397" spans="4:6">
      <c r="D9397" s="8"/>
      <c r="E9397" s="8"/>
      <c r="F9397" s="8"/>
    </row>
    <row r="9398" spans="4:6">
      <c r="D9398" s="8"/>
      <c r="E9398" s="8"/>
      <c r="F9398" s="8"/>
    </row>
    <row r="9399" spans="4:6">
      <c r="D9399" s="8"/>
      <c r="E9399" s="8"/>
      <c r="F9399" s="8"/>
    </row>
    <row r="9400" spans="4:6">
      <c r="D9400" s="8"/>
      <c r="E9400" s="8"/>
      <c r="F9400" s="8"/>
    </row>
    <row r="9401" spans="4:6">
      <c r="D9401" s="8"/>
      <c r="E9401" s="8"/>
      <c r="F9401" s="8"/>
    </row>
    <row r="9402" spans="4:6">
      <c r="D9402" s="8"/>
      <c r="E9402" s="8"/>
      <c r="F9402" s="8"/>
    </row>
    <row r="9403" spans="4:6">
      <c r="D9403" s="8"/>
      <c r="E9403" s="8"/>
      <c r="F9403" s="8"/>
    </row>
    <row r="9404" spans="4:6">
      <c r="D9404" s="8"/>
      <c r="E9404" s="8"/>
      <c r="F9404" s="8"/>
    </row>
    <row r="9405" spans="4:6">
      <c r="D9405" s="8"/>
      <c r="E9405" s="8"/>
      <c r="F9405" s="8"/>
    </row>
    <row r="9406" spans="4:6">
      <c r="D9406" s="8"/>
      <c r="E9406" s="8"/>
      <c r="F9406" s="8"/>
    </row>
    <row r="9407" spans="4:6">
      <c r="D9407" s="8"/>
      <c r="E9407" s="8"/>
      <c r="F9407" s="8"/>
    </row>
    <row r="9408" spans="4:6">
      <c r="D9408" s="8"/>
      <c r="E9408" s="8"/>
      <c r="F9408" s="8"/>
    </row>
    <row r="9409" spans="4:6">
      <c r="D9409" s="8"/>
      <c r="E9409" s="8"/>
      <c r="F9409" s="8"/>
    </row>
    <row r="9410" spans="4:6">
      <c r="D9410" s="8"/>
      <c r="E9410" s="8"/>
      <c r="F9410" s="8"/>
    </row>
    <row r="9411" spans="4:6">
      <c r="D9411" s="8"/>
      <c r="E9411" s="8"/>
      <c r="F9411" s="8"/>
    </row>
    <row r="9412" spans="4:6">
      <c r="D9412" s="8"/>
      <c r="E9412" s="8"/>
      <c r="F9412" s="8"/>
    </row>
    <row r="9413" spans="4:6">
      <c r="D9413" s="8"/>
      <c r="E9413" s="8"/>
      <c r="F9413" s="8"/>
    </row>
    <row r="9414" spans="4:6">
      <c r="D9414" s="8"/>
      <c r="E9414" s="8"/>
      <c r="F9414" s="8"/>
    </row>
    <row r="9415" spans="4:6">
      <c r="D9415" s="8"/>
      <c r="E9415" s="8"/>
      <c r="F9415" s="8"/>
    </row>
    <row r="9416" spans="4:6">
      <c r="D9416" s="8"/>
      <c r="E9416" s="8"/>
      <c r="F9416" s="8"/>
    </row>
    <row r="9417" spans="4:6">
      <c r="D9417" s="8"/>
      <c r="E9417" s="8"/>
      <c r="F9417" s="8"/>
    </row>
    <row r="9418" spans="4:6">
      <c r="D9418" s="8"/>
      <c r="E9418" s="8"/>
      <c r="F9418" s="8"/>
    </row>
    <row r="9419" spans="4:6">
      <c r="D9419" s="8"/>
      <c r="E9419" s="8"/>
      <c r="F9419" s="8"/>
    </row>
    <row r="9420" spans="4:6">
      <c r="D9420" s="8"/>
      <c r="E9420" s="8"/>
      <c r="F9420" s="8"/>
    </row>
    <row r="9421" spans="4:6">
      <c r="D9421" s="8"/>
      <c r="E9421" s="8"/>
      <c r="F9421" s="8"/>
    </row>
    <row r="9422" spans="4:6">
      <c r="D9422" s="8"/>
      <c r="E9422" s="8"/>
      <c r="F9422" s="8"/>
    </row>
    <row r="9423" spans="4:6">
      <c r="D9423" s="8"/>
      <c r="E9423" s="8"/>
      <c r="F9423" s="8"/>
    </row>
    <row r="9424" spans="4:6">
      <c r="D9424" s="8"/>
      <c r="E9424" s="8"/>
      <c r="F9424" s="8"/>
    </row>
    <row r="9425" spans="4:6">
      <c r="D9425" s="8"/>
      <c r="E9425" s="8"/>
      <c r="F9425" s="8"/>
    </row>
    <row r="9426" spans="4:6">
      <c r="D9426" s="8"/>
      <c r="E9426" s="8"/>
      <c r="F9426" s="8"/>
    </row>
    <row r="9427" spans="4:6">
      <c r="D9427" s="8"/>
      <c r="E9427" s="8"/>
      <c r="F9427" s="8"/>
    </row>
    <row r="9428" spans="4:6">
      <c r="D9428" s="8"/>
      <c r="E9428" s="8"/>
      <c r="F9428" s="8"/>
    </row>
    <row r="9429" spans="4:6">
      <c r="D9429" s="8"/>
      <c r="E9429" s="8"/>
      <c r="F9429" s="8"/>
    </row>
    <row r="9430" spans="4:6">
      <c r="D9430" s="8"/>
      <c r="E9430" s="8"/>
      <c r="F9430" s="8"/>
    </row>
    <row r="9431" spans="4:6">
      <c r="D9431" s="8"/>
      <c r="E9431" s="8"/>
      <c r="F9431" s="8"/>
    </row>
    <row r="9432" spans="4:6">
      <c r="D9432" s="8"/>
      <c r="E9432" s="8"/>
      <c r="F9432" s="8"/>
    </row>
    <row r="9433" spans="4:6">
      <c r="D9433" s="8"/>
      <c r="E9433" s="8"/>
      <c r="F9433" s="8"/>
    </row>
    <row r="9434" spans="4:6">
      <c r="D9434" s="8"/>
      <c r="E9434" s="8"/>
      <c r="F9434" s="8"/>
    </row>
    <row r="9435" spans="4:6">
      <c r="D9435" s="8"/>
      <c r="E9435" s="8"/>
      <c r="F9435" s="8"/>
    </row>
    <row r="9436" spans="4:6">
      <c r="D9436" s="8"/>
      <c r="E9436" s="8"/>
      <c r="F9436" s="8"/>
    </row>
    <row r="9437" spans="4:6">
      <c r="D9437" s="8"/>
      <c r="E9437" s="8"/>
      <c r="F9437" s="8"/>
    </row>
    <row r="9438" spans="4:6">
      <c r="D9438" s="8"/>
      <c r="E9438" s="8"/>
      <c r="F9438" s="8"/>
    </row>
    <row r="9439" spans="4:6">
      <c r="D9439" s="8"/>
      <c r="E9439" s="8"/>
      <c r="F9439" s="8"/>
    </row>
    <row r="9440" spans="4:6">
      <c r="D9440" s="8"/>
      <c r="E9440" s="8"/>
      <c r="F9440" s="8"/>
    </row>
    <row r="9441" spans="4:6">
      <c r="D9441" s="8"/>
      <c r="E9441" s="8"/>
      <c r="F9441" s="8"/>
    </row>
    <row r="9442" spans="4:6">
      <c r="D9442" s="8"/>
      <c r="E9442" s="8"/>
      <c r="F9442" s="8"/>
    </row>
    <row r="9443" spans="4:6">
      <c r="D9443" s="8"/>
      <c r="E9443" s="8"/>
      <c r="F9443" s="8"/>
    </row>
    <row r="9444" spans="4:6">
      <c r="D9444" s="8"/>
      <c r="E9444" s="8"/>
      <c r="F9444" s="8"/>
    </row>
    <row r="9445" spans="4:6">
      <c r="D9445" s="8"/>
      <c r="E9445" s="8"/>
      <c r="F9445" s="8"/>
    </row>
    <row r="9446" spans="4:6">
      <c r="D9446" s="8"/>
      <c r="E9446" s="8"/>
      <c r="F9446" s="8"/>
    </row>
    <row r="9447" spans="4:6">
      <c r="D9447" s="8"/>
      <c r="E9447" s="8"/>
      <c r="F9447" s="8"/>
    </row>
    <row r="9448" spans="4:6">
      <c r="D9448" s="8"/>
      <c r="E9448" s="8"/>
      <c r="F9448" s="8"/>
    </row>
    <row r="9449" spans="4:6">
      <c r="D9449" s="8"/>
      <c r="E9449" s="8"/>
      <c r="F9449" s="8"/>
    </row>
    <row r="9450" spans="4:6">
      <c r="D9450" s="8"/>
      <c r="E9450" s="8"/>
      <c r="F9450" s="8"/>
    </row>
    <row r="9451" spans="4:6">
      <c r="D9451" s="8"/>
      <c r="E9451" s="8"/>
      <c r="F9451" s="8"/>
    </row>
    <row r="9452" spans="4:6">
      <c r="D9452" s="8"/>
      <c r="E9452" s="8"/>
      <c r="F9452" s="8"/>
    </row>
    <row r="9453" spans="4:6">
      <c r="D9453" s="8"/>
      <c r="E9453" s="8"/>
      <c r="F9453" s="8"/>
    </row>
    <row r="9454" spans="4:6">
      <c r="D9454" s="8"/>
      <c r="E9454" s="8"/>
      <c r="F9454" s="8"/>
    </row>
    <row r="9455" spans="4:6">
      <c r="D9455" s="8"/>
      <c r="E9455" s="8"/>
      <c r="F9455" s="8"/>
    </row>
    <row r="9456" spans="4:6">
      <c r="D9456" s="8"/>
      <c r="E9456" s="8"/>
      <c r="F9456" s="8"/>
    </row>
    <row r="9457" spans="4:6">
      <c r="D9457" s="8"/>
      <c r="E9457" s="8"/>
      <c r="F9457" s="8"/>
    </row>
    <row r="9458" spans="4:6">
      <c r="D9458" s="8"/>
      <c r="E9458" s="8"/>
      <c r="F9458" s="8"/>
    </row>
    <row r="9459" spans="4:6">
      <c r="D9459" s="8"/>
      <c r="E9459" s="8"/>
      <c r="F9459" s="8"/>
    </row>
    <row r="9460" spans="4:6">
      <c r="D9460" s="8"/>
      <c r="E9460" s="8"/>
      <c r="F9460" s="8"/>
    </row>
    <row r="9461" spans="4:6">
      <c r="D9461" s="8"/>
      <c r="E9461" s="8"/>
      <c r="F9461" s="8"/>
    </row>
    <row r="9462" spans="4:6">
      <c r="D9462" s="8"/>
      <c r="E9462" s="8"/>
      <c r="F9462" s="8"/>
    </row>
    <row r="9463" spans="4:6">
      <c r="D9463" s="8"/>
      <c r="E9463" s="8"/>
      <c r="F9463" s="8"/>
    </row>
    <row r="9464" spans="4:6">
      <c r="D9464" s="8"/>
      <c r="E9464" s="8"/>
      <c r="F9464" s="8"/>
    </row>
    <row r="9465" spans="4:6">
      <c r="D9465" s="8"/>
      <c r="E9465" s="8"/>
      <c r="F9465" s="8"/>
    </row>
    <row r="9466" spans="4:6">
      <c r="D9466" s="8"/>
      <c r="E9466" s="8"/>
      <c r="F9466" s="8"/>
    </row>
    <row r="9467" spans="4:6">
      <c r="D9467" s="8"/>
      <c r="E9467" s="8"/>
      <c r="F9467" s="8"/>
    </row>
    <row r="9468" spans="4:6">
      <c r="D9468" s="8"/>
      <c r="E9468" s="8"/>
      <c r="F9468" s="8"/>
    </row>
    <row r="9469" spans="4:6">
      <c r="D9469" s="8"/>
      <c r="E9469" s="8"/>
      <c r="F9469" s="8"/>
    </row>
    <row r="9470" spans="4:6">
      <c r="D9470" s="8"/>
      <c r="E9470" s="8"/>
      <c r="F9470" s="8"/>
    </row>
    <row r="9471" spans="4:6">
      <c r="D9471" s="8"/>
      <c r="E9471" s="8"/>
      <c r="F9471" s="8"/>
    </row>
    <row r="9472" spans="4:6">
      <c r="D9472" s="8"/>
      <c r="E9472" s="8"/>
      <c r="F9472" s="8"/>
    </row>
    <row r="9473" spans="4:6">
      <c r="D9473" s="8"/>
      <c r="E9473" s="8"/>
      <c r="F9473" s="8"/>
    </row>
    <row r="9474" spans="4:6">
      <c r="D9474" s="8"/>
      <c r="E9474" s="8"/>
      <c r="F9474" s="8"/>
    </row>
    <row r="9475" spans="4:6">
      <c r="D9475" s="8"/>
      <c r="E9475" s="8"/>
      <c r="F9475" s="8"/>
    </row>
    <row r="9476" spans="4:6">
      <c r="D9476" s="8"/>
      <c r="E9476" s="8"/>
      <c r="F9476" s="8"/>
    </row>
    <row r="9477" spans="4:6">
      <c r="D9477" s="8"/>
      <c r="E9477" s="8"/>
      <c r="F9477" s="8"/>
    </row>
    <row r="9478" spans="4:6">
      <c r="D9478" s="8"/>
      <c r="E9478" s="8"/>
      <c r="F9478" s="8"/>
    </row>
    <row r="9479" spans="4:6">
      <c r="D9479" s="8"/>
      <c r="E9479" s="8"/>
      <c r="F9479" s="8"/>
    </row>
    <row r="9480" spans="4:6">
      <c r="D9480" s="8"/>
      <c r="E9480" s="8"/>
      <c r="F9480" s="8"/>
    </row>
    <row r="9481" spans="4:6">
      <c r="D9481" s="8"/>
      <c r="E9481" s="8"/>
      <c r="F9481" s="8"/>
    </row>
    <row r="9482" spans="4:6">
      <c r="D9482" s="8"/>
      <c r="E9482" s="8"/>
      <c r="F9482" s="8"/>
    </row>
    <row r="9483" spans="4:6">
      <c r="D9483" s="8"/>
      <c r="E9483" s="8"/>
      <c r="F9483" s="8"/>
    </row>
    <row r="9484" spans="4:6">
      <c r="D9484" s="8"/>
      <c r="E9484" s="8"/>
      <c r="F9484" s="8"/>
    </row>
    <row r="9485" spans="4:6">
      <c r="D9485" s="8"/>
      <c r="E9485" s="8"/>
      <c r="F9485" s="8"/>
    </row>
    <row r="9486" spans="4:6">
      <c r="D9486" s="8"/>
      <c r="E9486" s="8"/>
      <c r="F9486" s="8"/>
    </row>
    <row r="9487" spans="4:6">
      <c r="D9487" s="8"/>
      <c r="E9487" s="8"/>
      <c r="F9487" s="8"/>
    </row>
    <row r="9488" spans="4:6">
      <c r="D9488" s="8"/>
      <c r="E9488" s="8"/>
      <c r="F9488" s="8"/>
    </row>
    <row r="9489" spans="4:6">
      <c r="D9489" s="8"/>
      <c r="E9489" s="8"/>
      <c r="F9489" s="8"/>
    </row>
    <row r="9490" spans="4:6">
      <c r="D9490" s="8"/>
      <c r="E9490" s="8"/>
      <c r="F9490" s="8"/>
    </row>
    <row r="9491" spans="4:6">
      <c r="D9491" s="8"/>
      <c r="E9491" s="8"/>
      <c r="F9491" s="8"/>
    </row>
    <row r="9492" spans="4:6">
      <c r="D9492" s="8"/>
      <c r="E9492" s="8"/>
      <c r="F9492" s="8"/>
    </row>
    <row r="9493" spans="4:6">
      <c r="D9493" s="8"/>
      <c r="E9493" s="8"/>
      <c r="F9493" s="8"/>
    </row>
    <row r="9494" spans="4:6">
      <c r="D9494" s="8"/>
      <c r="E9494" s="8"/>
      <c r="F9494" s="8"/>
    </row>
    <row r="9495" spans="4:6">
      <c r="D9495" s="8"/>
      <c r="E9495" s="8"/>
      <c r="F9495" s="8"/>
    </row>
    <row r="9496" spans="4:6">
      <c r="D9496" s="8"/>
      <c r="E9496" s="8"/>
      <c r="F9496" s="8"/>
    </row>
    <row r="9497" spans="4:6">
      <c r="D9497" s="8"/>
      <c r="E9497" s="8"/>
      <c r="F9497" s="8"/>
    </row>
    <row r="9498" spans="4:6">
      <c r="D9498" s="8"/>
      <c r="E9498" s="8"/>
      <c r="F9498" s="8"/>
    </row>
    <row r="9499" spans="4:6">
      <c r="D9499" s="8"/>
      <c r="E9499" s="8"/>
      <c r="F9499" s="8"/>
    </row>
    <row r="9500" spans="4:6">
      <c r="D9500" s="8"/>
      <c r="E9500" s="8"/>
      <c r="F9500" s="8"/>
    </row>
    <row r="9501" spans="4:6">
      <c r="D9501" s="8"/>
      <c r="E9501" s="8"/>
      <c r="F9501" s="8"/>
    </row>
    <row r="9502" spans="4:6">
      <c r="D9502" s="8"/>
      <c r="E9502" s="8"/>
      <c r="F9502" s="8"/>
    </row>
    <row r="9503" spans="4:6">
      <c r="D9503" s="8"/>
      <c r="E9503" s="8"/>
      <c r="F9503" s="8"/>
    </row>
    <row r="9504" spans="4:6">
      <c r="D9504" s="8"/>
      <c r="E9504" s="8"/>
      <c r="F9504" s="8"/>
    </row>
    <row r="9505" spans="4:6">
      <c r="D9505" s="8"/>
      <c r="E9505" s="8"/>
      <c r="F9505" s="8"/>
    </row>
    <row r="9506" spans="4:6">
      <c r="D9506" s="8"/>
      <c r="E9506" s="8"/>
      <c r="F9506" s="8"/>
    </row>
    <row r="9507" spans="4:6">
      <c r="D9507" s="8"/>
      <c r="E9507" s="8"/>
      <c r="F9507" s="8"/>
    </row>
    <row r="9508" spans="4:6">
      <c r="D9508" s="8"/>
      <c r="E9508" s="8"/>
      <c r="F9508" s="8"/>
    </row>
    <row r="9509" spans="4:6">
      <c r="D9509" s="8"/>
      <c r="E9509" s="8"/>
      <c r="F9509" s="8"/>
    </row>
    <row r="9510" spans="4:6">
      <c r="D9510" s="8"/>
      <c r="E9510" s="8"/>
      <c r="F9510" s="8"/>
    </row>
    <row r="9511" spans="4:6">
      <c r="D9511" s="8"/>
      <c r="E9511" s="8"/>
      <c r="F9511" s="8"/>
    </row>
    <row r="9512" spans="4:6">
      <c r="D9512" s="8"/>
      <c r="E9512" s="8"/>
      <c r="F9512" s="8"/>
    </row>
    <row r="9513" spans="4:6">
      <c r="D9513" s="8"/>
      <c r="E9513" s="8"/>
      <c r="F9513" s="8"/>
    </row>
    <row r="9514" spans="4:6">
      <c r="D9514" s="8"/>
      <c r="E9514" s="8"/>
      <c r="F9514" s="8"/>
    </row>
    <row r="9515" spans="4:6">
      <c r="D9515" s="8"/>
      <c r="E9515" s="8"/>
      <c r="F9515" s="8"/>
    </row>
    <row r="9516" spans="4:6">
      <c r="D9516" s="8"/>
      <c r="E9516" s="8"/>
      <c r="F9516" s="8"/>
    </row>
    <row r="9517" spans="4:6">
      <c r="D9517" s="8"/>
      <c r="E9517" s="8"/>
      <c r="F9517" s="8"/>
    </row>
    <row r="9518" spans="4:6">
      <c r="D9518" s="8"/>
      <c r="E9518" s="8"/>
      <c r="F9518" s="8"/>
    </row>
    <row r="9519" spans="4:6">
      <c r="D9519" s="8"/>
      <c r="E9519" s="8"/>
      <c r="F9519" s="8"/>
    </row>
    <row r="9520" spans="4:6">
      <c r="D9520" s="8"/>
      <c r="E9520" s="8"/>
      <c r="F9520" s="8"/>
    </row>
    <row r="9521" spans="4:6">
      <c r="D9521" s="8"/>
      <c r="E9521" s="8"/>
      <c r="F9521" s="8"/>
    </row>
    <row r="9522" spans="4:6">
      <c r="D9522" s="8"/>
      <c r="E9522" s="8"/>
      <c r="F9522" s="8"/>
    </row>
    <row r="9523" spans="4:6">
      <c r="D9523" s="8"/>
      <c r="E9523" s="8"/>
      <c r="F9523" s="8"/>
    </row>
    <row r="9524" spans="4:6">
      <c r="D9524" s="8"/>
      <c r="E9524" s="8"/>
      <c r="F9524" s="8"/>
    </row>
    <row r="9525" spans="4:6">
      <c r="D9525" s="8"/>
      <c r="E9525" s="8"/>
      <c r="F9525" s="8"/>
    </row>
    <row r="9526" spans="4:6">
      <c r="D9526" s="8"/>
      <c r="E9526" s="8"/>
      <c r="F9526" s="8"/>
    </row>
    <row r="9527" spans="4:6">
      <c r="D9527" s="8"/>
      <c r="E9527" s="8"/>
      <c r="F9527" s="8"/>
    </row>
    <row r="9528" spans="4:6">
      <c r="D9528" s="8"/>
      <c r="E9528" s="8"/>
      <c r="F9528" s="8"/>
    </row>
    <row r="9529" spans="4:6">
      <c r="D9529" s="8"/>
      <c r="E9529" s="8"/>
      <c r="F9529" s="8"/>
    </row>
    <row r="9530" spans="4:6">
      <c r="D9530" s="8"/>
      <c r="E9530" s="8"/>
      <c r="F9530" s="8"/>
    </row>
    <row r="9531" spans="4:6">
      <c r="D9531" s="8"/>
      <c r="E9531" s="8"/>
      <c r="F9531" s="8"/>
    </row>
    <row r="9532" spans="4:6">
      <c r="D9532" s="8"/>
      <c r="E9532" s="8"/>
      <c r="F9532" s="8"/>
    </row>
    <row r="9533" spans="4:6">
      <c r="D9533" s="8"/>
      <c r="E9533" s="8"/>
      <c r="F9533" s="8"/>
    </row>
    <row r="9534" spans="4:6">
      <c r="D9534" s="8"/>
      <c r="E9534" s="8"/>
      <c r="F9534" s="8"/>
    </row>
    <row r="9535" spans="4:6">
      <c r="D9535" s="8"/>
      <c r="E9535" s="8"/>
      <c r="F9535" s="8"/>
    </row>
    <row r="9536" spans="4:6">
      <c r="D9536" s="8"/>
      <c r="E9536" s="8"/>
      <c r="F9536" s="8"/>
    </row>
    <row r="9537" spans="4:6">
      <c r="D9537" s="8"/>
      <c r="E9537" s="8"/>
      <c r="F9537" s="8"/>
    </row>
    <row r="9538" spans="4:6">
      <c r="D9538" s="8"/>
      <c r="E9538" s="8"/>
      <c r="F9538" s="8"/>
    </row>
    <row r="9539" spans="4:6">
      <c r="D9539" s="8"/>
      <c r="E9539" s="8"/>
      <c r="F9539" s="8"/>
    </row>
    <row r="9540" spans="4:6">
      <c r="D9540" s="8"/>
      <c r="E9540" s="8"/>
      <c r="F9540" s="8"/>
    </row>
    <row r="9541" spans="4:6">
      <c r="D9541" s="8"/>
      <c r="E9541" s="8"/>
      <c r="F9541" s="8"/>
    </row>
    <row r="9542" spans="4:6">
      <c r="D9542" s="8"/>
      <c r="E9542" s="8"/>
      <c r="F9542" s="8"/>
    </row>
    <row r="9543" spans="4:6">
      <c r="D9543" s="8"/>
      <c r="E9543" s="8"/>
      <c r="F9543" s="8"/>
    </row>
    <row r="9544" spans="4:6">
      <c r="D9544" s="8"/>
      <c r="E9544" s="8"/>
      <c r="F9544" s="8"/>
    </row>
    <row r="9545" spans="4:6">
      <c r="D9545" s="8"/>
      <c r="E9545" s="8"/>
      <c r="F9545" s="8"/>
    </row>
    <row r="9546" spans="4:6">
      <c r="D9546" s="8"/>
      <c r="E9546" s="8"/>
      <c r="F9546" s="8"/>
    </row>
    <row r="9547" spans="4:6">
      <c r="D9547" s="8"/>
      <c r="E9547" s="8"/>
      <c r="F9547" s="8"/>
    </row>
    <row r="9548" spans="4:6">
      <c r="D9548" s="8"/>
      <c r="E9548" s="8"/>
      <c r="F9548" s="8"/>
    </row>
    <row r="9549" spans="4:6">
      <c r="D9549" s="8"/>
      <c r="E9549" s="8"/>
      <c r="F9549" s="8"/>
    </row>
    <row r="9550" spans="4:6">
      <c r="D9550" s="8"/>
      <c r="E9550" s="8"/>
      <c r="F9550" s="8"/>
    </row>
    <row r="9551" spans="4:6">
      <c r="D9551" s="8"/>
      <c r="E9551" s="8"/>
      <c r="F9551" s="8"/>
    </row>
    <row r="9552" spans="4:6">
      <c r="D9552" s="8"/>
      <c r="E9552" s="8"/>
      <c r="F9552" s="8"/>
    </row>
    <row r="9553" spans="4:6">
      <c r="D9553" s="8"/>
      <c r="E9553" s="8"/>
      <c r="F9553" s="8"/>
    </row>
    <row r="9554" spans="4:6">
      <c r="D9554" s="8"/>
      <c r="E9554" s="8"/>
      <c r="F9554" s="8"/>
    </row>
    <row r="9555" spans="4:6">
      <c r="D9555" s="8"/>
      <c r="E9555" s="8"/>
      <c r="F9555" s="8"/>
    </row>
    <row r="9556" spans="4:6">
      <c r="D9556" s="8"/>
      <c r="E9556" s="8"/>
      <c r="F9556" s="8"/>
    </row>
    <row r="9557" spans="4:6">
      <c r="D9557" s="8"/>
      <c r="E9557" s="8"/>
      <c r="F9557" s="8"/>
    </row>
    <row r="9558" spans="4:6">
      <c r="D9558" s="8"/>
      <c r="E9558" s="8"/>
      <c r="F9558" s="8"/>
    </row>
    <row r="9559" spans="4:6">
      <c r="D9559" s="8"/>
      <c r="E9559" s="8"/>
      <c r="F9559" s="8"/>
    </row>
    <row r="9560" spans="4:6">
      <c r="D9560" s="8"/>
      <c r="E9560" s="8"/>
      <c r="F9560" s="8"/>
    </row>
    <row r="9561" spans="4:6">
      <c r="D9561" s="8"/>
      <c r="E9561" s="8"/>
      <c r="F9561" s="8"/>
    </row>
    <row r="9562" spans="4:6">
      <c r="D9562" s="8"/>
      <c r="E9562" s="8"/>
      <c r="F9562" s="8"/>
    </row>
    <row r="9563" spans="4:6">
      <c r="D9563" s="8"/>
      <c r="E9563" s="8"/>
      <c r="F9563" s="8"/>
    </row>
    <row r="9564" spans="4:6">
      <c r="D9564" s="8"/>
      <c r="E9564" s="8"/>
      <c r="F9564" s="8"/>
    </row>
    <row r="9565" spans="4:6">
      <c r="D9565" s="8"/>
      <c r="E9565" s="8"/>
      <c r="F9565" s="8"/>
    </row>
    <row r="9566" spans="4:6">
      <c r="D9566" s="8"/>
      <c r="E9566" s="8"/>
      <c r="F9566" s="8"/>
    </row>
    <row r="9567" spans="4:6">
      <c r="D9567" s="8"/>
      <c r="E9567" s="8"/>
      <c r="F9567" s="8"/>
    </row>
    <row r="9568" spans="4:6">
      <c r="D9568" s="8"/>
      <c r="E9568" s="8"/>
      <c r="F9568" s="8"/>
    </row>
    <row r="9569" spans="4:6">
      <c r="D9569" s="8"/>
      <c r="E9569" s="8"/>
      <c r="F9569" s="8"/>
    </row>
    <row r="9570" spans="4:6">
      <c r="D9570" s="8"/>
      <c r="E9570" s="8"/>
      <c r="F9570" s="8"/>
    </row>
    <row r="9571" spans="4:6">
      <c r="D9571" s="8"/>
      <c r="E9571" s="8"/>
      <c r="F9571" s="8"/>
    </row>
    <row r="9572" spans="4:6">
      <c r="D9572" s="8"/>
      <c r="E9572" s="8"/>
      <c r="F9572" s="8"/>
    </row>
    <row r="9573" spans="4:6">
      <c r="D9573" s="8"/>
      <c r="E9573" s="8"/>
      <c r="F9573" s="8"/>
    </row>
    <row r="9574" spans="4:6">
      <c r="D9574" s="8"/>
      <c r="E9574" s="8"/>
      <c r="F9574" s="8"/>
    </row>
    <row r="9575" spans="4:6">
      <c r="D9575" s="8"/>
      <c r="E9575" s="8"/>
      <c r="F9575" s="8"/>
    </row>
    <row r="9576" spans="4:6">
      <c r="D9576" s="8"/>
      <c r="E9576" s="8"/>
      <c r="F9576" s="8"/>
    </row>
    <row r="9577" spans="4:6">
      <c r="D9577" s="8"/>
      <c r="E9577" s="8"/>
      <c r="F9577" s="8"/>
    </row>
    <row r="9578" spans="4:6">
      <c r="D9578" s="8"/>
      <c r="E9578" s="8"/>
      <c r="F9578" s="8"/>
    </row>
    <row r="9579" spans="4:6">
      <c r="D9579" s="8"/>
      <c r="E9579" s="8"/>
      <c r="F9579" s="8"/>
    </row>
    <row r="9580" spans="4:6">
      <c r="D9580" s="8"/>
      <c r="E9580" s="8"/>
      <c r="F9580" s="8"/>
    </row>
    <row r="9581" spans="4:6">
      <c r="D9581" s="8"/>
      <c r="E9581" s="8"/>
      <c r="F9581" s="8"/>
    </row>
    <row r="9582" spans="4:6">
      <c r="D9582" s="8"/>
      <c r="E9582" s="8"/>
      <c r="F9582" s="8"/>
    </row>
    <row r="9583" spans="4:6">
      <c r="D9583" s="8"/>
      <c r="E9583" s="8"/>
      <c r="F9583" s="8"/>
    </row>
    <row r="9584" spans="4:6">
      <c r="D9584" s="8"/>
      <c r="E9584" s="8"/>
      <c r="F9584" s="8"/>
    </row>
    <row r="9585" spans="4:6">
      <c r="D9585" s="8"/>
      <c r="E9585" s="8"/>
      <c r="F9585" s="8"/>
    </row>
    <row r="9586" spans="4:6">
      <c r="D9586" s="8"/>
      <c r="E9586" s="8"/>
      <c r="F9586" s="8"/>
    </row>
    <row r="9587" spans="4:6">
      <c r="D9587" s="8"/>
      <c r="E9587" s="8"/>
      <c r="F9587" s="8"/>
    </row>
    <row r="9588" spans="4:6">
      <c r="D9588" s="8"/>
      <c r="E9588" s="8"/>
      <c r="F9588" s="8"/>
    </row>
    <row r="9589" spans="4:6">
      <c r="D9589" s="8"/>
      <c r="E9589" s="8"/>
      <c r="F9589" s="8"/>
    </row>
    <row r="9590" spans="4:6">
      <c r="D9590" s="8"/>
      <c r="E9590" s="8"/>
      <c r="F9590" s="8"/>
    </row>
    <row r="9591" spans="4:6">
      <c r="D9591" s="8"/>
      <c r="E9591" s="8"/>
      <c r="F9591" s="8"/>
    </row>
    <row r="9592" spans="4:6">
      <c r="D9592" s="8"/>
      <c r="E9592" s="8"/>
      <c r="F9592" s="8"/>
    </row>
    <row r="9593" spans="4:6">
      <c r="D9593" s="8"/>
      <c r="E9593" s="8"/>
      <c r="F9593" s="8"/>
    </row>
    <row r="9594" spans="4:6">
      <c r="D9594" s="8"/>
      <c r="E9594" s="8"/>
      <c r="F9594" s="8"/>
    </row>
    <row r="9595" spans="4:6">
      <c r="D9595" s="8"/>
      <c r="E9595" s="8"/>
      <c r="F9595" s="8"/>
    </row>
    <row r="9596" spans="4:6">
      <c r="D9596" s="8"/>
      <c r="E9596" s="8"/>
      <c r="F9596" s="8"/>
    </row>
    <row r="9597" spans="4:6">
      <c r="D9597" s="8"/>
      <c r="E9597" s="8"/>
      <c r="F9597" s="8"/>
    </row>
    <row r="9598" spans="4:6">
      <c r="D9598" s="8"/>
      <c r="E9598" s="8"/>
      <c r="F9598" s="8"/>
    </row>
    <row r="9599" spans="4:6">
      <c r="D9599" s="8"/>
      <c r="E9599" s="8"/>
      <c r="F9599" s="8"/>
    </row>
    <row r="9600" spans="4:6">
      <c r="D9600" s="8"/>
      <c r="E9600" s="8"/>
      <c r="F9600" s="8"/>
    </row>
    <row r="9601" spans="4:6">
      <c r="D9601" s="8"/>
      <c r="E9601" s="8"/>
      <c r="F9601" s="8"/>
    </row>
    <row r="9602" spans="4:6">
      <c r="D9602" s="8"/>
      <c r="E9602" s="8"/>
      <c r="F9602" s="8"/>
    </row>
    <row r="9603" spans="4:6">
      <c r="D9603" s="8"/>
      <c r="E9603" s="8"/>
      <c r="F9603" s="8"/>
    </row>
    <row r="9604" spans="4:6">
      <c r="D9604" s="8"/>
      <c r="E9604" s="8"/>
      <c r="F9604" s="8"/>
    </row>
    <row r="9605" spans="4:6">
      <c r="D9605" s="8"/>
      <c r="E9605" s="8"/>
      <c r="F9605" s="8"/>
    </row>
    <row r="9606" spans="4:6">
      <c r="D9606" s="8"/>
      <c r="E9606" s="8"/>
      <c r="F9606" s="8"/>
    </row>
    <row r="9607" spans="4:6">
      <c r="D9607" s="8"/>
      <c r="E9607" s="8"/>
      <c r="F9607" s="8"/>
    </row>
    <row r="9608" spans="4:6">
      <c r="D9608" s="8"/>
      <c r="E9608" s="8"/>
      <c r="F9608" s="8"/>
    </row>
    <row r="9609" spans="4:6">
      <c r="D9609" s="8"/>
      <c r="E9609" s="8"/>
      <c r="F9609" s="8"/>
    </row>
    <row r="9610" spans="4:6">
      <c r="D9610" s="8"/>
      <c r="E9610" s="8"/>
      <c r="F9610" s="8"/>
    </row>
    <row r="9611" spans="4:6">
      <c r="D9611" s="8"/>
      <c r="E9611" s="8"/>
      <c r="F9611" s="8"/>
    </row>
    <row r="9612" spans="4:6">
      <c r="D9612" s="8"/>
      <c r="E9612" s="8"/>
      <c r="F9612" s="8"/>
    </row>
    <row r="9613" spans="4:6">
      <c r="D9613" s="8"/>
      <c r="E9613" s="8"/>
      <c r="F9613" s="8"/>
    </row>
    <row r="9614" spans="4:6">
      <c r="D9614" s="8"/>
      <c r="E9614" s="8"/>
      <c r="F9614" s="8"/>
    </row>
    <row r="9615" spans="4:6">
      <c r="D9615" s="8"/>
      <c r="E9615" s="8"/>
      <c r="F9615" s="8"/>
    </row>
    <row r="9616" spans="4:6">
      <c r="D9616" s="8"/>
      <c r="E9616" s="8"/>
      <c r="F9616" s="8"/>
    </row>
    <row r="9617" spans="4:6">
      <c r="D9617" s="8"/>
      <c r="E9617" s="8"/>
      <c r="F9617" s="8"/>
    </row>
    <row r="9618" spans="4:6">
      <c r="D9618" s="8"/>
      <c r="E9618" s="8"/>
      <c r="F9618" s="8"/>
    </row>
    <row r="9619" spans="4:6">
      <c r="D9619" s="8"/>
      <c r="E9619" s="8"/>
      <c r="F9619" s="8"/>
    </row>
    <row r="9620" spans="4:6">
      <c r="D9620" s="8"/>
      <c r="E9620" s="8"/>
      <c r="F9620" s="8"/>
    </row>
    <row r="9621" spans="4:6">
      <c r="D9621" s="8"/>
      <c r="E9621" s="8"/>
      <c r="F9621" s="8"/>
    </row>
    <row r="9622" spans="4:6">
      <c r="D9622" s="8"/>
      <c r="E9622" s="8"/>
      <c r="F9622" s="8"/>
    </row>
    <row r="9623" spans="4:6">
      <c r="D9623" s="8"/>
      <c r="E9623" s="8"/>
      <c r="F9623" s="8"/>
    </row>
    <row r="9624" spans="4:6">
      <c r="D9624" s="8"/>
      <c r="E9624" s="8"/>
      <c r="F96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CA8C-325B-475F-81B3-51271003BED8}">
  <dimension ref="A1:H255"/>
  <sheetViews>
    <sheetView workbookViewId="0">
      <pane xSplit="1" ySplit="1" topLeftCell="B234" activePane="bottomRight" state="frozen"/>
      <selection pane="topRight" activeCell="B1" sqref="B1"/>
      <selection pane="bottomLeft" activeCell="A2" sqref="A2"/>
      <selection pane="bottomRight" activeCell="B259" sqref="B259"/>
    </sheetView>
  </sheetViews>
  <sheetFormatPr defaultRowHeight="15"/>
  <cols>
    <col min="2" max="2" width="9.140625" style="11"/>
  </cols>
  <sheetData>
    <row r="1" spans="1:5">
      <c r="B1" s="11" t="s">
        <v>1035</v>
      </c>
      <c r="C1" t="s">
        <v>1144</v>
      </c>
    </row>
    <row r="2" spans="1:5">
      <c r="A2" t="str">
        <f>'Monthly Haver'!A5</f>
        <v>Jan-1999</v>
      </c>
      <c r="B2" s="18">
        <v>99.501040000000003</v>
      </c>
      <c r="C2" s="34">
        <v>95.61</v>
      </c>
      <c r="D2" s="18"/>
      <c r="E2" t="s">
        <v>1156</v>
      </c>
    </row>
    <row r="3" spans="1:5">
      <c r="A3" t="str">
        <f>'Monthly Haver'!A6</f>
        <v>Feb-1999</v>
      </c>
      <c r="B3" s="18">
        <v>99.688869999999994</v>
      </c>
      <c r="C3" s="34">
        <v>96.34</v>
      </c>
      <c r="D3" s="18"/>
      <c r="E3" t="s">
        <v>1157</v>
      </c>
    </row>
    <row r="4" spans="1:5">
      <c r="A4" t="str">
        <f>'Monthly Haver'!A7</f>
        <v>Mar-1999</v>
      </c>
      <c r="B4" s="18">
        <v>99.874690000000001</v>
      </c>
      <c r="C4" s="34">
        <v>96.64</v>
      </c>
      <c r="D4" s="18"/>
    </row>
    <row r="5" spans="1:5">
      <c r="A5" t="str">
        <f>'Monthly Haver'!A8</f>
        <v>Apr-1999</v>
      </c>
      <c r="B5" s="18">
        <v>100.0538</v>
      </c>
      <c r="C5" s="34">
        <v>97.25</v>
      </c>
      <c r="D5" s="18"/>
    </row>
    <row r="6" spans="1:5">
      <c r="A6" t="str">
        <f>'Monthly Haver'!A9</f>
        <v>May-1999</v>
      </c>
      <c r="B6" s="18">
        <v>100.2218</v>
      </c>
      <c r="C6" s="34">
        <v>98.12</v>
      </c>
      <c r="D6" s="18"/>
    </row>
    <row r="7" spans="1:5">
      <c r="A7" t="str">
        <f>'Monthly Haver'!A10</f>
        <v>Jun-1999</v>
      </c>
      <c r="B7" s="18">
        <v>100.3789</v>
      </c>
      <c r="C7" s="34">
        <v>98.7</v>
      </c>
      <c r="D7" s="18"/>
      <c r="E7" t="s">
        <v>1158</v>
      </c>
    </row>
    <row r="8" spans="1:5">
      <c r="A8" t="str">
        <f>'Monthly Haver'!A11</f>
        <v>Jul-1999</v>
      </c>
      <c r="B8" s="18">
        <v>100.52460000000001</v>
      </c>
      <c r="C8" s="34">
        <v>98.78</v>
      </c>
      <c r="D8" s="18"/>
    </row>
    <row r="9" spans="1:5">
      <c r="A9" t="str">
        <f>'Monthly Haver'!A12</f>
        <v>Aug-1999</v>
      </c>
      <c r="B9" s="18">
        <v>100.66160000000001</v>
      </c>
      <c r="C9" s="34">
        <v>98.8</v>
      </c>
      <c r="D9" s="18"/>
    </row>
    <row r="10" spans="1:5">
      <c r="A10" t="str">
        <f>'Monthly Haver'!A13</f>
        <v>Sep-1999</v>
      </c>
      <c r="B10" s="18">
        <v>100.7954</v>
      </c>
      <c r="C10" s="34">
        <v>98.59</v>
      </c>
      <c r="D10" s="18"/>
    </row>
    <row r="11" spans="1:5">
      <c r="A11" t="str">
        <f>'Monthly Haver'!A14</f>
        <v>Oct-1999</v>
      </c>
      <c r="B11" s="18">
        <v>100.9314</v>
      </c>
      <c r="C11" s="34">
        <v>99.03</v>
      </c>
      <c r="D11" s="18"/>
    </row>
    <row r="12" spans="1:5">
      <c r="A12" t="str">
        <f>'Monthly Haver'!A15</f>
        <v>Nov-1999</v>
      </c>
      <c r="B12" s="18">
        <v>101.0658</v>
      </c>
      <c r="C12" s="34">
        <v>100.26</v>
      </c>
      <c r="D12" s="18"/>
    </row>
    <row r="13" spans="1:5">
      <c r="A13" t="str">
        <f>'Monthly Haver'!A16</f>
        <v>Dec-1999</v>
      </c>
      <c r="B13" s="18">
        <v>101.1871</v>
      </c>
      <c r="C13" s="34">
        <v>100.67</v>
      </c>
      <c r="D13" s="18"/>
    </row>
    <row r="14" spans="1:5">
      <c r="A14" t="str">
        <f>'Monthly Haver'!A17</f>
        <v>Jan-2000</v>
      </c>
      <c r="B14" s="18">
        <v>101.2855</v>
      </c>
      <c r="C14" s="34">
        <v>100.84</v>
      </c>
      <c r="D14" s="18"/>
    </row>
    <row r="15" spans="1:5">
      <c r="A15" t="str">
        <f>'Monthly Haver'!A18</f>
        <v>Feb-2000</v>
      </c>
      <c r="B15" s="18">
        <v>101.343</v>
      </c>
      <c r="C15" s="34">
        <v>100.41</v>
      </c>
      <c r="D15" s="18"/>
    </row>
    <row r="16" spans="1:5">
      <c r="A16" t="str">
        <f>'Monthly Haver'!A19</f>
        <v>Mar-2000</v>
      </c>
      <c r="B16" s="18">
        <v>101.36060000000001</v>
      </c>
      <c r="C16" s="34">
        <v>101.06</v>
      </c>
      <c r="D16" s="18"/>
    </row>
    <row r="17" spans="1:4">
      <c r="A17" t="str">
        <f>'Monthly Haver'!A20</f>
        <v>Apr-2000</v>
      </c>
      <c r="B17" s="18">
        <v>101.3398</v>
      </c>
      <c r="C17" s="34">
        <v>101.16</v>
      </c>
      <c r="D17" s="18"/>
    </row>
    <row r="18" spans="1:4">
      <c r="A18" t="str">
        <f>'Monthly Haver'!A21</f>
        <v>May-2000</v>
      </c>
      <c r="B18" s="18">
        <v>101.2792</v>
      </c>
      <c r="C18" s="34">
        <v>100.53</v>
      </c>
      <c r="D18" s="18"/>
    </row>
    <row r="19" spans="1:4">
      <c r="A19" t="str">
        <f>'Monthly Haver'!A22</f>
        <v>Jun-2000</v>
      </c>
      <c r="B19" s="18">
        <v>101.1854</v>
      </c>
      <c r="C19" s="34">
        <v>100.36</v>
      </c>
      <c r="D19" s="18"/>
    </row>
    <row r="20" spans="1:4">
      <c r="A20" t="str">
        <f>'Monthly Haver'!A23</f>
        <v>Jul-2000</v>
      </c>
      <c r="B20" s="18">
        <v>101.06100000000001</v>
      </c>
      <c r="C20" s="34">
        <v>99.81</v>
      </c>
      <c r="D20" s="18"/>
    </row>
    <row r="21" spans="1:4">
      <c r="A21" t="str">
        <f>'Monthly Haver'!A24</f>
        <v>Aug-2000</v>
      </c>
      <c r="B21" s="18">
        <v>100.90819999999999</v>
      </c>
      <c r="C21" s="34">
        <v>99.36</v>
      </c>
      <c r="D21" s="18"/>
    </row>
    <row r="22" spans="1:4">
      <c r="A22" t="str">
        <f>'Monthly Haver'!A25</f>
        <v>Sep-2000</v>
      </c>
      <c r="B22" s="18">
        <v>100.7208</v>
      </c>
      <c r="C22" s="34">
        <v>99.81</v>
      </c>
      <c r="D22" s="18"/>
    </row>
    <row r="23" spans="1:4">
      <c r="A23" t="str">
        <f>'Monthly Haver'!A26</f>
        <v>Oct-2000</v>
      </c>
      <c r="B23" s="18">
        <v>100.49079999999999</v>
      </c>
      <c r="C23" s="34">
        <v>98.93</v>
      </c>
      <c r="D23" s="18"/>
    </row>
    <row r="24" spans="1:4">
      <c r="A24" t="str">
        <f>'Monthly Haver'!A27</f>
        <v>Nov-2000</v>
      </c>
      <c r="B24" s="18">
        <v>100.2229</v>
      </c>
      <c r="C24" s="34">
        <v>97.98</v>
      </c>
      <c r="D24" s="18"/>
    </row>
    <row r="25" spans="1:4">
      <c r="A25" t="str">
        <f>'Monthly Haver'!A28</f>
        <v>Dec-2000</v>
      </c>
      <c r="B25" s="18">
        <v>99.930340000000001</v>
      </c>
      <c r="C25" s="34">
        <v>96.4</v>
      </c>
      <c r="D25" s="18"/>
    </row>
    <row r="26" spans="1:4">
      <c r="A26" t="str">
        <f>'Monthly Haver'!A29</f>
        <v>Jan-2001</v>
      </c>
      <c r="B26" s="18">
        <v>99.646379999999994</v>
      </c>
      <c r="C26" s="34">
        <v>96.53</v>
      </c>
      <c r="D26" s="18"/>
    </row>
    <row r="27" spans="1:4">
      <c r="A27" t="str">
        <f>'Monthly Haver'!A30</f>
        <v>Feb-2001</v>
      </c>
      <c r="B27" s="18">
        <v>99.400149999999996</v>
      </c>
      <c r="C27" s="34">
        <v>95.49</v>
      </c>
      <c r="D27" s="18"/>
    </row>
    <row r="28" spans="1:4">
      <c r="A28" t="str">
        <f>'Monthly Haver'!A31</f>
        <v>Mar-2001</v>
      </c>
      <c r="B28" s="18">
        <v>99.20429</v>
      </c>
      <c r="C28" s="34">
        <v>94.09</v>
      </c>
      <c r="D28" s="18"/>
    </row>
    <row r="29" spans="1:4">
      <c r="A29" t="str">
        <f>'Monthly Haver'!A32</f>
        <v>Apr-2001</v>
      </c>
      <c r="B29" s="18">
        <v>99.056690000000003</v>
      </c>
      <c r="C29" s="34">
        <v>93.48</v>
      </c>
      <c r="D29" s="18"/>
    </row>
    <row r="30" spans="1:4">
      <c r="A30" t="str">
        <f>'Monthly Haver'!A33</f>
        <v>May-2001</v>
      </c>
      <c r="B30" s="18">
        <v>98.947450000000003</v>
      </c>
      <c r="C30" s="34">
        <v>93.87</v>
      </c>
      <c r="D30" s="18"/>
    </row>
    <row r="31" spans="1:4">
      <c r="A31" t="str">
        <f>'Monthly Haver'!A34</f>
        <v>Jun-2001</v>
      </c>
      <c r="B31" s="18">
        <v>98.852500000000006</v>
      </c>
      <c r="C31" s="34">
        <v>93.61</v>
      </c>
      <c r="D31" s="18"/>
    </row>
    <row r="32" spans="1:4">
      <c r="A32" t="str">
        <f>'Monthly Haver'!A35</f>
        <v>Jul-2001</v>
      </c>
      <c r="B32" s="18">
        <v>98.765150000000006</v>
      </c>
      <c r="C32" s="34">
        <v>93.36</v>
      </c>
      <c r="D32" s="18"/>
    </row>
    <row r="33" spans="1:4">
      <c r="A33" t="str">
        <f>'Monthly Haver'!A36</f>
        <v>Aug-2001</v>
      </c>
      <c r="B33" s="18">
        <v>98.685460000000006</v>
      </c>
      <c r="C33" s="34">
        <v>93.24</v>
      </c>
      <c r="D33" s="18"/>
    </row>
    <row r="34" spans="1:4">
      <c r="A34" t="str">
        <f>'Monthly Haver'!A37</f>
        <v>Sep-2001</v>
      </c>
      <c r="B34" s="18">
        <v>98.629890000000003</v>
      </c>
      <c r="C34" s="34">
        <v>91.9</v>
      </c>
      <c r="D34" s="18"/>
    </row>
    <row r="35" spans="1:4">
      <c r="A35" t="str">
        <f>'Monthly Haver'!A38</f>
        <v>Oct-2001</v>
      </c>
      <c r="B35" s="18">
        <v>98.642160000000004</v>
      </c>
      <c r="C35" s="34">
        <v>91.22</v>
      </c>
      <c r="D35" s="18"/>
    </row>
    <row r="36" spans="1:4">
      <c r="A36" t="str">
        <f>'Monthly Haver'!A39</f>
        <v>Nov-2001</v>
      </c>
      <c r="B36" s="18">
        <v>98.743030000000005</v>
      </c>
      <c r="C36" s="34">
        <v>92.02</v>
      </c>
      <c r="D36" s="18"/>
    </row>
    <row r="37" spans="1:4">
      <c r="A37" t="str">
        <f>'Monthly Haver'!A40</f>
        <v>Dec-2001</v>
      </c>
      <c r="B37" s="18">
        <v>98.920910000000006</v>
      </c>
      <c r="C37" s="34">
        <v>92.66</v>
      </c>
      <c r="D37" s="18"/>
    </row>
    <row r="38" spans="1:4">
      <c r="A38" t="str">
        <f>'Monthly Haver'!A41</f>
        <v>Jan-2002</v>
      </c>
      <c r="B38" s="18">
        <v>99.138570000000001</v>
      </c>
      <c r="C38" s="34">
        <v>93.56</v>
      </c>
      <c r="D38" s="18"/>
    </row>
    <row r="39" spans="1:4">
      <c r="A39" t="str">
        <f>'Monthly Haver'!A42</f>
        <v>Feb-2002</v>
      </c>
      <c r="B39" s="18">
        <v>99.355540000000005</v>
      </c>
      <c r="C39" s="34">
        <v>93.85</v>
      </c>
      <c r="D39" s="18"/>
    </row>
    <row r="40" spans="1:4">
      <c r="A40" t="str">
        <f>'Monthly Haver'!A43</f>
        <v>Mar-2002</v>
      </c>
      <c r="B40" s="18">
        <v>99.524640000000005</v>
      </c>
      <c r="C40" s="34">
        <v>94.79</v>
      </c>
      <c r="D40" s="18"/>
    </row>
    <row r="41" spans="1:4">
      <c r="A41" t="str">
        <f>'Monthly Haver'!A44</f>
        <v>Apr-2002</v>
      </c>
      <c r="B41" s="18">
        <v>99.605239999999995</v>
      </c>
      <c r="C41" s="34">
        <v>95.37</v>
      </c>
      <c r="D41" s="18"/>
    </row>
    <row r="42" spans="1:4">
      <c r="A42" t="str">
        <f>'Monthly Haver'!A45</f>
        <v>May-2002</v>
      </c>
      <c r="B42" s="18">
        <v>99.588710000000006</v>
      </c>
      <c r="C42" s="34">
        <v>96.3</v>
      </c>
      <c r="D42" s="18"/>
    </row>
    <row r="43" spans="1:4">
      <c r="A43" t="str">
        <f>'Monthly Haver'!A46</f>
        <v>Jun-2002</v>
      </c>
      <c r="B43" s="18">
        <v>99.490499999999997</v>
      </c>
      <c r="C43" s="34">
        <v>96.57</v>
      </c>
      <c r="D43" s="18"/>
    </row>
    <row r="44" spans="1:4">
      <c r="A44" t="str">
        <f>'Monthly Haver'!A47</f>
        <v>Jul-2002</v>
      </c>
      <c r="B44" s="18">
        <v>99.343699999999998</v>
      </c>
      <c r="C44" s="34">
        <v>95.72</v>
      </c>
      <c r="D44" s="18"/>
    </row>
    <row r="45" spans="1:4">
      <c r="A45" t="str">
        <f>'Monthly Haver'!A48</f>
        <v>Aug-2002</v>
      </c>
      <c r="B45" s="18">
        <v>99.182810000000003</v>
      </c>
      <c r="C45" s="34">
        <v>95.41</v>
      </c>
      <c r="D45" s="18"/>
    </row>
    <row r="46" spans="1:4">
      <c r="A46" t="str">
        <f>'Monthly Haver'!A49</f>
        <v>Sep-2002</v>
      </c>
      <c r="B46" s="18">
        <v>99.029420000000002</v>
      </c>
      <c r="C46" s="34">
        <v>94.97</v>
      </c>
      <c r="D46" s="18"/>
    </row>
    <row r="47" spans="1:4">
      <c r="A47" t="str">
        <f>'Monthly Haver'!A50</f>
        <v>Oct-2002</v>
      </c>
      <c r="B47" s="18">
        <v>98.897120000000001</v>
      </c>
      <c r="C47" s="34">
        <v>94.37</v>
      </c>
      <c r="D47" s="18"/>
    </row>
    <row r="48" spans="1:4">
      <c r="A48" t="str">
        <f>'Monthly Haver'!A51</f>
        <v>Nov-2002</v>
      </c>
      <c r="B48" s="18">
        <v>98.789940000000001</v>
      </c>
      <c r="C48" s="34">
        <v>95.19</v>
      </c>
      <c r="D48" s="18"/>
    </row>
    <row r="49" spans="1:4">
      <c r="A49" t="str">
        <f>'Monthly Haver'!A52</f>
        <v>Dec-2002</v>
      </c>
      <c r="B49" s="18">
        <v>98.69359</v>
      </c>
      <c r="C49" s="34">
        <v>95.46</v>
      </c>
      <c r="D49" s="18"/>
    </row>
    <row r="50" spans="1:4">
      <c r="A50" t="str">
        <f>'Monthly Haver'!A53</f>
        <v>Jan-2003</v>
      </c>
      <c r="B50" s="18">
        <v>98.602159999999998</v>
      </c>
      <c r="C50" s="34">
        <v>95.87</v>
      </c>
      <c r="D50" s="18"/>
    </row>
    <row r="51" spans="1:4">
      <c r="A51" t="str">
        <f>'Monthly Haver'!A54</f>
        <v>Feb-2003</v>
      </c>
      <c r="B51" s="18">
        <v>98.530929999999998</v>
      </c>
      <c r="C51" s="34">
        <v>95.57</v>
      </c>
      <c r="D51" s="18"/>
    </row>
    <row r="52" spans="1:4">
      <c r="A52" t="str">
        <f>'Monthly Haver'!A55</f>
        <v>Mar-2003</v>
      </c>
      <c r="B52" s="18">
        <v>98.511899999999997</v>
      </c>
      <c r="C52" s="34">
        <v>95.54</v>
      </c>
      <c r="D52" s="18"/>
    </row>
    <row r="53" spans="1:4">
      <c r="A53" t="str">
        <f>'Monthly Haver'!A56</f>
        <v>Apr-2003</v>
      </c>
      <c r="B53" s="18">
        <v>98.570509999999999</v>
      </c>
      <c r="C53" s="34">
        <v>95.72</v>
      </c>
      <c r="D53" s="18"/>
    </row>
    <row r="54" spans="1:4">
      <c r="A54" t="str">
        <f>'Monthly Haver'!A57</f>
        <v>May-2003</v>
      </c>
      <c r="B54" s="18">
        <v>98.697940000000003</v>
      </c>
      <c r="C54" s="34">
        <v>96.46</v>
      </c>
      <c r="D54" s="18"/>
    </row>
    <row r="55" spans="1:4">
      <c r="A55" t="str">
        <f>'Monthly Haver'!A58</f>
        <v>Jun-2003</v>
      </c>
      <c r="B55" s="18">
        <v>98.883380000000002</v>
      </c>
      <c r="C55" s="34">
        <v>97.21</v>
      </c>
      <c r="D55" s="18"/>
    </row>
    <row r="56" spans="1:4">
      <c r="A56" t="str">
        <f>'Monthly Haver'!A59</f>
        <v>Jul-2003</v>
      </c>
      <c r="B56" s="18">
        <v>99.111429999999999</v>
      </c>
      <c r="C56" s="34">
        <v>98.07</v>
      </c>
      <c r="D56" s="18"/>
    </row>
    <row r="57" spans="1:4">
      <c r="A57" t="str">
        <f>'Monthly Haver'!A60</f>
        <v>Aug-2003</v>
      </c>
      <c r="B57" s="18">
        <v>99.364850000000004</v>
      </c>
      <c r="C57" s="34">
        <v>98.52</v>
      </c>
      <c r="D57" s="18"/>
    </row>
    <row r="58" spans="1:4">
      <c r="A58" t="str">
        <f>'Monthly Haver'!A61</f>
        <v>Sep-2003</v>
      </c>
      <c r="B58" s="18">
        <v>99.631919999999994</v>
      </c>
      <c r="C58" s="34">
        <v>99.58</v>
      </c>
      <c r="D58" s="18"/>
    </row>
    <row r="59" spans="1:4">
      <c r="A59" t="str">
        <f>'Monthly Haver'!A62</f>
        <v>Oct-2003</v>
      </c>
      <c r="B59" s="18">
        <v>99.892169999999993</v>
      </c>
      <c r="C59" s="34">
        <v>100.42</v>
      </c>
      <c r="D59" s="18"/>
    </row>
    <row r="60" spans="1:4">
      <c r="A60" t="str">
        <f>'Monthly Haver'!A63</f>
        <v>Nov-2003</v>
      </c>
      <c r="B60" s="18">
        <v>100.1242</v>
      </c>
      <c r="C60" s="34">
        <v>101.38</v>
      </c>
      <c r="D60" s="18"/>
    </row>
    <row r="61" spans="1:4">
      <c r="A61" t="str">
        <f>'Monthly Haver'!A64</f>
        <v>Dec-2003</v>
      </c>
      <c r="B61" s="18">
        <v>100.31359999999999</v>
      </c>
      <c r="C61" s="34">
        <v>101.94</v>
      </c>
      <c r="D61" s="18"/>
    </row>
    <row r="62" spans="1:4">
      <c r="A62" t="str">
        <f>'Monthly Haver'!A65</f>
        <v>Jan-2004</v>
      </c>
      <c r="B62" s="18">
        <v>100.45359999999999</v>
      </c>
      <c r="C62" s="34">
        <v>102.69</v>
      </c>
      <c r="D62" s="18"/>
    </row>
    <row r="63" spans="1:4">
      <c r="A63" t="str">
        <f>'Monthly Haver'!A66</f>
        <v>Feb-2004</v>
      </c>
      <c r="B63" s="18">
        <v>100.54</v>
      </c>
      <c r="C63" s="34">
        <v>103.43</v>
      </c>
      <c r="D63" s="18"/>
    </row>
    <row r="64" spans="1:4">
      <c r="A64" t="str">
        <f>'Monthly Haver'!A67</f>
        <v>Mar-2004</v>
      </c>
      <c r="B64" s="18">
        <v>100.5782</v>
      </c>
      <c r="C64" s="34">
        <v>104.3</v>
      </c>
      <c r="D64" s="18"/>
    </row>
    <row r="65" spans="1:4">
      <c r="A65" t="str">
        <f>'Monthly Haver'!A68</f>
        <v>Apr-2004</v>
      </c>
      <c r="B65" s="18">
        <v>100.58</v>
      </c>
      <c r="C65" s="34">
        <v>104.5</v>
      </c>
      <c r="D65" s="18"/>
    </row>
    <row r="66" spans="1:4">
      <c r="A66" t="str">
        <f>'Monthly Haver'!A69</f>
        <v>May-2004</v>
      </c>
      <c r="B66" s="18">
        <v>100.55759999999999</v>
      </c>
      <c r="C66" s="34">
        <v>104.98</v>
      </c>
      <c r="D66" s="18"/>
    </row>
    <row r="67" spans="1:4">
      <c r="A67" t="str">
        <f>'Monthly Haver'!A70</f>
        <v>Jun-2004</v>
      </c>
      <c r="B67" s="18">
        <v>100.52079999999999</v>
      </c>
      <c r="C67" s="34">
        <v>104.79</v>
      </c>
      <c r="D67" s="18"/>
    </row>
    <row r="68" spans="1:4">
      <c r="A68" t="str">
        <f>'Monthly Haver'!A71</f>
        <v>Jul-2004</v>
      </c>
      <c r="B68" s="18">
        <v>100.47410000000001</v>
      </c>
      <c r="C68" s="34">
        <v>105.31</v>
      </c>
      <c r="D68" s="18"/>
    </row>
    <row r="69" spans="1:4">
      <c r="A69" t="str">
        <f>'Monthly Haver'!A72</f>
        <v>Aug-2004</v>
      </c>
      <c r="B69" s="18">
        <v>100.4233</v>
      </c>
      <c r="C69" s="34">
        <v>105.7</v>
      </c>
      <c r="D69" s="18"/>
    </row>
    <row r="70" spans="1:4">
      <c r="A70" t="str">
        <f>'Monthly Haver'!A73</f>
        <v>Sep-2004</v>
      </c>
      <c r="B70" s="18">
        <v>100.3836</v>
      </c>
      <c r="C70" s="34">
        <v>106.32</v>
      </c>
      <c r="D70" s="18"/>
    </row>
    <row r="71" spans="1:4">
      <c r="A71" t="str">
        <f>'Monthly Haver'!A74</f>
        <v>Oct-2004</v>
      </c>
      <c r="B71" s="18">
        <v>100.355</v>
      </c>
      <c r="C71" s="34">
        <v>106.82</v>
      </c>
      <c r="D71" s="18"/>
    </row>
    <row r="72" spans="1:4">
      <c r="A72" t="str">
        <f>'Monthly Haver'!A75</f>
        <v>Nov-2004</v>
      </c>
      <c r="B72" s="18">
        <v>100.3344</v>
      </c>
      <c r="C72" s="34">
        <v>107.57</v>
      </c>
      <c r="D72" s="18"/>
    </row>
    <row r="73" spans="1:4">
      <c r="A73" t="str">
        <f>'Monthly Haver'!A76</f>
        <v>Dec-2004</v>
      </c>
      <c r="B73" s="18">
        <v>100.3081</v>
      </c>
      <c r="C73" s="34">
        <v>108.74</v>
      </c>
      <c r="D73" s="18"/>
    </row>
    <row r="74" spans="1:4">
      <c r="A74" t="str">
        <f>'Monthly Haver'!A77</f>
        <v>Jan-2005</v>
      </c>
      <c r="B74" s="18">
        <v>100.26309999999999</v>
      </c>
      <c r="C74" s="34">
        <v>108.18</v>
      </c>
      <c r="D74" s="18"/>
    </row>
    <row r="75" spans="1:4">
      <c r="A75" t="str">
        <f>'Monthly Haver'!A78</f>
        <v>Feb-2005</v>
      </c>
      <c r="B75" s="18">
        <v>100.19410000000001</v>
      </c>
      <c r="C75" s="34">
        <v>109.29</v>
      </c>
      <c r="D75" s="18"/>
    </row>
    <row r="76" spans="1:4">
      <c r="A76" t="str">
        <f>'Monthly Haver'!A79</f>
        <v>Mar-2005</v>
      </c>
      <c r="B76" s="18">
        <v>100.1153</v>
      </c>
      <c r="C76" s="34">
        <v>109.48</v>
      </c>
      <c r="D76" s="18"/>
    </row>
    <row r="77" spans="1:4">
      <c r="A77" t="str">
        <f>'Monthly Haver'!A80</f>
        <v>Apr-2005</v>
      </c>
      <c r="B77" s="18">
        <v>100.04859999999999</v>
      </c>
      <c r="C77" s="34">
        <v>109.43</v>
      </c>
      <c r="D77" s="18"/>
    </row>
    <row r="78" spans="1:4">
      <c r="A78" t="str">
        <f>'Monthly Haver'!A81</f>
        <v>May-2005</v>
      </c>
      <c r="B78" s="18">
        <v>100.0159</v>
      </c>
      <c r="C78" s="34">
        <v>108.73</v>
      </c>
      <c r="D78" s="18"/>
    </row>
    <row r="79" spans="1:4">
      <c r="A79" t="str">
        <f>'Monthly Haver'!A82</f>
        <v>Jun-2005</v>
      </c>
      <c r="B79" s="18">
        <v>100.0334</v>
      </c>
      <c r="C79" s="34">
        <v>109.08</v>
      </c>
      <c r="D79" s="18"/>
    </row>
    <row r="80" spans="1:4">
      <c r="A80" t="str">
        <f>'Monthly Haver'!A83</f>
        <v>Jul-2005</v>
      </c>
      <c r="B80" s="18">
        <v>100.09269999999999</v>
      </c>
      <c r="C80" s="34">
        <v>109.7</v>
      </c>
      <c r="D80" s="18"/>
    </row>
    <row r="81" spans="1:4">
      <c r="A81" t="str">
        <f>'Monthly Haver'!A84</f>
        <v>Aug-2005</v>
      </c>
      <c r="B81" s="18">
        <v>100.18389999999999</v>
      </c>
      <c r="C81" s="34">
        <v>109.84</v>
      </c>
      <c r="D81" s="18"/>
    </row>
    <row r="82" spans="1:4">
      <c r="A82" t="str">
        <f>'Monthly Haver'!A85</f>
        <v>Sep-2005</v>
      </c>
      <c r="B82" s="18">
        <v>100.30070000000001</v>
      </c>
      <c r="C82" s="34">
        <v>106.5</v>
      </c>
      <c r="D82" s="18"/>
    </row>
    <row r="83" spans="1:4">
      <c r="A83" t="str">
        <f>'Monthly Haver'!A86</f>
        <v>Oct-2005</v>
      </c>
      <c r="B83" s="18">
        <v>100.43940000000001</v>
      </c>
      <c r="C83" s="34">
        <v>107.37</v>
      </c>
      <c r="D83" s="18"/>
    </row>
    <row r="84" spans="1:4">
      <c r="A84" t="str">
        <f>'Monthly Haver'!A87</f>
        <v>Nov-2005</v>
      </c>
      <c r="B84" s="18">
        <v>100.5869</v>
      </c>
      <c r="C84" s="34">
        <v>109.05</v>
      </c>
      <c r="D84" s="18"/>
    </row>
    <row r="85" spans="1:4">
      <c r="A85" t="str">
        <f>'Monthly Haver'!A88</f>
        <v>Dec-2005</v>
      </c>
      <c r="B85" s="18">
        <v>100.72490000000001</v>
      </c>
      <c r="C85" s="34">
        <v>109.63</v>
      </c>
      <c r="D85" s="18"/>
    </row>
    <row r="86" spans="1:4">
      <c r="A86" t="str">
        <f>'Monthly Haver'!A89</f>
        <v>Jan-2006</v>
      </c>
      <c r="B86" s="18">
        <v>100.8428</v>
      </c>
      <c r="C86" s="34">
        <v>110.9</v>
      </c>
      <c r="D86" s="18"/>
    </row>
    <row r="87" spans="1:4">
      <c r="A87" t="str">
        <f>'Monthly Haver'!A90</f>
        <v>Feb-2006</v>
      </c>
      <c r="B87" s="18">
        <v>100.93559999999999</v>
      </c>
      <c r="C87" s="34">
        <v>110.82</v>
      </c>
      <c r="D87" s="18"/>
    </row>
    <row r="88" spans="1:4">
      <c r="A88" t="str">
        <f>'Monthly Haver'!A91</f>
        <v>Mar-2006</v>
      </c>
      <c r="B88" s="18">
        <v>101</v>
      </c>
      <c r="C88" s="34">
        <v>110.77</v>
      </c>
      <c r="D88" s="18"/>
    </row>
    <row r="89" spans="1:4">
      <c r="A89" t="str">
        <f>'Monthly Haver'!A92</f>
        <v>Apr-2006</v>
      </c>
      <c r="B89" s="18">
        <v>101.0325</v>
      </c>
      <c r="C89" s="34">
        <v>110.63</v>
      </c>
      <c r="D89" s="18"/>
    </row>
    <row r="90" spans="1:4">
      <c r="A90" t="str">
        <f>'Monthly Haver'!A93</f>
        <v>May-2006</v>
      </c>
      <c r="B90" s="18">
        <v>101.03660000000001</v>
      </c>
      <c r="C90" s="34">
        <v>110.54</v>
      </c>
      <c r="D90" s="18"/>
    </row>
    <row r="91" spans="1:4">
      <c r="A91" t="str">
        <f>'Monthly Haver'!A94</f>
        <v>Jun-2006</v>
      </c>
      <c r="B91" s="18">
        <v>101.03360000000001</v>
      </c>
      <c r="C91" s="34">
        <v>110.31</v>
      </c>
      <c r="D91" s="18"/>
    </row>
    <row r="92" spans="1:4">
      <c r="A92" t="str">
        <f>'Monthly Haver'!A95</f>
        <v>Jul-2006</v>
      </c>
      <c r="B92" s="18">
        <v>101.0407</v>
      </c>
      <c r="C92" s="34">
        <v>110.13</v>
      </c>
      <c r="D92" s="18"/>
    </row>
    <row r="93" spans="1:4">
      <c r="A93" t="str">
        <f>'Monthly Haver'!A96</f>
        <v>Aug-2006</v>
      </c>
      <c r="B93" s="18">
        <v>101.0753</v>
      </c>
      <c r="C93" s="34">
        <v>110.17</v>
      </c>
      <c r="D93" s="18"/>
    </row>
    <row r="94" spans="1:4">
      <c r="A94" t="str">
        <f>'Monthly Haver'!A97</f>
        <v>Sep-2006</v>
      </c>
      <c r="B94" s="18">
        <v>101.1386</v>
      </c>
      <c r="C94" s="34">
        <v>110.29</v>
      </c>
      <c r="D94" s="18"/>
    </row>
    <row r="95" spans="1:4">
      <c r="A95" t="str">
        <f>'Monthly Haver'!A98</f>
        <v>Oct-2006</v>
      </c>
      <c r="B95" s="18">
        <v>101.221</v>
      </c>
      <c r="C95" s="34">
        <v>110.32</v>
      </c>
      <c r="D95" s="18"/>
    </row>
    <row r="96" spans="1:4">
      <c r="A96" t="str">
        <f>'Monthly Haver'!A99</f>
        <v>Nov-2006</v>
      </c>
      <c r="B96" s="18">
        <v>101.3107</v>
      </c>
      <c r="C96" s="34">
        <v>110.62</v>
      </c>
      <c r="D96" s="18"/>
    </row>
    <row r="97" spans="1:4">
      <c r="A97" t="str">
        <f>'Monthly Haver'!A100</f>
        <v>Dec-2006</v>
      </c>
      <c r="B97" s="18">
        <v>101.3967</v>
      </c>
      <c r="C97" s="34">
        <v>111.76</v>
      </c>
      <c r="D97" s="18"/>
    </row>
    <row r="98" spans="1:4">
      <c r="A98" t="str">
        <f>'Monthly Haver'!A101</f>
        <v>Jan-2007</v>
      </c>
      <c r="B98" s="18">
        <v>101.4687</v>
      </c>
      <c r="C98" s="34">
        <v>112</v>
      </c>
      <c r="D98" s="18"/>
    </row>
    <row r="99" spans="1:4">
      <c r="A99" t="str">
        <f>'Monthly Haver'!A102</f>
        <v>Feb-2007</v>
      </c>
      <c r="B99" s="18">
        <v>101.5292</v>
      </c>
      <c r="C99" s="34">
        <v>112.16</v>
      </c>
      <c r="D99" s="18"/>
    </row>
    <row r="100" spans="1:4">
      <c r="A100" t="str">
        <f>'Monthly Haver'!A103</f>
        <v>Mar-2007</v>
      </c>
      <c r="B100" s="18">
        <v>101.57940000000001</v>
      </c>
      <c r="C100" s="34">
        <v>112.98</v>
      </c>
      <c r="D100" s="18"/>
    </row>
    <row r="101" spans="1:4">
      <c r="A101" t="str">
        <f>'Monthly Haver'!A104</f>
        <v>Apr-2007</v>
      </c>
      <c r="B101" s="18">
        <v>101.6194</v>
      </c>
      <c r="C101" s="34">
        <v>113.25</v>
      </c>
      <c r="D101" s="18"/>
    </row>
    <row r="102" spans="1:4">
      <c r="A102" t="str">
        <f>'Monthly Haver'!A105</f>
        <v>May-2007</v>
      </c>
      <c r="B102" s="18">
        <v>101.6468</v>
      </c>
      <c r="C102" s="34">
        <v>113.72</v>
      </c>
      <c r="D102" s="18"/>
    </row>
    <row r="103" spans="1:4">
      <c r="A103" t="str">
        <f>'Monthly Haver'!A106</f>
        <v>Jun-2007</v>
      </c>
      <c r="B103" s="18">
        <v>101.6514</v>
      </c>
      <c r="C103" s="34">
        <v>113.7</v>
      </c>
      <c r="D103" s="18"/>
    </row>
    <row r="104" spans="1:4">
      <c r="A104" t="str">
        <f>'Monthly Haver'!A107</f>
        <v>Jul-2007</v>
      </c>
      <c r="B104" s="18">
        <v>101.6263</v>
      </c>
      <c r="C104" s="34">
        <v>113.58</v>
      </c>
      <c r="D104" s="18"/>
    </row>
    <row r="105" spans="1:4">
      <c r="A105" t="str">
        <f>'Monthly Haver'!A108</f>
        <v>Aug-2007</v>
      </c>
      <c r="B105" s="18">
        <v>101.5697</v>
      </c>
      <c r="C105" s="34">
        <v>112.5</v>
      </c>
      <c r="D105" s="18"/>
    </row>
    <row r="106" spans="1:4">
      <c r="A106" t="str">
        <f>'Monthly Haver'!A109</f>
        <v>Sep-2007</v>
      </c>
      <c r="B106" s="18">
        <v>101.49250000000001</v>
      </c>
      <c r="C106" s="34">
        <v>112.47</v>
      </c>
      <c r="D106" s="18"/>
    </row>
    <row r="107" spans="1:4">
      <c r="A107" t="str">
        <f>'Monthly Haver'!A110</f>
        <v>Oct-2007</v>
      </c>
      <c r="B107" s="18">
        <v>101.4054</v>
      </c>
      <c r="C107" s="34">
        <v>112</v>
      </c>
      <c r="D107" s="18"/>
    </row>
    <row r="108" spans="1:4">
      <c r="A108" t="str">
        <f>'Monthly Haver'!A111</f>
        <v>Nov-2007</v>
      </c>
      <c r="B108" s="18">
        <v>101.30840000000001</v>
      </c>
      <c r="C108" s="34">
        <v>111.49</v>
      </c>
      <c r="D108" s="18"/>
    </row>
    <row r="109" spans="1:4">
      <c r="A109" t="str">
        <f>'Monthly Haver'!A112</f>
        <v>Dec-2007</v>
      </c>
      <c r="B109" s="18">
        <v>101.2028</v>
      </c>
      <c r="C109" s="34">
        <v>110.37</v>
      </c>
      <c r="D109" s="18"/>
    </row>
    <row r="110" spans="1:4">
      <c r="A110" t="str">
        <f>'Monthly Haver'!A113</f>
        <v>Jan-2008</v>
      </c>
      <c r="B110" s="18">
        <v>101.0804</v>
      </c>
      <c r="C110" s="34">
        <v>108.92</v>
      </c>
      <c r="D110" s="18"/>
    </row>
    <row r="111" spans="1:4">
      <c r="A111" t="str">
        <f>'Monthly Haver'!A114</f>
        <v>Feb-2008</v>
      </c>
      <c r="B111" s="18">
        <v>100.9211</v>
      </c>
      <c r="C111" s="34">
        <v>107.63</v>
      </c>
      <c r="D111" s="18"/>
    </row>
    <row r="112" spans="1:4">
      <c r="A112" t="str">
        <f>'Monthly Haver'!A115</f>
        <v>Mar-2008</v>
      </c>
      <c r="B112" s="18">
        <v>100.71810000000001</v>
      </c>
      <c r="C112" s="34">
        <v>106.46</v>
      </c>
      <c r="D112" s="18"/>
    </row>
    <row r="113" spans="1:4">
      <c r="A113" t="str">
        <f>'Monthly Haver'!A116</f>
        <v>Apr-2008</v>
      </c>
      <c r="B113" s="18">
        <v>100.4662</v>
      </c>
      <c r="C113" s="34">
        <v>106.05</v>
      </c>
      <c r="D113" s="18"/>
    </row>
    <row r="114" spans="1:4">
      <c r="A114" t="str">
        <f>'Monthly Haver'!A117</f>
        <v>May-2008</v>
      </c>
      <c r="B114" s="18">
        <v>100.154</v>
      </c>
      <c r="C114" s="34">
        <v>105.69</v>
      </c>
      <c r="D114" s="18"/>
    </row>
    <row r="115" spans="1:4">
      <c r="A115" t="str">
        <f>'Monthly Haver'!A118</f>
        <v>Jun-2008</v>
      </c>
      <c r="B115" s="18">
        <v>99.768230000000003</v>
      </c>
      <c r="C115" s="34">
        <v>104.77</v>
      </c>
      <c r="D115" s="18"/>
    </row>
    <row r="116" spans="1:4">
      <c r="A116" t="str">
        <f>'Monthly Haver'!A119</f>
        <v>Jul-2008</v>
      </c>
      <c r="B116" s="18">
        <v>99.290980000000005</v>
      </c>
      <c r="C116" s="34">
        <v>102.81</v>
      </c>
      <c r="D116" s="18"/>
    </row>
    <row r="117" spans="1:4">
      <c r="A117" t="str">
        <f>'Monthly Haver'!A120</f>
        <v>Aug-2008</v>
      </c>
      <c r="B117" s="18">
        <v>98.711330000000004</v>
      </c>
      <c r="C117" s="34">
        <v>100.75</v>
      </c>
      <c r="D117" s="18"/>
    </row>
    <row r="118" spans="1:4">
      <c r="A118" t="str">
        <f>'Monthly Haver'!A121</f>
        <v>Sep-2008</v>
      </c>
      <c r="B118" s="18">
        <v>98.036019999999994</v>
      </c>
      <c r="C118" s="34">
        <v>95.96</v>
      </c>
      <c r="D118" s="18"/>
    </row>
    <row r="119" spans="1:4">
      <c r="A119" t="str">
        <f>'Monthly Haver'!A122</f>
        <v>Oct-2008</v>
      </c>
      <c r="B119" s="18">
        <v>97.310040000000001</v>
      </c>
      <c r="C119" s="34">
        <v>94.67</v>
      </c>
      <c r="D119" s="18"/>
    </row>
    <row r="120" spans="1:4">
      <c r="A120" t="str">
        <f>'Monthly Haver'!A123</f>
        <v>Nov-2008</v>
      </c>
      <c r="B120" s="18">
        <v>96.628969999999995</v>
      </c>
      <c r="C120" s="34">
        <v>90.74</v>
      </c>
      <c r="D120" s="18"/>
    </row>
    <row r="121" spans="1:4">
      <c r="A121" t="str">
        <f>'Monthly Haver'!A124</f>
        <v>Dec-2008</v>
      </c>
      <c r="B121" s="18">
        <v>96.083500000000001</v>
      </c>
      <c r="C121" s="34">
        <v>87.89</v>
      </c>
      <c r="D121" s="18"/>
    </row>
    <row r="122" spans="1:4">
      <c r="A122" t="str">
        <f>'Monthly Haver'!A125</f>
        <v>Jan-2009</v>
      </c>
      <c r="B122" s="18">
        <v>95.729100000000003</v>
      </c>
      <c r="C122" s="34">
        <v>87.57</v>
      </c>
      <c r="D122" s="18"/>
    </row>
    <row r="123" spans="1:4">
      <c r="A123" t="str">
        <f>'Monthly Haver'!A126</f>
        <v>Feb-2009</v>
      </c>
      <c r="B123" s="18">
        <v>95.59872</v>
      </c>
      <c r="C123" s="34">
        <v>86.81</v>
      </c>
      <c r="D123" s="18"/>
    </row>
    <row r="124" spans="1:4">
      <c r="A124" t="str">
        <f>'Monthly Haver'!A127</f>
        <v>Mar-2009</v>
      </c>
      <c r="B124" s="18">
        <v>95.705460000000002</v>
      </c>
      <c r="C124" s="34">
        <v>85.67</v>
      </c>
      <c r="D124" s="18"/>
    </row>
    <row r="125" spans="1:4">
      <c r="A125" t="str">
        <f>'Monthly Haver'!A128</f>
        <v>Apr-2009</v>
      </c>
      <c r="B125" s="18">
        <v>96.029359999999997</v>
      </c>
      <c r="C125" s="34">
        <v>86.96</v>
      </c>
      <c r="D125" s="18"/>
    </row>
    <row r="126" spans="1:4">
      <c r="A126" t="str">
        <f>'Monthly Haver'!A129</f>
        <v>May-2009</v>
      </c>
      <c r="B126" s="18">
        <v>96.500960000000006</v>
      </c>
      <c r="C126" s="34">
        <v>88.3</v>
      </c>
      <c r="D126" s="18"/>
    </row>
    <row r="127" spans="1:4">
      <c r="A127" t="str">
        <f>'Monthly Haver'!A130</f>
        <v>Jun-2009</v>
      </c>
      <c r="B127" s="18">
        <v>97.05444</v>
      </c>
      <c r="C127" s="34">
        <v>89.92</v>
      </c>
      <c r="D127" s="18"/>
    </row>
    <row r="128" spans="1:4">
      <c r="A128" t="str">
        <f>'Monthly Haver'!A131</f>
        <v>Jul-2009</v>
      </c>
      <c r="B128" s="18">
        <v>97.633219999999994</v>
      </c>
      <c r="C128" s="34">
        <v>91.11</v>
      </c>
      <c r="D128" s="18"/>
    </row>
    <row r="129" spans="1:4">
      <c r="A129" t="str">
        <f>'Monthly Haver'!A132</f>
        <v>Aug-2009</v>
      </c>
      <c r="B129" s="18">
        <v>98.191410000000005</v>
      </c>
      <c r="C129" s="34">
        <v>93.06</v>
      </c>
      <c r="D129" s="18"/>
    </row>
    <row r="130" spans="1:4">
      <c r="A130" t="str">
        <f>'Monthly Haver'!A133</f>
        <v>Sep-2009</v>
      </c>
      <c r="B130" s="18">
        <v>98.699209999999994</v>
      </c>
      <c r="C130" s="34">
        <v>94.05</v>
      </c>
      <c r="D130" s="18"/>
    </row>
    <row r="131" spans="1:4">
      <c r="A131" t="str">
        <f>'Monthly Haver'!A134</f>
        <v>Oct-2009</v>
      </c>
      <c r="B131" s="18">
        <v>99.134770000000003</v>
      </c>
      <c r="C131" s="34">
        <v>94.89</v>
      </c>
      <c r="D131" s="18"/>
    </row>
    <row r="132" spans="1:4">
      <c r="A132" t="str">
        <f>'Monthly Haver'!A135</f>
        <v>Nov-2009</v>
      </c>
      <c r="B132" s="18">
        <v>99.496830000000003</v>
      </c>
      <c r="C132" s="34">
        <v>95.75</v>
      </c>
      <c r="D132" s="18"/>
    </row>
    <row r="133" spans="1:4">
      <c r="A133" t="str">
        <f>'Monthly Haver'!A136</f>
        <v>Dec-2009</v>
      </c>
      <c r="B133" s="18">
        <v>99.796040000000005</v>
      </c>
      <c r="C133" s="34">
        <v>96.4</v>
      </c>
      <c r="D133" s="18"/>
    </row>
    <row r="134" spans="1:4">
      <c r="A134" t="str">
        <f>'Monthly Haver'!A137</f>
        <v>Jan-2010</v>
      </c>
      <c r="B134" s="18">
        <v>100.0352</v>
      </c>
      <c r="C134" s="34">
        <v>97.21</v>
      </c>
      <c r="D134" s="18"/>
    </row>
    <row r="135" spans="1:4">
      <c r="A135" t="str">
        <f>'Monthly Haver'!A138</f>
        <v>Feb-2010</v>
      </c>
      <c r="B135" s="18">
        <v>100.2148</v>
      </c>
      <c r="C135" s="34">
        <v>96.75</v>
      </c>
      <c r="D135" s="18"/>
    </row>
    <row r="136" spans="1:4">
      <c r="A136" t="str">
        <f>'Monthly Haver'!A139</f>
        <v>Mar-2010</v>
      </c>
      <c r="B136" s="18">
        <v>100.3434</v>
      </c>
      <c r="C136" s="34">
        <v>98.2</v>
      </c>
      <c r="D136" s="18"/>
    </row>
    <row r="137" spans="1:4">
      <c r="A137" t="str">
        <f>'Monthly Haver'!A140</f>
        <v>Apr-2010</v>
      </c>
      <c r="B137" s="18">
        <v>100.4171</v>
      </c>
      <c r="C137" s="34">
        <v>99.14</v>
      </c>
      <c r="D137" s="18"/>
    </row>
    <row r="138" spans="1:4">
      <c r="A138" t="str">
        <f>'Monthly Haver'!A141</f>
        <v>May-2010</v>
      </c>
      <c r="B138" s="18">
        <v>100.4408</v>
      </c>
      <c r="C138" s="34">
        <v>98.12</v>
      </c>
      <c r="D138" s="18"/>
    </row>
    <row r="139" spans="1:4">
      <c r="A139" t="str">
        <f>'Monthly Haver'!A142</f>
        <v>Jun-2010</v>
      </c>
      <c r="B139" s="18">
        <v>100.4396</v>
      </c>
      <c r="C139" s="34">
        <v>97.32</v>
      </c>
      <c r="D139" s="18"/>
    </row>
    <row r="140" spans="1:4">
      <c r="A140" t="str">
        <f>'Monthly Haver'!A143</f>
        <v>Jul-2010</v>
      </c>
      <c r="B140" s="18">
        <v>100.4439</v>
      </c>
      <c r="C140" s="34">
        <v>97.11</v>
      </c>
      <c r="D140" s="18"/>
    </row>
    <row r="141" spans="1:4">
      <c r="A141" t="str">
        <f>'Monthly Haver'!A144</f>
        <v>Aug-2010</v>
      </c>
      <c r="B141" s="18">
        <v>100.4761</v>
      </c>
      <c r="C141" s="34">
        <v>97.23</v>
      </c>
      <c r="D141" s="18"/>
    </row>
    <row r="142" spans="1:4">
      <c r="A142" t="str">
        <f>'Monthly Haver'!A145</f>
        <v>Sep-2010</v>
      </c>
      <c r="B142" s="18">
        <v>100.5381</v>
      </c>
      <c r="C142" s="34">
        <v>97.87</v>
      </c>
      <c r="D142" s="18"/>
    </row>
    <row r="143" spans="1:4">
      <c r="A143" t="str">
        <f>'Monthly Haver'!A146</f>
        <v>Oct-2010</v>
      </c>
      <c r="B143" s="18">
        <v>100.62050000000001</v>
      </c>
      <c r="C143" s="34">
        <v>97.64</v>
      </c>
      <c r="D143" s="18"/>
    </row>
    <row r="144" spans="1:4">
      <c r="A144" t="str">
        <f>'Monthly Haver'!A147</f>
        <v>Nov-2010</v>
      </c>
      <c r="B144" s="18">
        <v>100.7135</v>
      </c>
      <c r="C144" s="34">
        <v>98.46</v>
      </c>
      <c r="D144" s="18"/>
    </row>
    <row r="145" spans="1:4">
      <c r="A145" t="str">
        <f>'Monthly Haver'!A148</f>
        <v>Dec-2010</v>
      </c>
      <c r="B145" s="18">
        <v>100.797</v>
      </c>
      <c r="C145" s="34">
        <v>99.93</v>
      </c>
      <c r="D145" s="18"/>
    </row>
    <row r="146" spans="1:4">
      <c r="A146" t="str">
        <f>'Monthly Haver'!A149</f>
        <v>Jan-2011</v>
      </c>
      <c r="B146" s="18">
        <v>100.8498</v>
      </c>
      <c r="C146" s="34">
        <v>99.81</v>
      </c>
      <c r="D146" s="18"/>
    </row>
    <row r="147" spans="1:4">
      <c r="A147" t="str">
        <f>'Monthly Haver'!A150</f>
        <v>Feb-2011</v>
      </c>
      <c r="B147" s="18">
        <v>100.84650000000001</v>
      </c>
      <c r="C147" s="34">
        <v>100.15</v>
      </c>
      <c r="D147" s="18"/>
    </row>
    <row r="148" spans="1:4">
      <c r="A148" t="str">
        <f>'Monthly Haver'!A151</f>
        <v>Mar-2011</v>
      </c>
      <c r="B148" s="18">
        <v>100.7765</v>
      </c>
      <c r="C148" s="34">
        <v>101.22</v>
      </c>
      <c r="D148" s="18"/>
    </row>
    <row r="149" spans="1:4">
      <c r="A149" t="str">
        <f>'Monthly Haver'!A152</f>
        <v>Apr-2011</v>
      </c>
      <c r="B149" s="18">
        <v>100.6439</v>
      </c>
      <c r="C149" s="34">
        <v>100.93</v>
      </c>
      <c r="D149" s="18"/>
    </row>
    <row r="150" spans="1:4">
      <c r="A150" t="str">
        <f>'Monthly Haver'!A153</f>
        <v>May-2011</v>
      </c>
      <c r="B150" s="18">
        <v>100.45820000000001</v>
      </c>
      <c r="C150" s="34">
        <v>100.69</v>
      </c>
      <c r="D150" s="18"/>
    </row>
    <row r="151" spans="1:4">
      <c r="A151" t="str">
        <f>'Monthly Haver'!A154</f>
        <v>Jun-2011</v>
      </c>
      <c r="B151" s="18">
        <v>100.2396</v>
      </c>
      <c r="C151" s="34">
        <v>100.38</v>
      </c>
      <c r="D151" s="18"/>
    </row>
    <row r="152" spans="1:4">
      <c r="A152" t="str">
        <f>'Monthly Haver'!A155</f>
        <v>Jul-2011</v>
      </c>
      <c r="B152" s="18">
        <v>100.0121</v>
      </c>
      <c r="C152" s="34">
        <v>100.81</v>
      </c>
      <c r="D152" s="18"/>
    </row>
    <row r="153" spans="1:4">
      <c r="A153" t="str">
        <f>'Monthly Haver'!A156</f>
        <v>Aug-2011</v>
      </c>
      <c r="B153" s="18">
        <v>99.802679999999995</v>
      </c>
      <c r="C153" s="34">
        <v>99.52</v>
      </c>
      <c r="D153" s="18"/>
    </row>
    <row r="154" spans="1:4">
      <c r="A154" t="str">
        <f>'Monthly Haver'!A157</f>
        <v>Sep-2011</v>
      </c>
      <c r="B154" s="18">
        <v>99.648619999999994</v>
      </c>
      <c r="C154" s="34">
        <v>98.88</v>
      </c>
      <c r="D154" s="18"/>
    </row>
    <row r="155" spans="1:4">
      <c r="A155" t="str">
        <f>'Monthly Haver'!A158</f>
        <v>Oct-2011</v>
      </c>
      <c r="B155" s="18">
        <v>99.572940000000003</v>
      </c>
      <c r="C155" s="34">
        <v>99.09</v>
      </c>
      <c r="D155" s="18"/>
    </row>
    <row r="156" spans="1:4">
      <c r="A156" t="str">
        <f>'Monthly Haver'!A159</f>
        <v>Nov-2011</v>
      </c>
      <c r="B156" s="18">
        <v>99.569730000000007</v>
      </c>
      <c r="C156" s="34">
        <v>99.16</v>
      </c>
      <c r="D156" s="18"/>
    </row>
    <row r="157" spans="1:4">
      <c r="A157" t="str">
        <f>'Monthly Haver'!A160</f>
        <v>Dec-2011</v>
      </c>
      <c r="B157" s="18">
        <v>99.613950000000003</v>
      </c>
      <c r="C157" s="34">
        <v>99.43</v>
      </c>
      <c r="D157" s="18"/>
    </row>
    <row r="158" spans="1:4">
      <c r="A158" t="str">
        <f>'Monthly Haver'!A161</f>
        <v>Jan-2012</v>
      </c>
      <c r="B158" s="18">
        <v>99.671589999999995</v>
      </c>
      <c r="C158" s="34">
        <v>100.21</v>
      </c>
      <c r="D158" s="18"/>
    </row>
    <row r="159" spans="1:4">
      <c r="A159" t="str">
        <f>'Monthly Haver'!A162</f>
        <v>Feb-2012</v>
      </c>
      <c r="B159" s="18">
        <v>99.708929999999995</v>
      </c>
      <c r="C159" s="34">
        <v>100.28</v>
      </c>
      <c r="D159" s="18"/>
    </row>
    <row r="160" spans="1:4">
      <c r="A160" t="str">
        <f>'Monthly Haver'!A163</f>
        <v>Mar-2012</v>
      </c>
      <c r="B160" s="18">
        <v>99.706469999999996</v>
      </c>
      <c r="C160" s="34">
        <v>100.84</v>
      </c>
      <c r="D160" s="18"/>
    </row>
    <row r="161" spans="1:4">
      <c r="A161" t="str">
        <f>'Monthly Haver'!A164</f>
        <v>Apr-2012</v>
      </c>
      <c r="B161" s="18">
        <v>99.660769999999999</v>
      </c>
      <c r="C161" s="34">
        <v>100.6</v>
      </c>
      <c r="D161" s="18"/>
    </row>
    <row r="162" spans="1:4">
      <c r="A162" t="str">
        <f>'Monthly Haver'!A165</f>
        <v>May-2012</v>
      </c>
      <c r="B162" s="18">
        <v>99.581909999999993</v>
      </c>
      <c r="C162" s="34">
        <v>100.05</v>
      </c>
      <c r="D162" s="18"/>
    </row>
    <row r="163" spans="1:4">
      <c r="A163" t="str">
        <f>'Monthly Haver'!A166</f>
        <v>Jun-2012</v>
      </c>
      <c r="B163" s="18">
        <v>99.486099999999993</v>
      </c>
      <c r="C163" s="34">
        <v>99.33</v>
      </c>
      <c r="D163" s="18"/>
    </row>
    <row r="164" spans="1:4">
      <c r="A164" t="str">
        <f>'Monthly Haver'!A167</f>
        <v>Jul-2012</v>
      </c>
      <c r="B164" s="18">
        <v>99.395259999999993</v>
      </c>
      <c r="C164" s="34">
        <v>99.6</v>
      </c>
      <c r="D164" s="18"/>
    </row>
    <row r="165" spans="1:4">
      <c r="A165" t="str">
        <f>'Monthly Haver'!A168</f>
        <v>Aug-2012</v>
      </c>
      <c r="B165" s="18">
        <v>99.328639999999993</v>
      </c>
      <c r="C165" s="34">
        <v>99.83</v>
      </c>
      <c r="D165" s="18"/>
    </row>
    <row r="166" spans="1:4">
      <c r="A166" t="str">
        <f>'Monthly Haver'!A169</f>
        <v>Sep-2012</v>
      </c>
      <c r="B166" s="18">
        <v>99.298680000000004</v>
      </c>
      <c r="C166" s="34">
        <v>100.86</v>
      </c>
      <c r="D166" s="18"/>
    </row>
    <row r="167" spans="1:4">
      <c r="A167" t="str">
        <f>'Monthly Haver'!A170</f>
        <v>Oct-2012</v>
      </c>
      <c r="B167" s="18">
        <v>99.306259999999995</v>
      </c>
      <c r="C167" s="34">
        <v>101.44</v>
      </c>
      <c r="D167" s="18"/>
    </row>
    <row r="168" spans="1:4">
      <c r="A168" t="str">
        <f>'Monthly Haver'!A171</f>
        <v>Nov-2012</v>
      </c>
      <c r="B168" s="18">
        <v>99.351979999999998</v>
      </c>
      <c r="C168" s="34">
        <v>101.21</v>
      </c>
      <c r="D168" s="18"/>
    </row>
    <row r="169" spans="1:4">
      <c r="A169" t="str">
        <f>'Monthly Haver'!A172</f>
        <v>Dec-2012</v>
      </c>
      <c r="B169" s="18">
        <v>99.429469999999995</v>
      </c>
      <c r="C169" s="34">
        <v>101.79</v>
      </c>
      <c r="D169" s="18"/>
    </row>
    <row r="170" spans="1:4">
      <c r="A170" t="str">
        <f>'Monthly Haver'!A173</f>
        <v>Jan-2013</v>
      </c>
      <c r="B170" s="18">
        <v>99.526359999999997</v>
      </c>
      <c r="C170" s="35">
        <v>102.48</v>
      </c>
      <c r="D170" s="18"/>
    </row>
    <row r="171" spans="1:4">
      <c r="A171" t="str">
        <f>'Monthly Haver'!A174</f>
        <v>Feb-2013</v>
      </c>
      <c r="B171" s="18">
        <v>99.632450000000006</v>
      </c>
      <c r="C171" s="35">
        <v>102.71</v>
      </c>
      <c r="D171" s="18"/>
    </row>
    <row r="172" spans="1:4">
      <c r="A172" t="str">
        <f>'Monthly Haver'!A175</f>
        <v>Mar-2013</v>
      </c>
      <c r="B172" s="18">
        <v>99.733279999999993</v>
      </c>
      <c r="C172" s="35">
        <v>102.66</v>
      </c>
      <c r="D172" s="18"/>
    </row>
    <row r="173" spans="1:4">
      <c r="A173" t="str">
        <f>'Monthly Haver'!A176</f>
        <v>Apr-2013</v>
      </c>
      <c r="B173" s="18">
        <v>99.823570000000004</v>
      </c>
      <c r="C173" s="35">
        <v>103.1</v>
      </c>
      <c r="D173" s="18"/>
    </row>
    <row r="174" spans="1:4">
      <c r="A174" t="str">
        <f>'Monthly Haver'!A177</f>
        <v>May-2013</v>
      </c>
      <c r="B174" s="18">
        <v>99.9148</v>
      </c>
      <c r="C174" s="35">
        <v>103.64</v>
      </c>
      <c r="D174" s="18"/>
    </row>
    <row r="175" spans="1:4">
      <c r="A175" t="str">
        <f>'Monthly Haver'!A178</f>
        <v>Jun-2013</v>
      </c>
      <c r="B175" s="18">
        <v>100.0056</v>
      </c>
      <c r="C175" s="35">
        <v>103.64</v>
      </c>
      <c r="D175" s="18"/>
    </row>
    <row r="176" spans="1:4">
      <c r="A176" t="str">
        <f>'Monthly Haver'!A179</f>
        <v>Jul-2013</v>
      </c>
      <c r="B176" s="18">
        <v>100.0926</v>
      </c>
      <c r="C176" s="35">
        <v>103.78</v>
      </c>
      <c r="D176" s="18"/>
    </row>
    <row r="177" spans="1:4">
      <c r="A177" t="str">
        <f>'Monthly Haver'!A180</f>
        <v>Aug-2013</v>
      </c>
      <c r="B177" s="18">
        <v>100.1755</v>
      </c>
      <c r="C177" s="35">
        <v>104.28</v>
      </c>
      <c r="D177" s="18"/>
    </row>
    <row r="178" spans="1:4">
      <c r="A178" t="str">
        <f>'Monthly Haver'!A181</f>
        <v>Sep-2013</v>
      </c>
      <c r="B178" s="18">
        <v>100.249</v>
      </c>
      <c r="C178" s="35">
        <v>104.75</v>
      </c>
      <c r="D178" s="18"/>
    </row>
    <row r="179" spans="1:4">
      <c r="A179" t="str">
        <f>'Monthly Haver'!A182</f>
        <v>Oct-2013</v>
      </c>
      <c r="B179" s="18">
        <v>100.31</v>
      </c>
      <c r="C179" s="35">
        <v>104.62</v>
      </c>
      <c r="D179" s="18"/>
    </row>
    <row r="180" spans="1:4">
      <c r="A180" t="str">
        <f>'Monthly Haver'!A183</f>
        <v>Nov-2013</v>
      </c>
      <c r="B180" s="18">
        <v>100.3558</v>
      </c>
      <c r="C180" s="35">
        <v>105.27</v>
      </c>
      <c r="D180" s="18"/>
    </row>
    <row r="181" spans="1:4">
      <c r="A181" t="str">
        <f>'Monthly Haver'!A184</f>
        <v>Dec-2013</v>
      </c>
      <c r="B181" s="18">
        <v>100.38200000000001</v>
      </c>
      <c r="C181" s="35">
        <v>105.55</v>
      </c>
      <c r="D181" s="18"/>
    </row>
    <row r="182" spans="1:4">
      <c r="A182" t="str">
        <f>'Monthly Haver'!A185</f>
        <v>Jan-2014</v>
      </c>
      <c r="B182" s="18">
        <v>100.3931</v>
      </c>
      <c r="C182" s="35">
        <v>105.79</v>
      </c>
      <c r="D182" s="18"/>
    </row>
    <row r="183" spans="1:4">
      <c r="A183" t="str">
        <f>'Monthly Haver'!A186</f>
        <v>Feb-2014</v>
      </c>
      <c r="B183" s="18">
        <v>100.402</v>
      </c>
      <c r="C183" s="35">
        <v>105.62</v>
      </c>
      <c r="D183" s="18"/>
    </row>
    <row r="184" spans="1:4">
      <c r="A184" t="str">
        <f>'Monthly Haver'!A187</f>
        <v>Mar-2014</v>
      </c>
      <c r="B184" s="18">
        <v>100.4111</v>
      </c>
      <c r="C184" s="35">
        <v>106.48</v>
      </c>
      <c r="D184" s="18"/>
    </row>
    <row r="185" spans="1:4">
      <c r="A185" t="str">
        <f>'Monthly Haver'!A188</f>
        <v>Apr-2014</v>
      </c>
      <c r="B185" s="18">
        <v>100.41030000000001</v>
      </c>
      <c r="C185" s="35">
        <v>106.95</v>
      </c>
      <c r="D185" s="18"/>
    </row>
    <row r="186" spans="1:4">
      <c r="A186" t="str">
        <f>'Monthly Haver'!A189</f>
        <v>May-2014</v>
      </c>
      <c r="B186" s="18">
        <v>100.4003</v>
      </c>
      <c r="C186" s="35">
        <v>107.4</v>
      </c>
      <c r="D186" s="18"/>
    </row>
    <row r="187" spans="1:4">
      <c r="A187" t="str">
        <f>'Monthly Haver'!A190</f>
        <v>Jun-2014</v>
      </c>
      <c r="B187" s="18">
        <v>100.3886</v>
      </c>
      <c r="C187" s="35">
        <v>107.78</v>
      </c>
      <c r="D187" s="18"/>
    </row>
    <row r="188" spans="1:4">
      <c r="A188" t="str">
        <f>'Monthly Haver'!A191</f>
        <v>Jul-2014</v>
      </c>
      <c r="B188" s="18">
        <v>100.37949999999999</v>
      </c>
      <c r="C188" s="34">
        <v>108.5</v>
      </c>
      <c r="D188" s="18"/>
    </row>
    <row r="189" spans="1:4">
      <c r="A189" t="str">
        <f>'Monthly Haver'!A192</f>
        <v>Aug-2014</v>
      </c>
      <c r="B189" s="18">
        <v>100.37390000000001</v>
      </c>
      <c r="C189" s="36">
        <v>108.44</v>
      </c>
      <c r="D189" s="18"/>
    </row>
    <row r="190" spans="1:4">
      <c r="A190" t="str">
        <f>'Monthly Haver'!A193</f>
        <v>Sep-2014</v>
      </c>
      <c r="B190" s="18">
        <v>100.3781</v>
      </c>
      <c r="C190" s="36">
        <v>108.78</v>
      </c>
      <c r="D190" s="18"/>
    </row>
    <row r="191" spans="1:4">
      <c r="A191" t="str">
        <f>'Monthly Haver'!A194</f>
        <v>Oct-2014</v>
      </c>
      <c r="B191" s="18">
        <v>100.3852</v>
      </c>
      <c r="C191" s="36">
        <v>108.63</v>
      </c>
      <c r="D191" s="18"/>
    </row>
    <row r="192" spans="1:4">
      <c r="A192" t="str">
        <f>'Monthly Haver'!A195</f>
        <v>Nov-2014</v>
      </c>
      <c r="B192" s="18">
        <v>100.3899</v>
      </c>
      <c r="C192" s="36">
        <v>108.93</v>
      </c>
      <c r="D192" s="18"/>
    </row>
    <row r="193" spans="1:4">
      <c r="A193" t="str">
        <f>'Monthly Haver'!A196</f>
        <v>Dec-2014</v>
      </c>
      <c r="B193" s="18">
        <v>100.39279999999999</v>
      </c>
      <c r="C193" s="36">
        <v>108.91</v>
      </c>
      <c r="D193" s="18"/>
    </row>
    <row r="194" spans="1:4">
      <c r="A194" t="str">
        <f>'Monthly Haver'!A197</f>
        <v>Jan-2015</v>
      </c>
      <c r="B194" s="18">
        <v>100.3934</v>
      </c>
      <c r="C194" s="36">
        <v>108.78</v>
      </c>
      <c r="D194" s="18"/>
    </row>
    <row r="195" spans="1:4">
      <c r="A195" t="str">
        <f>'Monthly Haver'!A198</f>
        <v>Feb-2015</v>
      </c>
      <c r="B195" s="18">
        <v>100.38290000000001</v>
      </c>
      <c r="C195" s="36">
        <v>108.66</v>
      </c>
      <c r="D195" s="18"/>
    </row>
    <row r="196" spans="1:4">
      <c r="A196" t="str">
        <f>'Monthly Haver'!A199</f>
        <v>Mar-2015</v>
      </c>
      <c r="B196" s="18">
        <v>100.3591</v>
      </c>
      <c r="C196" s="36">
        <v>109.14</v>
      </c>
      <c r="D196" s="18"/>
    </row>
    <row r="197" spans="1:4">
      <c r="A197" t="str">
        <f>'Monthly Haver'!A200</f>
        <v>Apr-2015</v>
      </c>
      <c r="B197" s="18">
        <v>100.3212</v>
      </c>
      <c r="C197" s="36">
        <v>109.86</v>
      </c>
      <c r="D197" s="18"/>
    </row>
    <row r="198" spans="1:4">
      <c r="A198" t="str">
        <f>'Monthly Haver'!A201</f>
        <v>May-2015</v>
      </c>
      <c r="B198" s="18">
        <v>100.2666</v>
      </c>
      <c r="C198" s="36">
        <v>110.38</v>
      </c>
      <c r="D198" s="18"/>
    </row>
    <row r="199" spans="1:4">
      <c r="A199" t="str">
        <f>'Monthly Haver'!A202</f>
        <v>Jun-2015</v>
      </c>
      <c r="B199" s="18">
        <v>100.20140000000001</v>
      </c>
      <c r="C199" s="36">
        <v>110.71</v>
      </c>
      <c r="D199" s="18"/>
    </row>
    <row r="200" spans="1:4">
      <c r="A200" t="str">
        <f>'Monthly Haver'!A203</f>
        <v>Jul-2015</v>
      </c>
      <c r="B200" s="18">
        <v>100.1234</v>
      </c>
      <c r="C200" s="36">
        <v>110.65</v>
      </c>
      <c r="D200" s="18"/>
    </row>
    <row r="201" spans="1:4">
      <c r="A201" t="str">
        <f>'Monthly Haver'!A204</f>
        <v>Aug-2015</v>
      </c>
      <c r="B201" s="18">
        <v>100.0406</v>
      </c>
      <c r="C201" s="36">
        <v>110.06</v>
      </c>
      <c r="D201" s="18"/>
    </row>
    <row r="202" spans="1:4">
      <c r="A202" t="str">
        <f>'Monthly Haver'!A205</f>
        <v>Sep-2015</v>
      </c>
      <c r="B202" s="18">
        <v>99.967089999999999</v>
      </c>
      <c r="C202" s="36">
        <v>110.1</v>
      </c>
      <c r="D202" s="18"/>
    </row>
    <row r="203" spans="1:4">
      <c r="A203" t="str">
        <f>'Monthly Haver'!A206</f>
        <v>Oct-2015</v>
      </c>
      <c r="B203" s="18">
        <v>99.904750000000007</v>
      </c>
      <c r="C203" s="36">
        <v>110.19</v>
      </c>
      <c r="D203" s="18"/>
    </row>
    <row r="204" spans="1:4">
      <c r="A204" t="str">
        <f>'Monthly Haver'!A207</f>
        <v>Nov-2015</v>
      </c>
      <c r="B204" s="18">
        <v>99.843260000000001</v>
      </c>
      <c r="C204" s="36">
        <v>110.73</v>
      </c>
      <c r="D204" s="18"/>
    </row>
    <row r="205" spans="1:4">
      <c r="A205" t="str">
        <f>'Monthly Haver'!A208</f>
        <v>Dec-2015</v>
      </c>
      <c r="B205" s="18">
        <v>99.780460000000005</v>
      </c>
      <c r="C205" s="36">
        <v>110.58</v>
      </c>
      <c r="D205" s="18"/>
    </row>
    <row r="206" spans="1:4">
      <c r="A206" t="str">
        <f>'Monthly Haver'!A209</f>
        <v>Jan-2016</v>
      </c>
      <c r="B206" s="18">
        <v>99.720039999999997</v>
      </c>
      <c r="C206" s="34">
        <v>110.58</v>
      </c>
      <c r="D206" s="18"/>
    </row>
    <row r="207" spans="1:4">
      <c r="A207" t="str">
        <f>'Monthly Haver'!A210</f>
        <v>Feb-2016</v>
      </c>
      <c r="B207" s="18">
        <v>99.667599999999993</v>
      </c>
      <c r="C207" s="34">
        <v>110.39</v>
      </c>
      <c r="D207" s="18"/>
    </row>
    <row r="208" spans="1:4">
      <c r="A208" t="str">
        <f>'Monthly Haver'!A211</f>
        <v>Mar-2016</v>
      </c>
      <c r="B208" s="18">
        <v>99.638549999999995</v>
      </c>
      <c r="C208" s="34">
        <v>110.96</v>
      </c>
      <c r="D208" s="18"/>
    </row>
    <row r="209" spans="1:4">
      <c r="A209" t="str">
        <f>'Monthly Haver'!A212</f>
        <v>Apr-2016</v>
      </c>
      <c r="B209" s="18">
        <v>99.634119999999996</v>
      </c>
      <c r="C209" s="34">
        <v>111.64</v>
      </c>
      <c r="D209" s="18"/>
    </row>
    <row r="210" spans="1:4">
      <c r="A210" t="str">
        <f>'Monthly Haver'!A213</f>
        <v>May-2016</v>
      </c>
      <c r="B210" s="18">
        <v>99.648160000000004</v>
      </c>
      <c r="C210" s="34">
        <v>112.92</v>
      </c>
      <c r="D210" s="18"/>
    </row>
    <row r="211" spans="1:4">
      <c r="A211" t="str">
        <f>'Monthly Haver'!A214</f>
        <v>Jun-2016</v>
      </c>
      <c r="B211" s="18">
        <v>99.678210000000007</v>
      </c>
      <c r="C211" s="34">
        <v>113.41</v>
      </c>
      <c r="D211" s="18"/>
    </row>
    <row r="212" spans="1:4">
      <c r="A212" t="str">
        <f>'Monthly Haver'!A215</f>
        <v>Jul-2016</v>
      </c>
      <c r="B212" s="18">
        <v>99.720140000000001</v>
      </c>
      <c r="C212" s="34">
        <v>113.98</v>
      </c>
      <c r="D212" s="18"/>
    </row>
    <row r="213" spans="1:4">
      <c r="A213" t="str">
        <f>'Monthly Haver'!A216</f>
        <v>Aug-2016</v>
      </c>
      <c r="B213" s="18">
        <v>99.774760000000001</v>
      </c>
      <c r="C213" s="34">
        <v>114.21</v>
      </c>
      <c r="D213" s="18"/>
    </row>
    <row r="214" spans="1:4">
      <c r="A214" t="str">
        <f>'Monthly Haver'!A217</f>
        <v>Sep-2016</v>
      </c>
      <c r="B214" s="18">
        <v>99.847160000000002</v>
      </c>
      <c r="C214" s="34">
        <v>114.66999999999999</v>
      </c>
      <c r="D214" s="18"/>
    </row>
    <row r="215" spans="1:4">
      <c r="A215" t="str">
        <f>'Monthly Haver'!A218</f>
        <v>Oct-2016</v>
      </c>
      <c r="B215" s="18">
        <v>99.931920000000005</v>
      </c>
      <c r="C215" s="34">
        <v>114.94</v>
      </c>
      <c r="D215" s="18"/>
    </row>
    <row r="216" spans="1:4">
      <c r="A216" t="str">
        <f>'Monthly Haver'!A219</f>
        <v>Nov-2016</v>
      </c>
      <c r="B216" s="18">
        <v>100.0235</v>
      </c>
      <c r="C216" s="34">
        <v>115.01</v>
      </c>
      <c r="D216" s="18"/>
    </row>
    <row r="217" spans="1:4">
      <c r="A217" t="str">
        <f>'Monthly Haver'!A220</f>
        <v>Dec-2016</v>
      </c>
      <c r="B217" s="18">
        <v>100.1105</v>
      </c>
      <c r="C217" s="34">
        <v>115.67</v>
      </c>
      <c r="D217" s="18"/>
    </row>
    <row r="218" spans="1:4">
      <c r="A218" t="str">
        <f>'Monthly Haver'!A221</f>
        <v>Jan-2017</v>
      </c>
      <c r="B218" s="18">
        <v>100.1836</v>
      </c>
      <c r="C218" s="34">
        <v>116.24</v>
      </c>
      <c r="D218" s="18"/>
    </row>
    <row r="219" spans="1:4">
      <c r="A219" t="str">
        <f>'Monthly Haver'!A222</f>
        <v>Feb-2017</v>
      </c>
      <c r="B219" s="18">
        <v>100.24509999999999</v>
      </c>
      <c r="C219" s="34">
        <v>116.77</v>
      </c>
      <c r="D219" s="18"/>
    </row>
    <row r="220" spans="1:4">
      <c r="A220" t="str">
        <f>'Monthly Haver'!A223</f>
        <v>Mar-2017</v>
      </c>
      <c r="B220" s="18">
        <v>100.2998</v>
      </c>
      <c r="C220" s="34">
        <v>117.29</v>
      </c>
      <c r="D220" s="18"/>
    </row>
    <row r="221" spans="1:4">
      <c r="A221" t="str">
        <f>'Monthly Haver'!A224</f>
        <v>Apr-2017</v>
      </c>
      <c r="B221" s="18">
        <v>100.354</v>
      </c>
      <c r="C221" s="34">
        <v>117.33</v>
      </c>
      <c r="D221" s="18"/>
    </row>
    <row r="222" spans="1:4">
      <c r="A222" t="str">
        <f>'Monthly Haver'!A225</f>
        <v>May-2017</v>
      </c>
      <c r="B222" s="18">
        <v>100.4141</v>
      </c>
      <c r="C222" s="34">
        <v>117.48</v>
      </c>
      <c r="D222" s="18"/>
    </row>
    <row r="223" spans="1:4">
      <c r="A223" t="str">
        <f>'Monthly Haver'!A226</f>
        <v>Jun-2017</v>
      </c>
      <c r="B223" s="18">
        <v>100.4808</v>
      </c>
      <c r="C223" s="34">
        <v>117.46</v>
      </c>
      <c r="D223" s="18"/>
    </row>
    <row r="224" spans="1:4">
      <c r="A224" t="str">
        <f>'Monthly Haver'!A227</f>
        <v>Jul-2017</v>
      </c>
      <c r="B224" s="18">
        <v>100.5501</v>
      </c>
      <c r="C224" s="34">
        <v>117.78</v>
      </c>
      <c r="D224" s="18"/>
    </row>
    <row r="225" spans="1:4">
      <c r="A225" t="str">
        <f>'Monthly Haver'!A228</f>
        <v>Aug-2017</v>
      </c>
      <c r="B225" s="18">
        <v>100.62139999999999</v>
      </c>
      <c r="C225" s="34">
        <v>117.88</v>
      </c>
      <c r="D225" s="18"/>
    </row>
    <row r="226" spans="1:4">
      <c r="A226" t="str">
        <f>'Monthly Haver'!A229</f>
        <v>Sep-2017</v>
      </c>
      <c r="B226" s="18">
        <v>100.68429999999999</v>
      </c>
      <c r="C226" s="34">
        <v>117.88</v>
      </c>
      <c r="D226" s="18"/>
    </row>
    <row r="227" spans="1:4">
      <c r="A227" t="str">
        <f>'Monthly Haver'!A230</f>
        <v>Oct-2017</v>
      </c>
      <c r="B227" s="18">
        <v>100.73390000000001</v>
      </c>
      <c r="C227" s="34">
        <v>119.31</v>
      </c>
      <c r="D227" s="18"/>
    </row>
    <row r="228" spans="1:4">
      <c r="A228" t="str">
        <f>'Monthly Haver'!A231</f>
        <v>Nov-2017</v>
      </c>
      <c r="B228" s="18">
        <v>100.76479999999999</v>
      </c>
      <c r="C228" s="34">
        <v>119.63</v>
      </c>
      <c r="D228" s="18"/>
    </row>
    <row r="229" spans="1:4">
      <c r="A229" t="str">
        <f>'Monthly Haver'!A232</f>
        <v>Dec-2017</v>
      </c>
      <c r="B229" s="18">
        <v>100.7754</v>
      </c>
      <c r="C229" s="34">
        <v>120.37</v>
      </c>
      <c r="D229" s="18"/>
    </row>
    <row r="230" spans="1:4">
      <c r="A230" t="str">
        <f>'Monthly Haver'!A233</f>
        <v>Jan-2018</v>
      </c>
      <c r="B230" s="18">
        <v>100.76860000000001</v>
      </c>
      <c r="C230" s="34">
        <v>121.73</v>
      </c>
      <c r="D230" s="18"/>
    </row>
    <row r="231" spans="1:4">
      <c r="A231" t="str">
        <f>'Monthly Haver'!A234</f>
        <v>Feb-2018</v>
      </c>
      <c r="B231" s="18">
        <v>100.744</v>
      </c>
      <c r="C231" s="34">
        <v>121.82</v>
      </c>
      <c r="D231" s="18"/>
    </row>
    <row r="232" spans="1:4">
      <c r="A232" t="str">
        <f>'Monthly Haver'!A235</f>
        <v>Mar-2018</v>
      </c>
      <c r="B232" s="18">
        <v>100.69199999999999</v>
      </c>
      <c r="C232" s="34">
        <v>121.99</v>
      </c>
      <c r="D232" s="18"/>
    </row>
    <row r="233" spans="1:4">
      <c r="A233" t="str">
        <f>'Monthly Haver'!A236</f>
        <v>Apr-2018</v>
      </c>
      <c r="B233" s="18">
        <v>100.61539999999999</v>
      </c>
      <c r="C233" s="34">
        <v>122.11</v>
      </c>
      <c r="D233" s="18"/>
    </row>
    <row r="234" spans="1:4">
      <c r="A234" t="str">
        <f>'Monthly Haver'!A237</f>
        <v>May-2018</v>
      </c>
      <c r="B234" s="18">
        <v>100.52889999999999</v>
      </c>
      <c r="C234" s="34">
        <v>121.97</v>
      </c>
      <c r="D234" s="18"/>
    </row>
    <row r="235" spans="1:4">
      <c r="A235" t="str">
        <f>'Monthly Haver'!A238</f>
        <v>Jun-2018</v>
      </c>
      <c r="B235" s="18">
        <v>100.4348</v>
      </c>
      <c r="C235" s="34">
        <v>122.3</v>
      </c>
      <c r="D235" s="18"/>
    </row>
    <row r="236" spans="1:4">
      <c r="A236" t="str">
        <f>'Monthly Haver'!A239</f>
        <v>Jul-2018</v>
      </c>
      <c r="B236" s="18">
        <v>100.3302</v>
      </c>
      <c r="C236" s="34">
        <v>122.38</v>
      </c>
      <c r="D236" s="18"/>
    </row>
    <row r="237" spans="1:4">
      <c r="A237" t="str">
        <f>'Monthly Haver'!A240</f>
        <v>Aug-2018</v>
      </c>
      <c r="B237" s="18">
        <v>100.2107</v>
      </c>
      <c r="C237" s="34">
        <v>122.46</v>
      </c>
      <c r="D237" s="18"/>
    </row>
    <row r="238" spans="1:4">
      <c r="A238" t="str">
        <f>'Monthly Haver'!A241</f>
        <v>Sep-2018</v>
      </c>
      <c r="B238" s="18">
        <v>100.0753</v>
      </c>
      <c r="C238" s="34">
        <v>123.1</v>
      </c>
      <c r="D238" s="18"/>
    </row>
    <row r="239" spans="1:4">
      <c r="A239" t="str">
        <f>'Monthly Haver'!A242</f>
        <v>Oct-2018</v>
      </c>
      <c r="B239" s="18">
        <v>99.931820000000002</v>
      </c>
      <c r="C239" s="34">
        <v>122.65</v>
      </c>
      <c r="D239" s="18"/>
    </row>
    <row r="240" spans="1:4">
      <c r="A240" t="str">
        <f>'Monthly Haver'!A243</f>
        <v>Nov-2018</v>
      </c>
      <c r="B240" s="18">
        <v>99.792209999999997</v>
      </c>
      <c r="C240" s="34">
        <v>121.66</v>
      </c>
      <c r="D240" s="18"/>
    </row>
    <row r="241" spans="1:8">
      <c r="A241" t="str">
        <f>'Monthly Haver'!A244</f>
        <v>Dec-2018</v>
      </c>
      <c r="B241" s="18">
        <v>99.660809999999998</v>
      </c>
      <c r="C241" s="34">
        <v>121.41</v>
      </c>
      <c r="D241" s="18"/>
    </row>
    <row r="242" spans="1:8">
      <c r="A242" t="str">
        <f>'Monthly Haver'!A245</f>
        <v>Jan-2019</v>
      </c>
      <c r="B242" s="18">
        <v>99.546970000000002</v>
      </c>
      <c r="C242" s="34">
        <v>121.4</v>
      </c>
      <c r="D242" s="18"/>
    </row>
    <row r="243" spans="1:8">
      <c r="A243" t="str">
        <f>'Monthly Haver'!A246</f>
        <v>Feb-2019</v>
      </c>
      <c r="B243" s="18">
        <v>99.454589999999996</v>
      </c>
      <c r="C243" s="34">
        <v>121.42</v>
      </c>
      <c r="D243" s="18"/>
      <c r="G243" t="s">
        <v>1164</v>
      </c>
    </row>
    <row r="244" spans="1:8">
      <c r="A244" t="str">
        <f>'Monthly Haver'!A247</f>
        <v>Mar-2019</v>
      </c>
      <c r="B244" s="18">
        <v>99.383960000000002</v>
      </c>
      <c r="C244" s="34">
        <v>122.17</v>
      </c>
      <c r="D244" s="18"/>
      <c r="G244" s="14" t="s">
        <v>1163</v>
      </c>
    </row>
    <row r="245" spans="1:8">
      <c r="A245" t="str">
        <f>'Monthly Haver'!A248</f>
        <v>Apr-2019</v>
      </c>
      <c r="B245" s="18">
        <v>99.325580000000002</v>
      </c>
      <c r="C245" s="34">
        <v>122.79</v>
      </c>
      <c r="D245" s="18"/>
    </row>
    <row r="246" spans="1:8">
      <c r="A246" t="str">
        <f>'Monthly Haver'!A249</f>
        <v>May-2019</v>
      </c>
      <c r="B246" s="18">
        <v>99.269570000000002</v>
      </c>
      <c r="C246" s="34">
        <v>122.29</v>
      </c>
      <c r="D246" s="18"/>
    </row>
    <row r="247" spans="1:8">
      <c r="A247" t="str">
        <f>'Monthly Haver'!A250</f>
        <v>Jun-2019</v>
      </c>
      <c r="B247" s="18">
        <v>99.219470000000001</v>
      </c>
      <c r="C247" s="34">
        <v>122.42</v>
      </c>
      <c r="D247" s="18"/>
    </row>
    <row r="248" spans="1:8">
      <c r="A248" s="13" t="str">
        <f>'Monthly Haver'!A251</f>
        <v>Jul-2019</v>
      </c>
      <c r="B248" s="18">
        <v>99.182829999999996</v>
      </c>
      <c r="C248" s="34">
        <v>122.93</v>
      </c>
      <c r="D248" s="18"/>
      <c r="E248" s="17"/>
      <c r="F248" s="16"/>
      <c r="G248" s="16"/>
      <c r="H248" s="16"/>
    </row>
    <row r="249" spans="1:8">
      <c r="A249" s="13" t="str">
        <f>'Monthly Haver'!A252</f>
        <v>Aug-2019</v>
      </c>
      <c r="B249" s="18">
        <v>99.16628</v>
      </c>
      <c r="C249" s="34">
        <v>122.33</v>
      </c>
      <c r="D249" s="18"/>
    </row>
    <row r="250" spans="1:8">
      <c r="A250" s="13" t="str">
        <f>'Monthly Haver'!A253</f>
        <v>Sep-2019</v>
      </c>
      <c r="B250" s="18">
        <v>99.179040000000001</v>
      </c>
      <c r="C250" s="34">
        <v>122.57</v>
      </c>
      <c r="D250" s="18"/>
    </row>
    <row r="251" spans="1:8">
      <c r="A251" s="18" t="str">
        <f>'Monthly Haver'!A254</f>
        <v>Oct-2019</v>
      </c>
      <c r="B251" s="18">
        <v>99.230289999999997</v>
      </c>
      <c r="C251" s="34">
        <v>121.97</v>
      </c>
      <c r="D251" s="18"/>
    </row>
    <row r="252" spans="1:8">
      <c r="A252" s="18" t="str">
        <f>'Monthly Haver'!A255</f>
        <v>Nov-2019</v>
      </c>
      <c r="B252" s="18">
        <v>99.316360000000003</v>
      </c>
      <c r="C252" s="34">
        <v>122.42</v>
      </c>
      <c r="D252" s="18"/>
    </row>
    <row r="253" spans="1:8">
      <c r="A253" s="18" t="str">
        <f>'Monthly Haver'!A256</f>
        <v>Dec-2019</v>
      </c>
      <c r="B253" s="11">
        <v>99.432379999999995</v>
      </c>
      <c r="C253" s="34">
        <v>122.74</v>
      </c>
    </row>
    <row r="254" spans="1:8">
      <c r="A254" s="19" t="str">
        <f>'Monthly Haver'!A257</f>
        <v>Jan-2020</v>
      </c>
      <c r="C254" s="34">
        <v>124.64</v>
      </c>
    </row>
    <row r="255" spans="1:8">
      <c r="A255" s="33" t="str">
        <f>'Monthly Haver'!A258</f>
        <v>Feb-2020</v>
      </c>
      <c r="C255" s="34">
        <v>124.08</v>
      </c>
    </row>
  </sheetData>
  <hyperlinks>
    <hyperlink ref="G244" r:id="rId1" xr:uid="{66F4E660-6178-4E0F-9EE3-36E5A37E173E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B4AA-157B-4EE9-9940-5363F1001253}">
  <dimension ref="A1:BC132"/>
  <sheetViews>
    <sheetView workbookViewId="0">
      <pane xSplit="1" ySplit="8" topLeftCell="AX121" activePane="bottomRight" state="frozen"/>
      <selection pane="topRight" activeCell="B1" sqref="B1"/>
      <selection pane="bottomLeft" activeCell="A9" sqref="A9"/>
      <selection pane="bottomRight" activeCell="AF141" sqref="AF141"/>
    </sheetView>
  </sheetViews>
  <sheetFormatPr defaultRowHeight="15"/>
  <sheetData>
    <row r="1" spans="1:5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</row>
    <row r="2" spans="1:55">
      <c r="A2" t="s">
        <v>2</v>
      </c>
      <c r="B2" t="s">
        <v>468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H2" t="s">
        <v>474</v>
      </c>
      <c r="I2" t="s">
        <v>475</v>
      </c>
      <c r="J2" t="s">
        <v>476</v>
      </c>
      <c r="K2" t="s">
        <v>477</v>
      </c>
      <c r="L2" t="s">
        <v>478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  <c r="T2" t="s">
        <v>486</v>
      </c>
      <c r="U2" t="s">
        <v>487</v>
      </c>
      <c r="V2" t="s">
        <v>488</v>
      </c>
      <c r="W2" t="s">
        <v>489</v>
      </c>
      <c r="X2" t="s">
        <v>490</v>
      </c>
      <c r="Y2" t="s">
        <v>491</v>
      </c>
      <c r="Z2" t="s">
        <v>492</v>
      </c>
      <c r="AA2" t="s">
        <v>493</v>
      </c>
      <c r="AB2" t="s">
        <v>494</v>
      </c>
      <c r="AC2" t="s">
        <v>495</v>
      </c>
      <c r="AD2" t="s">
        <v>496</v>
      </c>
      <c r="AE2" t="s">
        <v>497</v>
      </c>
      <c r="AF2" t="s">
        <v>498</v>
      </c>
      <c r="AG2" t="s">
        <v>499</v>
      </c>
      <c r="AH2" t="s">
        <v>500</v>
      </c>
      <c r="AI2" t="s">
        <v>501</v>
      </c>
      <c r="AJ2" t="s">
        <v>502</v>
      </c>
      <c r="AK2" t="s">
        <v>503</v>
      </c>
      <c r="AL2" t="s">
        <v>504</v>
      </c>
      <c r="AM2" t="s">
        <v>505</v>
      </c>
      <c r="AN2" t="s">
        <v>506</v>
      </c>
      <c r="AO2" t="s">
        <v>507</v>
      </c>
      <c r="AP2" t="s">
        <v>508</v>
      </c>
      <c r="AQ2" t="s">
        <v>509</v>
      </c>
      <c r="AR2" t="s">
        <v>510</v>
      </c>
      <c r="AS2" t="s">
        <v>511</v>
      </c>
      <c r="AT2" t="s">
        <v>512</v>
      </c>
      <c r="AU2" t="s">
        <v>513</v>
      </c>
      <c r="AV2" t="s">
        <v>514</v>
      </c>
      <c r="AW2" t="s">
        <v>515</v>
      </c>
      <c r="AX2" t="s">
        <v>516</v>
      </c>
      <c r="AY2" t="s">
        <v>517</v>
      </c>
      <c r="AZ2" t="s">
        <v>518</v>
      </c>
      <c r="BA2" t="s">
        <v>519</v>
      </c>
      <c r="BB2" t="s">
        <v>520</v>
      </c>
      <c r="BC2" t="s">
        <v>521</v>
      </c>
    </row>
    <row r="3" spans="1:55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  <c r="AL3" t="s">
        <v>38</v>
      </c>
      <c r="AM3" t="s">
        <v>38</v>
      </c>
      <c r="AN3" t="s">
        <v>38</v>
      </c>
      <c r="AO3" t="s">
        <v>38</v>
      </c>
      <c r="AP3" t="s">
        <v>38</v>
      </c>
      <c r="AQ3" t="s">
        <v>38</v>
      </c>
      <c r="AR3" t="s">
        <v>38</v>
      </c>
      <c r="AS3" t="s">
        <v>38</v>
      </c>
      <c r="AT3" t="s">
        <v>38</v>
      </c>
      <c r="AU3" t="s">
        <v>38</v>
      </c>
      <c r="AV3" t="s">
        <v>38</v>
      </c>
      <c r="AW3" t="s">
        <v>38</v>
      </c>
      <c r="AX3" t="s">
        <v>38</v>
      </c>
      <c r="AY3" t="s">
        <v>38</v>
      </c>
      <c r="AZ3" t="s">
        <v>38</v>
      </c>
      <c r="BA3" t="s">
        <v>38</v>
      </c>
      <c r="BB3" t="s">
        <v>38</v>
      </c>
      <c r="BC3" t="s">
        <v>38</v>
      </c>
    </row>
    <row r="4" spans="1:5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522</v>
      </c>
      <c r="G4" t="s">
        <v>523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524</v>
      </c>
      <c r="R4" t="s">
        <v>525</v>
      </c>
      <c r="S4" t="s">
        <v>526</v>
      </c>
      <c r="T4" t="s">
        <v>527</v>
      </c>
      <c r="U4" t="s">
        <v>528</v>
      </c>
      <c r="V4" t="s">
        <v>529</v>
      </c>
      <c r="W4" t="s">
        <v>530</v>
      </c>
      <c r="X4" t="s">
        <v>531</v>
      </c>
      <c r="Y4" t="s">
        <v>532</v>
      </c>
      <c r="Z4" t="s">
        <v>533</v>
      </c>
      <c r="AA4" t="s">
        <v>534</v>
      </c>
      <c r="AB4" t="s">
        <v>535</v>
      </c>
      <c r="AC4" t="s">
        <v>54</v>
      </c>
      <c r="AD4" t="s">
        <v>536</v>
      </c>
      <c r="AE4" t="s">
        <v>537</v>
      </c>
      <c r="AF4" t="s">
        <v>538</v>
      </c>
      <c r="AG4" t="s">
        <v>539</v>
      </c>
      <c r="AH4" t="s">
        <v>540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  <c r="AN4" t="s">
        <v>541</v>
      </c>
      <c r="AO4" t="s">
        <v>60</v>
      </c>
      <c r="AP4" t="s">
        <v>61</v>
      </c>
      <c r="AQ4" t="s">
        <v>62</v>
      </c>
      <c r="AR4" t="s">
        <v>63</v>
      </c>
      <c r="AS4" t="s">
        <v>64</v>
      </c>
      <c r="AT4" t="s">
        <v>65</v>
      </c>
      <c r="AU4" t="s">
        <v>66</v>
      </c>
      <c r="AV4" t="s">
        <v>67</v>
      </c>
      <c r="AW4" t="s">
        <v>68</v>
      </c>
      <c r="AX4" t="s">
        <v>69</v>
      </c>
      <c r="AY4" t="s">
        <v>70</v>
      </c>
      <c r="AZ4" t="s">
        <v>71</v>
      </c>
      <c r="BA4" t="s">
        <v>72</v>
      </c>
      <c r="BB4" t="s">
        <v>73</v>
      </c>
      <c r="BC4" t="s">
        <v>74</v>
      </c>
    </row>
    <row r="5" spans="1:5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542</v>
      </c>
      <c r="G5" t="s">
        <v>543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544</v>
      </c>
      <c r="R5" t="s">
        <v>545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  <c r="AA5" t="s">
        <v>554</v>
      </c>
      <c r="AB5" t="s">
        <v>555</v>
      </c>
      <c r="AC5" t="s">
        <v>90</v>
      </c>
      <c r="AD5" t="s">
        <v>556</v>
      </c>
      <c r="AE5" t="s">
        <v>557</v>
      </c>
      <c r="AF5" t="s">
        <v>558</v>
      </c>
      <c r="AG5" t="s">
        <v>559</v>
      </c>
      <c r="AH5" t="s">
        <v>560</v>
      </c>
      <c r="AI5" t="s">
        <v>91</v>
      </c>
      <c r="AJ5" t="s">
        <v>92</v>
      </c>
      <c r="AK5" t="s">
        <v>93</v>
      </c>
      <c r="AL5" t="s">
        <v>94</v>
      </c>
      <c r="AM5" t="s">
        <v>95</v>
      </c>
      <c r="AN5" t="s">
        <v>561</v>
      </c>
      <c r="AO5" t="s">
        <v>96</v>
      </c>
      <c r="AP5" t="s">
        <v>97</v>
      </c>
      <c r="AQ5" t="s">
        <v>98</v>
      </c>
      <c r="AR5" t="s">
        <v>99</v>
      </c>
      <c r="AS5" t="s">
        <v>100</v>
      </c>
      <c r="AT5" t="s">
        <v>101</v>
      </c>
      <c r="AU5" t="s">
        <v>102</v>
      </c>
      <c r="AV5" t="s">
        <v>103</v>
      </c>
      <c r="AW5" t="s">
        <v>104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</row>
    <row r="6" spans="1:55">
      <c r="A6" t="s">
        <v>111</v>
      </c>
      <c r="B6" t="s">
        <v>562</v>
      </c>
      <c r="C6" t="s">
        <v>562</v>
      </c>
      <c r="D6" t="s">
        <v>562</v>
      </c>
      <c r="E6" t="s">
        <v>562</v>
      </c>
      <c r="F6" t="s">
        <v>562</v>
      </c>
      <c r="G6" t="s">
        <v>562</v>
      </c>
      <c r="H6" t="s">
        <v>562</v>
      </c>
      <c r="I6" t="s">
        <v>562</v>
      </c>
      <c r="J6" t="s">
        <v>562</v>
      </c>
      <c r="K6" t="s">
        <v>562</v>
      </c>
      <c r="L6" t="s">
        <v>562</v>
      </c>
      <c r="M6" t="s">
        <v>562</v>
      </c>
      <c r="N6" t="s">
        <v>562</v>
      </c>
      <c r="O6" t="s">
        <v>562</v>
      </c>
      <c r="P6" t="s">
        <v>562</v>
      </c>
      <c r="Q6" t="s">
        <v>562</v>
      </c>
      <c r="R6" t="s">
        <v>562</v>
      </c>
      <c r="S6" t="s">
        <v>562</v>
      </c>
      <c r="T6" t="s">
        <v>562</v>
      </c>
      <c r="U6" t="s">
        <v>562</v>
      </c>
      <c r="V6" t="s">
        <v>562</v>
      </c>
      <c r="W6" t="s">
        <v>562</v>
      </c>
      <c r="X6" t="s">
        <v>562</v>
      </c>
      <c r="Y6" t="s">
        <v>562</v>
      </c>
      <c r="Z6" t="s">
        <v>562</v>
      </c>
      <c r="AA6" t="s">
        <v>562</v>
      </c>
      <c r="AB6" t="s">
        <v>562</v>
      </c>
      <c r="AC6" t="s">
        <v>562</v>
      </c>
      <c r="AD6" t="s">
        <v>562</v>
      </c>
      <c r="AE6" t="s">
        <v>562</v>
      </c>
      <c r="AF6" t="s">
        <v>562</v>
      </c>
      <c r="AG6" t="s">
        <v>562</v>
      </c>
      <c r="AH6" t="s">
        <v>562</v>
      </c>
      <c r="AI6" t="s">
        <v>562</v>
      </c>
      <c r="AJ6" t="s">
        <v>562</v>
      </c>
      <c r="AK6" t="s">
        <v>562</v>
      </c>
      <c r="AL6" t="s">
        <v>562</v>
      </c>
      <c r="AM6" t="s">
        <v>562</v>
      </c>
      <c r="AN6" t="s">
        <v>562</v>
      </c>
      <c r="AO6" t="s">
        <v>562</v>
      </c>
      <c r="AP6" t="s">
        <v>562</v>
      </c>
      <c r="AQ6" t="s">
        <v>562</v>
      </c>
      <c r="AR6" t="s">
        <v>562</v>
      </c>
      <c r="AS6" t="s">
        <v>562</v>
      </c>
      <c r="AT6" t="s">
        <v>562</v>
      </c>
      <c r="AU6" t="s">
        <v>562</v>
      </c>
      <c r="AV6" t="s">
        <v>562</v>
      </c>
      <c r="AW6" t="s">
        <v>562</v>
      </c>
      <c r="AX6" t="s">
        <v>562</v>
      </c>
      <c r="AY6" t="s">
        <v>562</v>
      </c>
      <c r="AZ6" t="s">
        <v>562</v>
      </c>
      <c r="BA6" t="s">
        <v>562</v>
      </c>
      <c r="BB6" t="s">
        <v>562</v>
      </c>
      <c r="BC6" t="s">
        <v>562</v>
      </c>
    </row>
    <row r="7" spans="1:55">
      <c r="A7" t="s">
        <v>113</v>
      </c>
      <c r="B7" t="s">
        <v>114</v>
      </c>
      <c r="C7" t="s">
        <v>114</v>
      </c>
      <c r="D7" t="s">
        <v>114</v>
      </c>
      <c r="E7" t="s">
        <v>114</v>
      </c>
      <c r="F7" t="s">
        <v>115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115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115</v>
      </c>
      <c r="BB7" t="s">
        <v>115</v>
      </c>
      <c r="BC7" t="s">
        <v>115</v>
      </c>
    </row>
    <row r="8" spans="1:55">
      <c r="A8" t="s">
        <v>116</v>
      </c>
      <c r="B8" t="s">
        <v>114</v>
      </c>
      <c r="C8" t="s">
        <v>114</v>
      </c>
      <c r="D8" t="s">
        <v>114</v>
      </c>
      <c r="E8" t="s">
        <v>114</v>
      </c>
      <c r="F8" t="s">
        <v>115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115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115</v>
      </c>
      <c r="BB8" t="s">
        <v>115</v>
      </c>
      <c r="BC8" t="s">
        <v>115</v>
      </c>
    </row>
    <row r="9" spans="1:55">
      <c r="A9" t="s">
        <v>563</v>
      </c>
      <c r="B9">
        <v>114.57716281598611</v>
      </c>
      <c r="C9">
        <v>123.95658377787269</v>
      </c>
      <c r="D9">
        <v>49.610915132627234</v>
      </c>
      <c r="E9">
        <v>63.67678703263465</v>
      </c>
      <c r="F9">
        <v>-39.321558707177019</v>
      </c>
      <c r="G9">
        <v>-1.1090685905292044</v>
      </c>
      <c r="H9">
        <v>8.5859571441111893</v>
      </c>
      <c r="I9">
        <v>12.865200376525607</v>
      </c>
      <c r="J9">
        <v>23.048824792540973</v>
      </c>
      <c r="K9">
        <v>10.002342771560322</v>
      </c>
      <c r="L9">
        <v>11.147584881324857</v>
      </c>
      <c r="M9">
        <v>25.138838898690029</v>
      </c>
      <c r="N9">
        <v>17.108852485862524</v>
      </c>
      <c r="O9">
        <v>81.580329897328099</v>
      </c>
      <c r="P9">
        <v>3.3603761496715223</v>
      </c>
      <c r="Q9">
        <v>47.454500591142981</v>
      </c>
      <c r="R9">
        <v>56.619680630744995</v>
      </c>
      <c r="S9">
        <v>42.90270283356827</v>
      </c>
      <c r="T9">
        <v>59.965451767370801</v>
      </c>
      <c r="U9">
        <v>48.907390421747607</v>
      </c>
      <c r="V9">
        <v>58.402007013157622</v>
      </c>
      <c r="W9">
        <v>49.885178507479488</v>
      </c>
      <c r="X9">
        <v>58.927309979882345</v>
      </c>
      <c r="Y9">
        <v>3545.4577870981184</v>
      </c>
      <c r="Z9">
        <v>22.271796791584254</v>
      </c>
      <c r="AA9">
        <v>30.804850706543096</v>
      </c>
      <c r="AB9">
        <v>29.797068666124201</v>
      </c>
      <c r="AD9">
        <v>48.879127159235679</v>
      </c>
      <c r="AE9">
        <v>58.941663723624238</v>
      </c>
      <c r="AF9">
        <v>23.762309959190056</v>
      </c>
      <c r="AG9">
        <v>30.227675586025427</v>
      </c>
      <c r="AH9">
        <v>29.113541482821446</v>
      </c>
      <c r="AJ9">
        <v>51.195456416962919</v>
      </c>
      <c r="AK9">
        <v>51.172528469484838</v>
      </c>
      <c r="AL9">
        <v>11.950759692085859</v>
      </c>
      <c r="AM9">
        <v>30.826818100316597</v>
      </c>
      <c r="AN9">
        <v>4.5174392581238507</v>
      </c>
      <c r="AO9">
        <v>47.450263528279287</v>
      </c>
      <c r="AP9">
        <v>58.113838331044057</v>
      </c>
      <c r="AX9">
        <v>19.463333333333335</v>
      </c>
      <c r="AZ9">
        <v>73.492273107847893</v>
      </c>
      <c r="BA9">
        <v>-12.310157700202989</v>
      </c>
      <c r="BB9">
        <v>585.48543623277737</v>
      </c>
      <c r="BC9">
        <v>573.17527853257423</v>
      </c>
    </row>
    <row r="10" spans="1:55">
      <c r="A10" t="s">
        <v>564</v>
      </c>
      <c r="B10">
        <v>113.72541579397148</v>
      </c>
      <c r="C10">
        <v>122.37418785222017</v>
      </c>
      <c r="D10">
        <v>49.692990782844369</v>
      </c>
      <c r="E10">
        <v>64.068947465663626</v>
      </c>
      <c r="F10">
        <v>-31.530476220258699</v>
      </c>
      <c r="G10">
        <v>-0.89031929583939617</v>
      </c>
      <c r="H10">
        <v>8.8730627713856034</v>
      </c>
      <c r="I10">
        <v>10.074507255004285</v>
      </c>
      <c r="J10">
        <v>24.468706625370036</v>
      </c>
      <c r="K10">
        <v>10.290694311662453</v>
      </c>
      <c r="L10">
        <v>11.46350240444767</v>
      </c>
      <c r="M10">
        <v>27.335213173464911</v>
      </c>
      <c r="N10">
        <v>18.434518522538877</v>
      </c>
      <c r="O10">
        <v>82.463691086723244</v>
      </c>
      <c r="P10">
        <v>3.4088282968143582</v>
      </c>
      <c r="Q10">
        <v>47.996259244409103</v>
      </c>
      <c r="R10">
        <v>57.2802915378428</v>
      </c>
      <c r="S10">
        <v>42.482856680219136</v>
      </c>
      <c r="T10">
        <v>59.560933849766549</v>
      </c>
      <c r="U10">
        <v>49.132617572571945</v>
      </c>
      <c r="V10">
        <v>58.843420232854108</v>
      </c>
      <c r="W10">
        <v>50.078028205245303</v>
      </c>
      <c r="X10">
        <v>59.362381356088321</v>
      </c>
      <c r="Y10">
        <v>3541.4795981178472</v>
      </c>
      <c r="Z10">
        <v>22.353060991760628</v>
      </c>
      <c r="AA10">
        <v>30.956948439848635</v>
      </c>
      <c r="AB10">
        <v>30.010830677145488</v>
      </c>
      <c r="AD10">
        <v>49.303633183822356</v>
      </c>
      <c r="AE10">
        <v>59.489536173552708</v>
      </c>
      <c r="AF10">
        <v>23.892262388128572</v>
      </c>
      <c r="AG10">
        <v>30.603044273425567</v>
      </c>
      <c r="AH10">
        <v>29.393759831041464</v>
      </c>
      <c r="AJ10">
        <v>55.091300938179266</v>
      </c>
      <c r="AK10">
        <v>53.525874138724618</v>
      </c>
      <c r="AL10">
        <v>12.658284330230799</v>
      </c>
      <c r="AM10">
        <v>32.173582927630797</v>
      </c>
      <c r="AN10">
        <v>4.8907647529017551</v>
      </c>
      <c r="AO10">
        <v>48.071113224178809</v>
      </c>
      <c r="AP10">
        <v>58.82403295241425</v>
      </c>
      <c r="AX10">
        <v>15.82</v>
      </c>
      <c r="AZ10">
        <v>75.668163876989539</v>
      </c>
      <c r="BA10">
        <v>-11.34570733463983</v>
      </c>
      <c r="BB10">
        <v>587.08275458700825</v>
      </c>
      <c r="BC10">
        <v>575.73704725236848</v>
      </c>
    </row>
    <row r="11" spans="1:55">
      <c r="A11" t="s">
        <v>565</v>
      </c>
      <c r="B11">
        <v>109.61724788142648</v>
      </c>
      <c r="C11">
        <v>115.48500654924612</v>
      </c>
      <c r="D11">
        <v>50.19992697748588</v>
      </c>
      <c r="E11">
        <v>64.561472365850747</v>
      </c>
      <c r="F11">
        <v>-31.341681272676574</v>
      </c>
      <c r="G11">
        <v>-0.84952419482244235</v>
      </c>
      <c r="H11">
        <v>9.0608422125067776</v>
      </c>
      <c r="I11">
        <v>10.065117615956558</v>
      </c>
      <c r="J11">
        <v>20.26135893324312</v>
      </c>
      <c r="K11">
        <v>10.560171972938477</v>
      </c>
      <c r="L11">
        <v>11.670862270394778</v>
      </c>
      <c r="M11">
        <v>22.813999963013043</v>
      </c>
      <c r="N11">
        <v>15.094139485155194</v>
      </c>
      <c r="O11">
        <v>82.683469824979554</v>
      </c>
      <c r="P11">
        <v>3.4650300296857495</v>
      </c>
      <c r="Q11">
        <v>48.308419018369825</v>
      </c>
      <c r="R11">
        <v>57.60217446073915</v>
      </c>
      <c r="S11">
        <v>44.098994330211205</v>
      </c>
      <c r="T11">
        <v>60.310767697209613</v>
      </c>
      <c r="U11">
        <v>49.514113836358661</v>
      </c>
      <c r="V11">
        <v>59.19783123002933</v>
      </c>
      <c r="W11">
        <v>50.447389077294055</v>
      </c>
      <c r="X11">
        <v>59.701264246063559</v>
      </c>
      <c r="Y11">
        <v>3689.3217949168884</v>
      </c>
      <c r="Z11">
        <v>22.529918772950992</v>
      </c>
      <c r="AA11">
        <v>30.838480464155243</v>
      </c>
      <c r="AB11">
        <v>29.859349311387852</v>
      </c>
      <c r="AD11">
        <v>49.461894942213455</v>
      </c>
      <c r="AE11">
        <v>59.627623318522907</v>
      </c>
      <c r="AF11">
        <v>24.380517383421932</v>
      </c>
      <c r="AG11">
        <v>30.886801984962954</v>
      </c>
      <c r="AH11">
        <v>29.669397035266527</v>
      </c>
      <c r="AJ11">
        <v>54.592727287607751</v>
      </c>
      <c r="AK11">
        <v>55.284676533308982</v>
      </c>
      <c r="AL11">
        <v>13.458476332966455</v>
      </c>
      <c r="AM11">
        <v>33.770376222538367</v>
      </c>
      <c r="AN11">
        <v>5.4327877754605787</v>
      </c>
      <c r="AO11">
        <v>48.746333774732882</v>
      </c>
      <c r="AP11">
        <v>59.621594729903983</v>
      </c>
      <c r="AX11">
        <v>25.656666666666666</v>
      </c>
      <c r="AZ11">
        <v>74.436364581598596</v>
      </c>
      <c r="BA11">
        <v>-16.835061086204348</v>
      </c>
      <c r="BB11">
        <v>617.58435293769116</v>
      </c>
      <c r="BC11">
        <v>601.69359185148687</v>
      </c>
    </row>
    <row r="12" spans="1:55">
      <c r="A12" t="s">
        <v>566</v>
      </c>
      <c r="B12">
        <v>101.68114223792865</v>
      </c>
      <c r="C12">
        <v>101.97021809239116</v>
      </c>
      <c r="D12">
        <v>50.104019801166736</v>
      </c>
      <c r="E12">
        <v>64.293609198572071</v>
      </c>
      <c r="F12">
        <v>-33.28068839558177</v>
      </c>
      <c r="G12">
        <v>-0.86949116423658501</v>
      </c>
      <c r="H12">
        <v>8.7511308252680848</v>
      </c>
      <c r="I12">
        <v>9.4848881724544558</v>
      </c>
      <c r="J12">
        <v>21.933351048058348</v>
      </c>
      <c r="K12">
        <v>10.747178798198251</v>
      </c>
      <c r="L12">
        <v>11.945251128155748</v>
      </c>
      <c r="M12">
        <v>24.645852280949335</v>
      </c>
      <c r="N12">
        <v>16.536369975718362</v>
      </c>
      <c r="O12">
        <v>82.588914813729176</v>
      </c>
      <c r="P12">
        <v>3.5673420730380752</v>
      </c>
      <c r="Q12">
        <v>48.169025605365512</v>
      </c>
      <c r="R12">
        <v>57.358940373127545</v>
      </c>
      <c r="S12">
        <v>43.739077805508018</v>
      </c>
      <c r="T12">
        <v>59.882369695244556</v>
      </c>
      <c r="U12">
        <v>49.584452786838774</v>
      </c>
      <c r="V12">
        <v>59.100944072170194</v>
      </c>
      <c r="W12">
        <v>50.443883296543369</v>
      </c>
      <c r="X12">
        <v>59.551707413393629</v>
      </c>
      <c r="Y12">
        <v>3827.6051286619208</v>
      </c>
      <c r="Z12">
        <v>22.594528309510352</v>
      </c>
      <c r="AA12">
        <v>30.906511957404586</v>
      </c>
      <c r="AB12">
        <v>29.961992318165702</v>
      </c>
      <c r="AD12">
        <v>49.425736999633642</v>
      </c>
      <c r="AE12">
        <v>59.35219870659629</v>
      </c>
      <c r="AF12">
        <v>24.801093415288001</v>
      </c>
      <c r="AG12">
        <v>31.437588580009002</v>
      </c>
      <c r="AH12">
        <v>30.214009783129946</v>
      </c>
      <c r="AJ12">
        <v>56.046732200003696</v>
      </c>
      <c r="AK12">
        <v>55.284676533308982</v>
      </c>
      <c r="AL12">
        <v>14.169127870415258</v>
      </c>
      <c r="AM12">
        <v>35.173731979565588</v>
      </c>
      <c r="AN12">
        <v>5.8224906807274381</v>
      </c>
      <c r="AO12">
        <v>49.41707194023067</v>
      </c>
      <c r="AP12">
        <v>60.312895502545494</v>
      </c>
      <c r="AX12">
        <v>31</v>
      </c>
      <c r="AZ12">
        <v>72.947571112158997</v>
      </c>
      <c r="BA12">
        <v>-30.885162873926237</v>
      </c>
      <c r="BB12">
        <v>665.50266768634197</v>
      </c>
      <c r="BC12">
        <v>635.96090481241572</v>
      </c>
    </row>
    <row r="13" spans="1:55">
      <c r="A13" t="s">
        <v>567</v>
      </c>
      <c r="B13">
        <v>102.64213744579808</v>
      </c>
      <c r="C13">
        <v>103.70414279062892</v>
      </c>
      <c r="D13">
        <v>50.53479876059734</v>
      </c>
      <c r="E13">
        <v>63.635536430189198</v>
      </c>
      <c r="F13">
        <v>-4.2691368960390053</v>
      </c>
      <c r="G13">
        <v>-0.1112017969342546</v>
      </c>
      <c r="H13">
        <v>8.1974963812222175</v>
      </c>
      <c r="I13">
        <v>9.4124759194325893</v>
      </c>
      <c r="J13">
        <v>24.413400163660089</v>
      </c>
      <c r="K13">
        <v>10.957661516030813</v>
      </c>
      <c r="L13">
        <v>12.26542687146309</v>
      </c>
      <c r="M13">
        <v>28.011021597891748</v>
      </c>
      <c r="N13">
        <v>19.683323255093573</v>
      </c>
      <c r="O13">
        <v>82.839186724758392</v>
      </c>
      <c r="P13">
        <v>3.9379884898116644</v>
      </c>
      <c r="Q13">
        <v>48.22236817900194</v>
      </c>
      <c r="R13">
        <v>57.288127872809348</v>
      </c>
      <c r="S13">
        <v>43.158561642199359</v>
      </c>
      <c r="T13">
        <v>59.154512618146207</v>
      </c>
      <c r="U13">
        <v>49.439196394953534</v>
      </c>
      <c r="V13">
        <v>59.001863974307902</v>
      </c>
      <c r="W13">
        <v>50.271907282920836</v>
      </c>
      <c r="X13">
        <v>59.442887482643314</v>
      </c>
      <c r="Y13">
        <v>3839.0898472288445</v>
      </c>
      <c r="Z13">
        <v>22.184071837379566</v>
      </c>
      <c r="AA13">
        <v>30.217621028242508</v>
      </c>
      <c r="AB13">
        <v>29.576015743883222</v>
      </c>
      <c r="AD13">
        <v>49.2486085908685</v>
      </c>
      <c r="AE13">
        <v>59.214650087355025</v>
      </c>
      <c r="AF13">
        <v>25.073097075037932</v>
      </c>
      <c r="AG13">
        <v>31.539852418389035</v>
      </c>
      <c r="AH13">
        <v>30.241904003105812</v>
      </c>
      <c r="AJ13">
        <v>53.346581835090511</v>
      </c>
      <c r="AK13">
        <v>54.270686476827507</v>
      </c>
      <c r="AL13">
        <v>14.845113205690192</v>
      </c>
      <c r="AM13">
        <v>36.465336440522115</v>
      </c>
      <c r="AN13">
        <v>6.2696693460067081</v>
      </c>
      <c r="AO13">
        <v>50.188608716436939</v>
      </c>
      <c r="AP13">
        <v>61.210212989535101</v>
      </c>
      <c r="AX13">
        <v>19.850000000000001</v>
      </c>
      <c r="AY13">
        <v>45.410521385456072</v>
      </c>
      <c r="AZ13">
        <v>71.599601266767976</v>
      </c>
      <c r="BA13">
        <v>-23.263208881662294</v>
      </c>
      <c r="BB13">
        <v>654.20120787951748</v>
      </c>
      <c r="BC13">
        <v>632.05749899785508</v>
      </c>
    </row>
    <row r="14" spans="1:55">
      <c r="A14" t="s">
        <v>568</v>
      </c>
      <c r="B14">
        <v>106.14760708618456</v>
      </c>
      <c r="C14">
        <v>109.80223113728609</v>
      </c>
      <c r="D14">
        <v>50.487565691422986</v>
      </c>
      <c r="E14">
        <v>63.747280881457407</v>
      </c>
      <c r="F14">
        <v>3.3422450718080396</v>
      </c>
      <c r="G14">
        <v>8.7525571683185172E-2</v>
      </c>
      <c r="H14">
        <v>8.2555071632549399</v>
      </c>
      <c r="I14">
        <v>7.8664612207354567</v>
      </c>
      <c r="J14">
        <v>23.848406775236793</v>
      </c>
      <c r="K14">
        <v>11.177838867947516</v>
      </c>
      <c r="L14">
        <v>12.632306042294728</v>
      </c>
      <c r="M14">
        <v>27.642340027642593</v>
      </c>
      <c r="N14">
        <v>19.754628347654908</v>
      </c>
      <c r="O14">
        <v>82.853670240481733</v>
      </c>
      <c r="P14">
        <v>4.0448414568062434</v>
      </c>
      <c r="Q14">
        <v>48.919938767736923</v>
      </c>
      <c r="R14">
        <v>57.967412348784777</v>
      </c>
      <c r="S14">
        <v>43.368927775903217</v>
      </c>
      <c r="T14">
        <v>59.087744072916394</v>
      </c>
      <c r="U14">
        <v>50.027520567059334</v>
      </c>
      <c r="V14">
        <v>59.533449945262383</v>
      </c>
      <c r="W14">
        <v>50.809345589678976</v>
      </c>
      <c r="X14">
        <v>59.937718289600774</v>
      </c>
      <c r="Y14">
        <v>3818.5926781557132</v>
      </c>
      <c r="Z14">
        <v>22.830031209326407</v>
      </c>
      <c r="AA14">
        <v>30.819553386733372</v>
      </c>
      <c r="AB14">
        <v>30.104495573275525</v>
      </c>
      <c r="AD14">
        <v>49.625971329638219</v>
      </c>
      <c r="AE14">
        <v>59.618029676275405</v>
      </c>
      <c r="AF14">
        <v>25.888053549054433</v>
      </c>
      <c r="AG14">
        <v>32.42437898882865</v>
      </c>
      <c r="AH14">
        <v>31.194186420502472</v>
      </c>
      <c r="AJ14">
        <v>49.446021083887878</v>
      </c>
      <c r="AK14">
        <v>52.242706363864578</v>
      </c>
      <c r="AL14">
        <v>15.36437150720414</v>
      </c>
      <c r="AM14">
        <v>37.429226951683376</v>
      </c>
      <c r="AN14">
        <v>6.592132063012035</v>
      </c>
      <c r="AO14">
        <v>50.781837517407581</v>
      </c>
      <c r="AP14">
        <v>61.801858353999215</v>
      </c>
      <c r="AX14">
        <v>18.329999999999998</v>
      </c>
      <c r="AY14">
        <v>44.329788448503706</v>
      </c>
      <c r="AZ14">
        <v>72.920080813991305</v>
      </c>
      <c r="BA14">
        <v>-13.422423728020535</v>
      </c>
      <c r="BB14">
        <v>620.80173328859075</v>
      </c>
      <c r="BC14">
        <v>608.38970956057017</v>
      </c>
    </row>
    <row r="15" spans="1:55">
      <c r="A15" t="s">
        <v>569</v>
      </c>
      <c r="B15">
        <v>105.38728412452342</v>
      </c>
      <c r="C15">
        <v>108.91016937007994</v>
      </c>
      <c r="D15">
        <v>50.793784685489165</v>
      </c>
      <c r="E15">
        <v>64.236661697377201</v>
      </c>
      <c r="F15">
        <v>-6.0306232390004872</v>
      </c>
      <c r="G15">
        <v>-0.15571676776147875</v>
      </c>
      <c r="H15">
        <v>8.0529544013280159</v>
      </c>
      <c r="I15">
        <v>7.4589269105908711</v>
      </c>
      <c r="J15">
        <v>25.252211605468556</v>
      </c>
      <c r="K15">
        <v>11.324180184705865</v>
      </c>
      <c r="L15">
        <v>12.96830465857702</v>
      </c>
      <c r="M15">
        <v>29.224076341104087</v>
      </c>
      <c r="N15">
        <v>20.829252664231959</v>
      </c>
      <c r="O15">
        <v>82.868731576194037</v>
      </c>
      <c r="P15">
        <v>3.9726065118681384</v>
      </c>
      <c r="Q15">
        <v>49.386586138674005</v>
      </c>
      <c r="R15">
        <v>58.331710759165489</v>
      </c>
      <c r="S15">
        <v>43.729284020391987</v>
      </c>
      <c r="T15">
        <v>59.320525756390467</v>
      </c>
      <c r="U15">
        <v>50.481992479095474</v>
      </c>
      <c r="V15">
        <v>59.869152906862723</v>
      </c>
      <c r="W15">
        <v>51.138992116609295</v>
      </c>
      <c r="X15">
        <v>60.200868780119123</v>
      </c>
      <c r="Y15">
        <v>3872.8155777276183</v>
      </c>
      <c r="Z15">
        <v>23.491437934637798</v>
      </c>
      <c r="AA15">
        <v>31.630020653603609</v>
      </c>
      <c r="AB15">
        <v>30.843919396392867</v>
      </c>
      <c r="AD15">
        <v>50.192893904887939</v>
      </c>
      <c r="AE15">
        <v>60.012120523872426</v>
      </c>
      <c r="AF15">
        <v>26.052484148742582</v>
      </c>
      <c r="AG15">
        <v>32.886646613898627</v>
      </c>
      <c r="AH15">
        <v>31.574332072276949</v>
      </c>
      <c r="AJ15">
        <v>48.005645911945088</v>
      </c>
      <c r="AK15">
        <v>52.242706363864578</v>
      </c>
      <c r="AL15">
        <v>15.948202516652108</v>
      </c>
      <c r="AM15">
        <v>38.422730350185425</v>
      </c>
      <c r="AN15">
        <v>6.9683221901147023</v>
      </c>
      <c r="AO15">
        <v>51.45139541791567</v>
      </c>
      <c r="AP15">
        <v>62.487535590873051</v>
      </c>
      <c r="AX15">
        <v>19.423333333333332</v>
      </c>
      <c r="AY15">
        <v>47.033929839595253</v>
      </c>
      <c r="AZ15">
        <v>71.595880025554251</v>
      </c>
      <c r="BA15">
        <v>-15.693802846897697</v>
      </c>
      <c r="BB15">
        <v>636.01361983754191</v>
      </c>
      <c r="BC15">
        <v>621.23741699064419</v>
      </c>
    </row>
    <row r="16" spans="1:55">
      <c r="A16" t="s">
        <v>570</v>
      </c>
      <c r="B16">
        <v>100.06949762669247</v>
      </c>
      <c r="C16">
        <v>99.589247281328241</v>
      </c>
      <c r="D16">
        <v>50.876061968182036</v>
      </c>
      <c r="E16">
        <v>64.187419165183968</v>
      </c>
      <c r="F16">
        <v>6.2783686327666324</v>
      </c>
      <c r="G16">
        <v>0.1569003179492876</v>
      </c>
      <c r="H16">
        <v>7.501608181741851</v>
      </c>
      <c r="I16">
        <v>6.7741971778156893</v>
      </c>
      <c r="J16">
        <v>26.006904832833765</v>
      </c>
      <c r="K16">
        <v>11.536940907598231</v>
      </c>
      <c r="L16">
        <v>13.569935253984616</v>
      </c>
      <c r="M16">
        <v>30.888156744030898</v>
      </c>
      <c r="N16">
        <v>22.174653755610709</v>
      </c>
      <c r="O16">
        <v>83.049326824098912</v>
      </c>
      <c r="P16">
        <v>4.043923222721781</v>
      </c>
      <c r="Q16">
        <v>49.618252945951468</v>
      </c>
      <c r="R16">
        <v>58.574449795474472</v>
      </c>
      <c r="S16">
        <v>43.99984616049101</v>
      </c>
      <c r="T16">
        <v>59.486361575178591</v>
      </c>
      <c r="U16">
        <v>50.793182303727789</v>
      </c>
      <c r="V16">
        <v>60.180054985171139</v>
      </c>
      <c r="W16">
        <v>51.30092943761241</v>
      </c>
      <c r="X16">
        <v>60.437240902618406</v>
      </c>
      <c r="Y16">
        <v>4001.5015360235848</v>
      </c>
      <c r="Z16">
        <v>24.121961425361839</v>
      </c>
      <c r="AA16">
        <v>32.238018102694745</v>
      </c>
      <c r="AB16">
        <v>31.276994079064409</v>
      </c>
      <c r="AD16">
        <v>50.411298100395122</v>
      </c>
      <c r="AE16">
        <v>60.206084267616355</v>
      </c>
      <c r="AF16">
        <v>26.749703519396018</v>
      </c>
      <c r="AG16">
        <v>33.643549290092544</v>
      </c>
      <c r="AH16">
        <v>32.17182330971908</v>
      </c>
      <c r="AJ16">
        <v>50.707911131358038</v>
      </c>
      <c r="AK16">
        <v>52.242706363864578</v>
      </c>
      <c r="AL16">
        <v>16.703032635609166</v>
      </c>
      <c r="AM16">
        <v>39.748320640779262</v>
      </c>
      <c r="AN16">
        <v>7.5211591180251212</v>
      </c>
      <c r="AO16">
        <v>52.054717497614263</v>
      </c>
      <c r="AP16">
        <v>63.107878161033419</v>
      </c>
      <c r="AX16">
        <v>19.866666666666664</v>
      </c>
      <c r="AY16">
        <v>46.499277861575386</v>
      </c>
      <c r="AZ16">
        <v>69.219184673781456</v>
      </c>
      <c r="BA16">
        <v>-7.3048116528879259</v>
      </c>
      <c r="BB16">
        <v>657.82462855550295</v>
      </c>
      <c r="BC16">
        <v>651.59681690261505</v>
      </c>
    </row>
    <row r="17" spans="1:55">
      <c r="A17" t="s">
        <v>571</v>
      </c>
      <c r="B17">
        <v>98.979593947312352</v>
      </c>
      <c r="C17">
        <v>97.701344805216252</v>
      </c>
      <c r="D17">
        <v>51.048224824505745</v>
      </c>
      <c r="E17">
        <v>63.927530204291209</v>
      </c>
      <c r="F17">
        <v>-0.54879871940495872</v>
      </c>
      <c r="G17">
        <v>-1.3563717128336865E-2</v>
      </c>
      <c r="H17">
        <v>7.3384658145332571</v>
      </c>
      <c r="I17">
        <v>6.1613547510926692</v>
      </c>
      <c r="J17">
        <v>25.958013374832383</v>
      </c>
      <c r="K17">
        <v>11.715211058499616</v>
      </c>
      <c r="L17">
        <v>14.133369703244067</v>
      </c>
      <c r="M17">
        <v>29.051796212549508</v>
      </c>
      <c r="N17">
        <v>21.991081947460589</v>
      </c>
      <c r="O17">
        <v>83.092596362919096</v>
      </c>
      <c r="P17">
        <v>4.2358282121437982</v>
      </c>
      <c r="Q17">
        <v>49.975695437444656</v>
      </c>
      <c r="R17">
        <v>59.19876228248939</v>
      </c>
      <c r="S17">
        <v>44.335696724017062</v>
      </c>
      <c r="T17">
        <v>59.591735276980792</v>
      </c>
      <c r="U17">
        <v>51.336320270907798</v>
      </c>
      <c r="V17">
        <v>60.693202745562971</v>
      </c>
      <c r="W17">
        <v>51.732250919861947</v>
      </c>
      <c r="X17">
        <v>60.896221173423548</v>
      </c>
      <c r="Y17">
        <v>4046.0790667657525</v>
      </c>
      <c r="Z17">
        <v>24.506206417930397</v>
      </c>
      <c r="AA17">
        <v>32.529187053656585</v>
      </c>
      <c r="AB17">
        <v>31.729677785476824</v>
      </c>
      <c r="AD17">
        <v>50.869186283360058</v>
      </c>
      <c r="AE17">
        <v>60.671003001883761</v>
      </c>
      <c r="AF17">
        <v>27.431198309398141</v>
      </c>
      <c r="AG17">
        <v>34.29045667296964</v>
      </c>
      <c r="AH17">
        <v>32.832817695058331</v>
      </c>
      <c r="AI17">
        <v>50.258282656095126</v>
      </c>
      <c r="AJ17">
        <v>45.531943151024528</v>
      </c>
      <c r="AK17">
        <v>52.242706363864578</v>
      </c>
      <c r="AL17">
        <v>20.059383002506536</v>
      </c>
      <c r="AM17">
        <v>40.934656629643058</v>
      </c>
      <c r="AN17">
        <v>10.419023097318869</v>
      </c>
      <c r="AO17">
        <v>52.603413242229543</v>
      </c>
      <c r="AP17">
        <v>63.660578613401015</v>
      </c>
      <c r="AQ17">
        <v>66.519426673351575</v>
      </c>
      <c r="AR17">
        <v>47.829402043594136</v>
      </c>
      <c r="AU17">
        <v>54.263941776572928</v>
      </c>
      <c r="AV17">
        <v>51.653864189129244</v>
      </c>
      <c r="AW17">
        <v>44.464199534002013</v>
      </c>
      <c r="AX17">
        <v>17.506666666666668</v>
      </c>
      <c r="AY17">
        <v>40.826794324132074</v>
      </c>
      <c r="AZ17">
        <v>67.99259879828638</v>
      </c>
      <c r="BA17">
        <v>-6.8305857316463676</v>
      </c>
      <c r="BB17">
        <v>672.0173432659343</v>
      </c>
      <c r="BC17">
        <v>666.11805753428814</v>
      </c>
    </row>
    <row r="18" spans="1:55">
      <c r="A18" t="s">
        <v>572</v>
      </c>
      <c r="B18">
        <v>103.91855816979238</v>
      </c>
      <c r="C18">
        <v>106.61679626302343</v>
      </c>
      <c r="D18">
        <v>51.082981324514293</v>
      </c>
      <c r="E18">
        <v>64.147448422868166</v>
      </c>
      <c r="F18">
        <v>-8.218663681985781</v>
      </c>
      <c r="G18">
        <v>-0.20072862464294697</v>
      </c>
      <c r="H18">
        <v>7.3629296816868113</v>
      </c>
      <c r="I18">
        <v>5.7598333393366508</v>
      </c>
      <c r="J18">
        <v>24.93987861374309</v>
      </c>
      <c r="K18">
        <v>11.832685313947829</v>
      </c>
      <c r="L18">
        <v>14.501338939314881</v>
      </c>
      <c r="M18">
        <v>28.653464078980623</v>
      </c>
      <c r="N18">
        <v>21.561719997985399</v>
      </c>
      <c r="O18">
        <v>83.24998085526876</v>
      </c>
      <c r="P18">
        <v>4.2994114971150372</v>
      </c>
      <c r="Q18">
        <v>50.490739785388925</v>
      </c>
      <c r="R18">
        <v>59.556844349043793</v>
      </c>
      <c r="S18">
        <v>45.143591146390783</v>
      </c>
      <c r="T18">
        <v>60.50691151662582</v>
      </c>
      <c r="U18">
        <v>51.749078287146823</v>
      </c>
      <c r="V18">
        <v>61.074850672915673</v>
      </c>
      <c r="W18">
        <v>52.13774808202443</v>
      </c>
      <c r="X18">
        <v>61.272428558544824</v>
      </c>
      <c r="Y18">
        <v>4094.4153812666309</v>
      </c>
      <c r="Z18">
        <v>25.018508904127646</v>
      </c>
      <c r="AA18">
        <v>33.060567805913443</v>
      </c>
      <c r="AB18">
        <v>32.342648427419967</v>
      </c>
      <c r="AD18">
        <v>51.430872497790617</v>
      </c>
      <c r="AE18">
        <v>61.155270492726089</v>
      </c>
      <c r="AF18">
        <v>27.501555133931504</v>
      </c>
      <c r="AG18">
        <v>34.445036839373174</v>
      </c>
      <c r="AH18">
        <v>33.047754352606788</v>
      </c>
      <c r="AI18">
        <v>51.723618723603728</v>
      </c>
      <c r="AJ18">
        <v>41.181354009148151</v>
      </c>
      <c r="AK18">
        <v>51.725257866118362</v>
      </c>
      <c r="AL18">
        <v>21.882438141695086</v>
      </c>
      <c r="AM18">
        <v>42.193419575735781</v>
      </c>
      <c r="AN18">
        <v>11.982564568789591</v>
      </c>
      <c r="AO18">
        <v>53.167560912693951</v>
      </c>
      <c r="AP18">
        <v>64.239066153158205</v>
      </c>
      <c r="AQ18">
        <v>64.984303966617816</v>
      </c>
      <c r="AR18">
        <v>48.653229307613621</v>
      </c>
      <c r="AU18">
        <v>53.781090061551083</v>
      </c>
      <c r="AV18">
        <v>54.199500931495209</v>
      </c>
      <c r="AW18">
        <v>48.747539233352676</v>
      </c>
      <c r="AX18">
        <v>19.683333333333334</v>
      </c>
      <c r="AY18">
        <v>45.857339420383035</v>
      </c>
      <c r="AZ18">
        <v>72.528258736705126</v>
      </c>
      <c r="BA18">
        <v>-13.80617938805853</v>
      </c>
      <c r="BB18">
        <v>689.80278610316145</v>
      </c>
      <c r="BC18">
        <v>676.67880671510306</v>
      </c>
    </row>
    <row r="19" spans="1:55">
      <c r="A19" t="s">
        <v>573</v>
      </c>
      <c r="B19">
        <v>100.99171508528492</v>
      </c>
      <c r="C19">
        <v>101.20891812024895</v>
      </c>
      <c r="D19">
        <v>51.108131169573561</v>
      </c>
      <c r="E19">
        <v>64.497914680398026</v>
      </c>
      <c r="F19">
        <v>-12.672036448615538</v>
      </c>
      <c r="G19">
        <v>-0.29963425526385723</v>
      </c>
      <c r="H19">
        <v>6.8129192767286471</v>
      </c>
      <c r="I19">
        <v>5.4484826637259713</v>
      </c>
      <c r="J19">
        <v>25.058766025068184</v>
      </c>
      <c r="K19">
        <v>11.991291001366285</v>
      </c>
      <c r="L19">
        <v>14.983062764664053</v>
      </c>
      <c r="M19">
        <v>29.108060906819127</v>
      </c>
      <c r="N19">
        <v>22.248485771271746</v>
      </c>
      <c r="O19">
        <v>83.341423612348649</v>
      </c>
      <c r="P19">
        <v>4.2717722587051457</v>
      </c>
      <c r="Q19">
        <v>50.959186710311087</v>
      </c>
      <c r="R19">
        <v>60.013287472091157</v>
      </c>
      <c r="S19">
        <v>45.491978352718533</v>
      </c>
      <c r="T19">
        <v>60.62160622077775</v>
      </c>
      <c r="U19">
        <v>52.277746549288295</v>
      </c>
      <c r="V19">
        <v>61.595490417132638</v>
      </c>
      <c r="W19">
        <v>52.660819707584317</v>
      </c>
      <c r="X19">
        <v>61.788011881358095</v>
      </c>
      <c r="Y19">
        <v>4229.1681361520468</v>
      </c>
      <c r="Z19">
        <v>25.255727160291407</v>
      </c>
      <c r="AA19">
        <v>33.239037493815857</v>
      </c>
      <c r="AB19">
        <v>32.526455183383099</v>
      </c>
      <c r="AD19">
        <v>51.782820755592454</v>
      </c>
      <c r="AE19">
        <v>61.580106632039907</v>
      </c>
      <c r="AF19">
        <v>28.111754557256596</v>
      </c>
      <c r="AG19">
        <v>35.007428531605065</v>
      </c>
      <c r="AH19">
        <v>33.514844019794076</v>
      </c>
      <c r="AI19">
        <v>52.137219526192759</v>
      </c>
      <c r="AJ19">
        <v>41.845636632997525</v>
      </c>
      <c r="AK19">
        <v>49.138015377387312</v>
      </c>
      <c r="AL19">
        <v>23.629281549929839</v>
      </c>
      <c r="AM19">
        <v>43.446127501101223</v>
      </c>
      <c r="AN19">
        <v>13.540622128368188</v>
      </c>
      <c r="AO19">
        <v>53.682182745109792</v>
      </c>
      <c r="AP19">
        <v>64.718098451057159</v>
      </c>
      <c r="AQ19">
        <v>63.082407207724437</v>
      </c>
      <c r="AR19">
        <v>50.141161312276246</v>
      </c>
      <c r="AU19">
        <v>53.176748213173134</v>
      </c>
      <c r="AV19">
        <v>61.388954787700847</v>
      </c>
      <c r="AW19">
        <v>50.633567957497569</v>
      </c>
      <c r="AX19">
        <v>19.996666666666666</v>
      </c>
      <c r="AY19">
        <v>44.615930526190617</v>
      </c>
      <c r="AZ19">
        <v>72.22794082608948</v>
      </c>
      <c r="BA19">
        <v>-11.577063960732749</v>
      </c>
      <c r="BB19">
        <v>721.76381126137528</v>
      </c>
      <c r="BC19">
        <v>710.18674730064254</v>
      </c>
    </row>
    <row r="20" spans="1:55">
      <c r="A20" t="s">
        <v>574</v>
      </c>
      <c r="B20">
        <v>102.40385426532082</v>
      </c>
      <c r="C20">
        <v>104.19515678942594</v>
      </c>
      <c r="D20">
        <v>51.245665168834996</v>
      </c>
      <c r="E20">
        <v>64.638414889305636</v>
      </c>
      <c r="F20">
        <v>-7.942839645579582</v>
      </c>
      <c r="G20">
        <v>-0.18932182217932744</v>
      </c>
      <c r="H20">
        <v>6.7318075724671722</v>
      </c>
      <c r="I20">
        <v>4.8908571425412051</v>
      </c>
      <c r="J20">
        <v>25.639143268311454</v>
      </c>
      <c r="K20">
        <v>12.164011556448354</v>
      </c>
      <c r="L20">
        <v>15.497240755049832</v>
      </c>
      <c r="M20">
        <v>29.418505522250232</v>
      </c>
      <c r="N20">
        <v>23.845699506335183</v>
      </c>
      <c r="O20">
        <v>83.436843735525869</v>
      </c>
      <c r="P20">
        <v>4.2706196827385092</v>
      </c>
      <c r="Q20">
        <v>51.50205286905782</v>
      </c>
      <c r="R20">
        <v>60.443606521695713</v>
      </c>
      <c r="S20">
        <v>45.966833834184548</v>
      </c>
      <c r="T20">
        <v>60.887703550624117</v>
      </c>
      <c r="U20">
        <v>52.595832662910546</v>
      </c>
      <c r="V20">
        <v>61.916599544799631</v>
      </c>
      <c r="W20">
        <v>52.953233882380481</v>
      </c>
      <c r="X20">
        <v>62.096681777318054</v>
      </c>
      <c r="Y20">
        <v>4195.4168590539175</v>
      </c>
      <c r="Z20">
        <v>25.922482262754652</v>
      </c>
      <c r="AA20">
        <v>33.766728398868892</v>
      </c>
      <c r="AB20">
        <v>32.987576617882254</v>
      </c>
      <c r="AD20">
        <v>51.980817028139356</v>
      </c>
      <c r="AE20">
        <v>61.782191711042636</v>
      </c>
      <c r="AF20">
        <v>28.837970778470311</v>
      </c>
      <c r="AG20">
        <v>35.621343633690977</v>
      </c>
      <c r="AH20">
        <v>34.213053288841714</v>
      </c>
      <c r="AI20">
        <v>50.557026409316954</v>
      </c>
      <c r="AJ20">
        <v>46.601668293837548</v>
      </c>
      <c r="AK20">
        <v>46.46257064143802</v>
      </c>
      <c r="AL20">
        <v>25.735198230613111</v>
      </c>
      <c r="AM20">
        <v>44.94741578736771</v>
      </c>
      <c r="AN20">
        <v>15.560853653418574</v>
      </c>
      <c r="AO20">
        <v>54.219144527229069</v>
      </c>
      <c r="AP20">
        <v>65.247916195530777</v>
      </c>
      <c r="AQ20">
        <v>61.231112521612822</v>
      </c>
      <c r="AR20">
        <v>44.892083309468909</v>
      </c>
      <c r="AU20">
        <v>51.344046708943068</v>
      </c>
      <c r="AV20">
        <v>65.947681007429608</v>
      </c>
      <c r="AW20">
        <v>49.418621742904811</v>
      </c>
      <c r="AX20">
        <v>18.956666666666667</v>
      </c>
      <c r="AY20">
        <v>43.745613693739294</v>
      </c>
      <c r="AZ20">
        <v>72.125898306713054</v>
      </c>
      <c r="BA20">
        <v>-9.48542122384465</v>
      </c>
      <c r="BB20">
        <v>705.48371024984078</v>
      </c>
      <c r="BC20">
        <v>695.99828902599609</v>
      </c>
    </row>
    <row r="21" spans="1:55">
      <c r="A21" t="s">
        <v>575</v>
      </c>
      <c r="B21">
        <v>103.24847062483155</v>
      </c>
      <c r="C21">
        <v>105.5112185226924</v>
      </c>
      <c r="D21">
        <v>51.487975436038404</v>
      </c>
      <c r="E21">
        <v>65.158724398534915</v>
      </c>
      <c r="F21">
        <v>-5.7876936391396523</v>
      </c>
      <c r="G21">
        <v>-0.13269153338682363</v>
      </c>
      <c r="H21">
        <v>6.2895058547201259</v>
      </c>
      <c r="I21">
        <v>4.5145208083925601</v>
      </c>
      <c r="J21">
        <v>27.213159523853903</v>
      </c>
      <c r="K21">
        <v>12.504830135984097</v>
      </c>
      <c r="L21">
        <v>16.407766851209608</v>
      </c>
      <c r="M21">
        <v>31.639238985628165</v>
      </c>
      <c r="N21">
        <v>25.826284988742653</v>
      </c>
      <c r="O21">
        <v>83.554678928002559</v>
      </c>
      <c r="P21">
        <v>4.9602998649264043</v>
      </c>
      <c r="Q21">
        <v>52.640917164205966</v>
      </c>
      <c r="R21">
        <v>61.292826034182127</v>
      </c>
      <c r="S21">
        <v>47.143640013496594</v>
      </c>
      <c r="T21">
        <v>61.592522355738275</v>
      </c>
      <c r="U21">
        <v>53.111070868394464</v>
      </c>
      <c r="V21">
        <v>62.308641459544504</v>
      </c>
      <c r="W21">
        <v>53.477522646616684</v>
      </c>
      <c r="X21">
        <v>62.486482242365163</v>
      </c>
      <c r="Y21">
        <v>4361.7655862543334</v>
      </c>
      <c r="Z21">
        <v>26.897002613913774</v>
      </c>
      <c r="AA21">
        <v>34.593486468286535</v>
      </c>
      <c r="AB21">
        <v>33.780768729207125</v>
      </c>
      <c r="AD21">
        <v>52.604997528738672</v>
      </c>
      <c r="AE21">
        <v>62.197379149685993</v>
      </c>
      <c r="AF21">
        <v>30.382312972941548</v>
      </c>
      <c r="AG21">
        <v>36.817071302661347</v>
      </c>
      <c r="AH21">
        <v>35.403096363963684</v>
      </c>
      <c r="AI21">
        <v>50.034526189693167</v>
      </c>
      <c r="AJ21">
        <v>45.135888860610976</v>
      </c>
      <c r="AK21">
        <v>44.024943215350902</v>
      </c>
      <c r="AL21">
        <v>27.808967973385027</v>
      </c>
      <c r="AM21">
        <v>46.829245241118365</v>
      </c>
      <c r="AN21">
        <v>17.574560450997083</v>
      </c>
      <c r="AO21">
        <v>54.798433403925941</v>
      </c>
      <c r="AP21">
        <v>65.778120974255032</v>
      </c>
      <c r="AQ21">
        <v>62.812452804306609</v>
      </c>
      <c r="AR21">
        <v>43.882470522603192</v>
      </c>
      <c r="AU21">
        <v>52.039681957464829</v>
      </c>
      <c r="AV21">
        <v>63.018192103630099</v>
      </c>
      <c r="AW21">
        <v>47.134119829147046</v>
      </c>
      <c r="AX21">
        <v>17.989999999999998</v>
      </c>
      <c r="AY21">
        <v>42.337200346993093</v>
      </c>
      <c r="AZ21">
        <v>76.160492526490572</v>
      </c>
      <c r="BA21">
        <v>-0.19124413576457977</v>
      </c>
      <c r="BB21">
        <v>687.87289734546778</v>
      </c>
      <c r="BC21">
        <v>687.6816532097032</v>
      </c>
    </row>
    <row r="22" spans="1:55">
      <c r="A22" t="s">
        <v>576</v>
      </c>
      <c r="B22">
        <v>101.74900372271468</v>
      </c>
      <c r="C22">
        <v>102.87849113030127</v>
      </c>
      <c r="D22">
        <v>51.796827748584043</v>
      </c>
      <c r="E22">
        <v>65.57690317829055</v>
      </c>
      <c r="F22">
        <v>-19.011223686465247</v>
      </c>
      <c r="G22">
        <v>-0.41978225813418879</v>
      </c>
      <c r="H22">
        <v>6.1341952128825321</v>
      </c>
      <c r="I22">
        <v>4.2917926615992217</v>
      </c>
      <c r="J22">
        <v>28.637600221702819</v>
      </c>
      <c r="K22">
        <v>17.852793649994329</v>
      </c>
      <c r="L22">
        <v>17.561017498459417</v>
      </c>
      <c r="M22">
        <v>33.813197296323303</v>
      </c>
      <c r="N22">
        <v>27.909576704820665</v>
      </c>
      <c r="O22">
        <v>83.694154192467565</v>
      </c>
      <c r="P22">
        <v>4.9812768283187721</v>
      </c>
      <c r="Q22">
        <v>53.222520868558497</v>
      </c>
      <c r="R22">
        <v>61.725809598134994</v>
      </c>
      <c r="S22">
        <v>47.784674249428839</v>
      </c>
      <c r="T22">
        <v>62.025542593476921</v>
      </c>
      <c r="U22">
        <v>53.615739176512534</v>
      </c>
      <c r="V22">
        <v>62.671143111509465</v>
      </c>
      <c r="W22">
        <v>53.958127301758132</v>
      </c>
      <c r="X22">
        <v>62.83318561751399</v>
      </c>
      <c r="Y22">
        <v>4528.829724954232</v>
      </c>
      <c r="Z22">
        <v>27.444793627745039</v>
      </c>
      <c r="AA22">
        <v>35.09927535456206</v>
      </c>
      <c r="AB22">
        <v>34.268181634051935</v>
      </c>
      <c r="AD22">
        <v>53.206910575934884</v>
      </c>
      <c r="AE22">
        <v>62.632859980934604</v>
      </c>
      <c r="AF22">
        <v>30.354298656745193</v>
      </c>
      <c r="AG22">
        <v>36.843323543280015</v>
      </c>
      <c r="AH22">
        <v>35.571613136436461</v>
      </c>
      <c r="AI22">
        <v>50.992395582626024</v>
      </c>
      <c r="AJ22">
        <v>42.16218331525716</v>
      </c>
      <c r="AK22">
        <v>43.073673975902267</v>
      </c>
      <c r="AL22">
        <v>30.417038862759359</v>
      </c>
      <c r="AM22">
        <v>49.476245531666571</v>
      </c>
      <c r="AN22">
        <v>20.422589999828041</v>
      </c>
      <c r="AO22">
        <v>55.469412496221985</v>
      </c>
      <c r="AP22">
        <v>66.390493399564605</v>
      </c>
      <c r="AQ22">
        <v>64.308096085804323</v>
      </c>
      <c r="AR22">
        <v>40.780315244292758</v>
      </c>
      <c r="AU22">
        <v>53.36515245101134</v>
      </c>
      <c r="AV22">
        <v>65.690285089285098</v>
      </c>
      <c r="AW22">
        <v>47.56026366364685</v>
      </c>
      <c r="AX22">
        <v>17.993333333333336</v>
      </c>
      <c r="AY22">
        <v>41.253285986145507</v>
      </c>
      <c r="AZ22">
        <v>86.622906794167875</v>
      </c>
      <c r="BA22">
        <v>-3.4746474116702499</v>
      </c>
      <c r="BB22">
        <v>717.91601846839831</v>
      </c>
      <c r="BC22">
        <v>714.44137105672803</v>
      </c>
    </row>
    <row r="23" spans="1:55">
      <c r="A23" t="s">
        <v>577</v>
      </c>
      <c r="B23">
        <v>101.43716954417987</v>
      </c>
      <c r="C23">
        <v>102.29281596467324</v>
      </c>
      <c r="D23">
        <v>52.147282120565251</v>
      </c>
      <c r="E23">
        <v>65.946824333498114</v>
      </c>
      <c r="F23">
        <v>-18.418090359566872</v>
      </c>
      <c r="G23">
        <v>-0.39928017950208095</v>
      </c>
      <c r="H23">
        <v>5.6771409925139054</v>
      </c>
      <c r="I23">
        <v>4.2543031019192075</v>
      </c>
      <c r="J23">
        <v>29.880757879374514</v>
      </c>
      <c r="K23">
        <v>21.832705554837535</v>
      </c>
      <c r="L23">
        <v>18.795000379706664</v>
      </c>
      <c r="M23">
        <v>35.582569026895591</v>
      </c>
      <c r="N23">
        <v>30.299741645369188</v>
      </c>
      <c r="O23">
        <v>83.902125440311195</v>
      </c>
      <c r="P23">
        <v>4.986375010020196</v>
      </c>
      <c r="Q23">
        <v>53.896423061727361</v>
      </c>
      <c r="R23">
        <v>62.332828208930145</v>
      </c>
      <c r="S23">
        <v>48.346594409626768</v>
      </c>
      <c r="T23">
        <v>62.320424565463981</v>
      </c>
      <c r="U23">
        <v>54.067867341352581</v>
      </c>
      <c r="V23">
        <v>63.024689279544667</v>
      </c>
      <c r="W23">
        <v>54.385598629371543</v>
      </c>
      <c r="X23">
        <v>63.17290145776694</v>
      </c>
      <c r="Y23">
        <v>4612.8236023473546</v>
      </c>
      <c r="Z23">
        <v>28.459599954028814</v>
      </c>
      <c r="AA23">
        <v>35.882009628346481</v>
      </c>
      <c r="AB23">
        <v>34.935200051632201</v>
      </c>
      <c r="AD23">
        <v>53.733707493664525</v>
      </c>
      <c r="AE23">
        <v>63.024283234963761</v>
      </c>
      <c r="AF23">
        <v>30.795053685149732</v>
      </c>
      <c r="AG23">
        <v>37.152911321169285</v>
      </c>
      <c r="AH23">
        <v>35.958917512929069</v>
      </c>
      <c r="AI23">
        <v>49.595479410372157</v>
      </c>
      <c r="AJ23">
        <v>50.310756616536167</v>
      </c>
      <c r="AK23">
        <v>43.073673975902267</v>
      </c>
      <c r="AL23">
        <v>33.886943608676596</v>
      </c>
      <c r="AM23">
        <v>52.84334646571147</v>
      </c>
      <c r="AN23">
        <v>24.600055933102841</v>
      </c>
      <c r="AO23">
        <v>56.076752902906321</v>
      </c>
      <c r="AP23">
        <v>66.889485055668203</v>
      </c>
      <c r="AQ23">
        <v>63.67013587256546</v>
      </c>
      <c r="AR23">
        <v>39.651704355207897</v>
      </c>
      <c r="AU23">
        <v>53.2108713941658</v>
      </c>
      <c r="AV23">
        <v>65.329982681853849</v>
      </c>
      <c r="AW23">
        <v>44.365907686218314</v>
      </c>
      <c r="AX23">
        <v>16.2</v>
      </c>
      <c r="AY23">
        <v>37.405872859670438</v>
      </c>
      <c r="AZ23">
        <v>85.740495822941469</v>
      </c>
      <c r="BA23">
        <v>-0.94475070008760076</v>
      </c>
      <c r="BB23">
        <v>718.93549257260145</v>
      </c>
      <c r="BC23">
        <v>717.99074187251392</v>
      </c>
    </row>
    <row r="24" spans="1:55">
      <c r="A24" t="s">
        <v>578</v>
      </c>
      <c r="B24">
        <v>104.15099281692854</v>
      </c>
      <c r="C24">
        <v>106.98842345434889</v>
      </c>
      <c r="D24">
        <v>52.828154995924159</v>
      </c>
      <c r="E24">
        <v>66.455809421993777</v>
      </c>
      <c r="F24">
        <v>-22.279985518378915</v>
      </c>
      <c r="G24">
        <v>-0.47682848310865789</v>
      </c>
      <c r="H24">
        <v>5.3968967820298142</v>
      </c>
      <c r="I24">
        <v>4.0395383572366805</v>
      </c>
      <c r="J24">
        <v>32.04227385941433</v>
      </c>
      <c r="K24">
        <v>22.854827359056507</v>
      </c>
      <c r="L24">
        <v>25.921096022401795</v>
      </c>
      <c r="M24">
        <v>37.684721142284296</v>
      </c>
      <c r="N24">
        <v>33.524495639840708</v>
      </c>
      <c r="O24">
        <v>84.048737983494689</v>
      </c>
      <c r="P24">
        <v>4.9896451594408422</v>
      </c>
      <c r="Q24">
        <v>54.630786452903301</v>
      </c>
      <c r="R24">
        <v>63.12106084204617</v>
      </c>
      <c r="S24">
        <v>49.494437693535048</v>
      </c>
      <c r="T24">
        <v>63.530317505174679</v>
      </c>
      <c r="U24">
        <v>54.674231314345768</v>
      </c>
      <c r="V24">
        <v>63.679982297648053</v>
      </c>
      <c r="W24">
        <v>54.978025933211839</v>
      </c>
      <c r="X24">
        <v>63.822090580022603</v>
      </c>
      <c r="Y24">
        <v>4672.5366264040558</v>
      </c>
      <c r="Z24">
        <v>29.271835034552236</v>
      </c>
      <c r="AA24">
        <v>36.886784564668588</v>
      </c>
      <c r="AB24">
        <v>35.827521678037385</v>
      </c>
      <c r="AD24">
        <v>54.387402772064888</v>
      </c>
      <c r="AE24">
        <v>63.732312451422814</v>
      </c>
      <c r="AF24">
        <v>31.668269044878894</v>
      </c>
      <c r="AG24">
        <v>37.927462530234038</v>
      </c>
      <c r="AH24">
        <v>36.672803497164111</v>
      </c>
      <c r="AI24">
        <v>48.580649023731588</v>
      </c>
      <c r="AJ24">
        <v>54.312887606121997</v>
      </c>
      <c r="AK24">
        <v>42.944311851465706</v>
      </c>
      <c r="AL24">
        <v>37.592802553046376</v>
      </c>
      <c r="AM24">
        <v>56.120641492236956</v>
      </c>
      <c r="AN24">
        <v>29.460842004500204</v>
      </c>
      <c r="AO24">
        <v>56.63665816963033</v>
      </c>
      <c r="AP24">
        <v>67.395587810370174</v>
      </c>
      <c r="AQ24">
        <v>64.978977202990563</v>
      </c>
      <c r="AR24">
        <v>37.49193209710262</v>
      </c>
      <c r="AU24">
        <v>53.36588561335568</v>
      </c>
      <c r="AV24">
        <v>63.12656499308747</v>
      </c>
      <c r="AW24">
        <v>41.658927098512969</v>
      </c>
      <c r="AX24">
        <v>14.963333333333333</v>
      </c>
      <c r="AY24">
        <v>34.768051867711073</v>
      </c>
      <c r="AZ24">
        <v>83.352583155226981</v>
      </c>
      <c r="BA24">
        <v>2.4185887645573523</v>
      </c>
      <c r="BB24">
        <v>732.16659618918641</v>
      </c>
      <c r="BC24">
        <v>734.58518495374369</v>
      </c>
    </row>
    <row r="25" spans="1:55">
      <c r="A25" t="s">
        <v>579</v>
      </c>
      <c r="B25">
        <v>107.36885799690691</v>
      </c>
      <c r="C25">
        <v>107.41857799894717</v>
      </c>
      <c r="D25">
        <v>53.634238267519684</v>
      </c>
      <c r="E25">
        <v>67.323183284723314</v>
      </c>
      <c r="F25">
        <v>-8.7345658712731744</v>
      </c>
      <c r="G25">
        <v>-0.18598882819230977</v>
      </c>
      <c r="H25">
        <v>6.0863742645031529</v>
      </c>
      <c r="I25">
        <v>3.973080454310074</v>
      </c>
      <c r="J25">
        <v>31.728389381571219</v>
      </c>
      <c r="K25">
        <v>26.897377832732683</v>
      </c>
      <c r="L25">
        <v>26.568752694616315</v>
      </c>
      <c r="M25">
        <v>37.402625957753408</v>
      </c>
      <c r="N25">
        <v>33.968623331625636</v>
      </c>
      <c r="O25">
        <v>84.423521057556911</v>
      </c>
      <c r="P25">
        <v>5.3174852330701095</v>
      </c>
      <c r="Q25">
        <v>55.004444102105566</v>
      </c>
      <c r="R25">
        <v>63.679636375440104</v>
      </c>
      <c r="S25">
        <v>50.306729538740434</v>
      </c>
      <c r="T25">
        <v>64.170732124749847</v>
      </c>
      <c r="U25">
        <v>55.357627338363322</v>
      </c>
      <c r="V25">
        <v>64.443543361292882</v>
      </c>
      <c r="W25">
        <v>55.661376228368177</v>
      </c>
      <c r="X25">
        <v>64.584698046537952</v>
      </c>
      <c r="Y25">
        <v>4696.2852318429359</v>
      </c>
      <c r="Z25">
        <v>29.879195747240878</v>
      </c>
      <c r="AA25">
        <v>37.880387458500728</v>
      </c>
      <c r="AB25">
        <v>36.796127434854917</v>
      </c>
      <c r="AD25">
        <v>55.135578422389095</v>
      </c>
      <c r="AE25">
        <v>64.544005191300243</v>
      </c>
      <c r="AF25">
        <v>32.192311853997566</v>
      </c>
      <c r="AG25">
        <v>38.784958777798643</v>
      </c>
      <c r="AH25">
        <v>37.373900618241329</v>
      </c>
      <c r="AI25">
        <v>49.703681195373953</v>
      </c>
      <c r="AJ25">
        <v>54.613994417976699</v>
      </c>
      <c r="AK25">
        <v>42.716948011109025</v>
      </c>
      <c r="AL25">
        <v>40.607174369407147</v>
      </c>
      <c r="AM25">
        <v>58.301997636144641</v>
      </c>
      <c r="AN25">
        <v>33.496126749266068</v>
      </c>
      <c r="AO25">
        <v>57.215119198568381</v>
      </c>
      <c r="AP25">
        <v>67.835323256362926</v>
      </c>
      <c r="AQ25">
        <v>68.568639058293513</v>
      </c>
      <c r="AR25">
        <v>41.210150929708981</v>
      </c>
      <c r="AU25">
        <v>56.429342952340626</v>
      </c>
      <c r="AV25">
        <v>63.361327147934396</v>
      </c>
      <c r="AW25">
        <v>39.975184061973493</v>
      </c>
      <c r="AX25">
        <v>13.87</v>
      </c>
      <c r="AY25">
        <v>32.400629171366887</v>
      </c>
      <c r="AZ25">
        <v>87.67060797752697</v>
      </c>
      <c r="BA25">
        <v>-2.1554525</v>
      </c>
      <c r="BB25">
        <v>748.78377699999999</v>
      </c>
      <c r="BC25">
        <v>746.62832449999996</v>
      </c>
    </row>
    <row r="26" spans="1:55">
      <c r="A26" t="s">
        <v>580</v>
      </c>
      <c r="B26">
        <v>108.77435184262561</v>
      </c>
      <c r="C26">
        <v>109.64330889003536</v>
      </c>
      <c r="D26">
        <v>54.751041336558139</v>
      </c>
      <c r="E26">
        <v>68.739901166555441</v>
      </c>
      <c r="F26">
        <v>-13.978170489113452</v>
      </c>
      <c r="G26">
        <v>-0.28879549448351305</v>
      </c>
      <c r="H26">
        <v>6.9597778799836627</v>
      </c>
      <c r="I26">
        <v>4.3642008343515934</v>
      </c>
      <c r="J26">
        <v>31.809770598139426</v>
      </c>
      <c r="K26">
        <v>27.508793304253992</v>
      </c>
      <c r="L26">
        <v>27.066818405104087</v>
      </c>
      <c r="M26">
        <v>37.901309419114654</v>
      </c>
      <c r="N26">
        <v>34.999701098349277</v>
      </c>
      <c r="O26">
        <v>84.641414749323133</v>
      </c>
      <c r="P26">
        <v>5.2586925883742506</v>
      </c>
      <c r="Q26">
        <v>55.486938831271395</v>
      </c>
      <c r="R26">
        <v>64.164265747146899</v>
      </c>
      <c r="S26">
        <v>51.330565580119206</v>
      </c>
      <c r="T26">
        <v>65.314858319893702</v>
      </c>
      <c r="U26">
        <v>55.976298794406695</v>
      </c>
      <c r="V26">
        <v>65.004730190880167</v>
      </c>
      <c r="W26">
        <v>56.252091969329335</v>
      </c>
      <c r="X26">
        <v>65.131972891689799</v>
      </c>
      <c r="Y26">
        <v>4840.1622449520055</v>
      </c>
      <c r="Z26">
        <v>30.899304459404981</v>
      </c>
      <c r="AA26">
        <v>39.054807752929314</v>
      </c>
      <c r="AB26">
        <v>38.119964819615511</v>
      </c>
      <c r="AD26">
        <v>55.740954837161752</v>
      </c>
      <c r="AE26">
        <v>65.202709610787579</v>
      </c>
      <c r="AF26">
        <v>33.810599743359845</v>
      </c>
      <c r="AG26">
        <v>40.031659266827859</v>
      </c>
      <c r="AH26">
        <v>38.584439755956531</v>
      </c>
      <c r="AI26">
        <v>51.592128323454382</v>
      </c>
      <c r="AJ26">
        <v>73.330981436166198</v>
      </c>
      <c r="AK26">
        <v>43.818486314005156</v>
      </c>
      <c r="AL26">
        <v>43.965140469212521</v>
      </c>
      <c r="AM26">
        <v>60.367450941767977</v>
      </c>
      <c r="AN26">
        <v>38.545627367579563</v>
      </c>
      <c r="AO26">
        <v>57.77589603314933</v>
      </c>
      <c r="AP26">
        <v>68.316382686043809</v>
      </c>
      <c r="AQ26">
        <v>66.832473690444942</v>
      </c>
      <c r="AR26">
        <v>44.029156059952804</v>
      </c>
      <c r="AU26">
        <v>57.52677581850449</v>
      </c>
      <c r="AV26">
        <v>57.867370993417332</v>
      </c>
      <c r="AW26">
        <v>43.007813020423704</v>
      </c>
      <c r="AX26">
        <v>16.27</v>
      </c>
      <c r="AY26">
        <v>37.24728646687624</v>
      </c>
      <c r="AZ26">
        <v>96.131796220505422</v>
      </c>
      <c r="BA26">
        <v>1.2714055</v>
      </c>
      <c r="BB26">
        <v>796.94559470000002</v>
      </c>
      <c r="BC26">
        <v>798.21700020000003</v>
      </c>
    </row>
    <row r="27" spans="1:55">
      <c r="A27" t="s">
        <v>581</v>
      </c>
      <c r="B27">
        <v>107.85681954093847</v>
      </c>
      <c r="C27">
        <v>109.41925254231528</v>
      </c>
      <c r="D27">
        <v>55.792834298811421</v>
      </c>
      <c r="E27">
        <v>69.81073610209296</v>
      </c>
      <c r="F27">
        <v>-11.57953744759924</v>
      </c>
      <c r="G27">
        <v>-0.22999331096270209</v>
      </c>
      <c r="H27">
        <v>7.5210742120390739</v>
      </c>
      <c r="I27">
        <v>4.6320622168349814</v>
      </c>
      <c r="J27">
        <v>34.01374547453976</v>
      </c>
      <c r="K27">
        <v>28.074748821183476</v>
      </c>
      <c r="L27">
        <v>28.066446656446953</v>
      </c>
      <c r="M27">
        <v>40.157584144030004</v>
      </c>
      <c r="N27">
        <v>36.802395999367249</v>
      </c>
      <c r="O27">
        <v>84.779236932171671</v>
      </c>
      <c r="P27">
        <v>5.2480783330741536</v>
      </c>
      <c r="Q27">
        <v>56.435044557909855</v>
      </c>
      <c r="R27">
        <v>64.892774411996996</v>
      </c>
      <c r="S27">
        <v>52.013149641519774</v>
      </c>
      <c r="T27">
        <v>66.070512822087565</v>
      </c>
      <c r="U27">
        <v>56.702931647079623</v>
      </c>
      <c r="V27">
        <v>65.701311356796737</v>
      </c>
      <c r="W27">
        <v>56.951784663555436</v>
      </c>
      <c r="X27">
        <v>65.814704301354283</v>
      </c>
      <c r="Y27">
        <v>5034.7279227947138</v>
      </c>
      <c r="Z27">
        <v>31.710229894499221</v>
      </c>
      <c r="AA27">
        <v>40.020233965338385</v>
      </c>
      <c r="AB27">
        <v>38.97195577660014</v>
      </c>
      <c r="AD27">
        <v>56.330935867951816</v>
      </c>
      <c r="AE27">
        <v>65.772738301147697</v>
      </c>
      <c r="AF27">
        <v>34.770004317148526</v>
      </c>
      <c r="AG27">
        <v>41.168150449911103</v>
      </c>
      <c r="AH27">
        <v>39.601269626947612</v>
      </c>
      <c r="AI27">
        <v>53.248013172475936</v>
      </c>
      <c r="AJ27">
        <v>118.69992971508213</v>
      </c>
      <c r="AK27">
        <v>45.865544272399397</v>
      </c>
      <c r="AL27">
        <v>46.317075802050056</v>
      </c>
      <c r="AM27">
        <v>61.862272903460699</v>
      </c>
      <c r="AN27">
        <v>41.41324080230261</v>
      </c>
      <c r="AO27">
        <v>58.381509233495137</v>
      </c>
      <c r="AP27">
        <v>68.814324870534534</v>
      </c>
      <c r="AQ27">
        <v>65.424483865092313</v>
      </c>
      <c r="AR27">
        <v>48.093673668718701</v>
      </c>
      <c r="AU27">
        <v>59.543088506308898</v>
      </c>
      <c r="AV27">
        <v>56.12468568042889</v>
      </c>
      <c r="AW27">
        <v>44.142348250165846</v>
      </c>
      <c r="AX27">
        <v>17.049999999999997</v>
      </c>
      <c r="AY27">
        <v>37.902343207604723</v>
      </c>
      <c r="AZ27">
        <v>96.457375400062801</v>
      </c>
      <c r="BA27">
        <v>-3.3664787</v>
      </c>
      <c r="BB27">
        <v>844.76697409999997</v>
      </c>
      <c r="BC27">
        <v>841.40049539999995</v>
      </c>
    </row>
    <row r="28" spans="1:55">
      <c r="A28" t="s">
        <v>582</v>
      </c>
      <c r="B28">
        <v>109.98042100417321</v>
      </c>
      <c r="C28">
        <v>111.49418160895561</v>
      </c>
      <c r="D28">
        <v>56.993701087414898</v>
      </c>
      <c r="E28">
        <v>71.272002949498997</v>
      </c>
      <c r="F28">
        <v>-29.10693686584764</v>
      </c>
      <c r="G28">
        <v>-0.56613454089464388</v>
      </c>
      <c r="H28">
        <v>7.8544487566416956</v>
      </c>
      <c r="I28">
        <v>5.0711117092986333</v>
      </c>
      <c r="J28">
        <v>33.33701050761718</v>
      </c>
      <c r="K28">
        <v>28.492526463489572</v>
      </c>
      <c r="L28">
        <v>28.186370686776531</v>
      </c>
      <c r="M28">
        <v>38.557300787544662</v>
      </c>
      <c r="N28">
        <v>35.748417025351962</v>
      </c>
      <c r="O28">
        <v>85.059931594602929</v>
      </c>
      <c r="P28">
        <v>5.0782535087848686</v>
      </c>
      <c r="Q28">
        <v>57.148192415886776</v>
      </c>
      <c r="R28">
        <v>65.501510185302664</v>
      </c>
      <c r="S28">
        <v>53.285492892691991</v>
      </c>
      <c r="T28">
        <v>67.194470565277413</v>
      </c>
      <c r="U28">
        <v>57.3960178669616</v>
      </c>
      <c r="V28">
        <v>66.311079367012155</v>
      </c>
      <c r="W28">
        <v>57.619735524249961</v>
      </c>
      <c r="X28">
        <v>66.411254546172373</v>
      </c>
      <c r="Y28">
        <v>5141.3462283807839</v>
      </c>
      <c r="Z28">
        <v>33.581246090386493</v>
      </c>
      <c r="AA28">
        <v>41.65773248874752</v>
      </c>
      <c r="AB28">
        <v>40.614016167841143</v>
      </c>
      <c r="AD28">
        <v>57.040181477088595</v>
      </c>
      <c r="AE28">
        <v>66.411185623952221</v>
      </c>
      <c r="AF28">
        <v>36.098689788796705</v>
      </c>
      <c r="AG28">
        <v>42.324992677472586</v>
      </c>
      <c r="AH28">
        <v>40.796418924167291</v>
      </c>
      <c r="AI28">
        <v>53.890599317501085</v>
      </c>
      <c r="AJ28">
        <v>105.66131540621559</v>
      </c>
      <c r="AK28">
        <v>48.454747006315877</v>
      </c>
      <c r="AL28">
        <v>48.203235064121294</v>
      </c>
      <c r="AM28">
        <v>62.928019999516927</v>
      </c>
      <c r="AN28">
        <v>43.904544693462888</v>
      </c>
      <c r="AO28">
        <v>59.005054113629193</v>
      </c>
      <c r="AP28">
        <v>69.330157628140938</v>
      </c>
      <c r="AQ28">
        <v>66.072536990421611</v>
      </c>
      <c r="AR28">
        <v>55.404847074064016</v>
      </c>
      <c r="AU28">
        <v>60.986446671231469</v>
      </c>
      <c r="AV28">
        <v>54.790314409313567</v>
      </c>
      <c r="AW28">
        <v>43.626638218311513</v>
      </c>
      <c r="AX28">
        <v>16.603333333333335</v>
      </c>
      <c r="AY28">
        <v>36.697972058898969</v>
      </c>
      <c r="AZ28">
        <v>95.652185277783758</v>
      </c>
      <c r="BA28">
        <v>-10.1183345</v>
      </c>
      <c r="BB28">
        <v>894.66471909999996</v>
      </c>
      <c r="BC28">
        <v>884.54638460000001</v>
      </c>
    </row>
    <row r="29" spans="1:55">
      <c r="A29" t="s">
        <v>583</v>
      </c>
      <c r="B29">
        <v>110.59681189581592</v>
      </c>
      <c r="C29">
        <v>112.23430240052797</v>
      </c>
      <c r="D29">
        <v>57.445946615780109</v>
      </c>
      <c r="E29">
        <v>71.613687591513965</v>
      </c>
      <c r="F29">
        <v>-10.343759392281601</v>
      </c>
      <c r="G29">
        <v>-0.14646236092920661</v>
      </c>
      <c r="H29">
        <v>7.6740672148180984</v>
      </c>
      <c r="I29">
        <v>6.9718789482412289</v>
      </c>
      <c r="J29">
        <v>32.56976428042033</v>
      </c>
      <c r="K29">
        <v>28.802972866341236</v>
      </c>
      <c r="L29">
        <v>28.271584676178875</v>
      </c>
      <c r="M29">
        <v>38.667632201639407</v>
      </c>
      <c r="N29">
        <v>34.74634026714417</v>
      </c>
      <c r="O29">
        <v>85.144935370170927</v>
      </c>
      <c r="P29">
        <v>5.419716114795583</v>
      </c>
      <c r="Q29">
        <v>57.540984985765775</v>
      </c>
      <c r="R29">
        <v>65.806256976449262</v>
      </c>
      <c r="S29">
        <v>53.263129679361619</v>
      </c>
      <c r="T29">
        <v>67.11809384922482</v>
      </c>
      <c r="U29">
        <v>57.980309167646318</v>
      </c>
      <c r="V29">
        <v>66.776956762270714</v>
      </c>
      <c r="W29">
        <v>58.187638728713885</v>
      </c>
      <c r="X29">
        <v>66.86712182004652</v>
      </c>
      <c r="Y29">
        <v>7062.4011020014314</v>
      </c>
      <c r="Z29">
        <v>34.203492586541714</v>
      </c>
      <c r="AA29">
        <v>42.361249273290426</v>
      </c>
      <c r="AB29">
        <v>41.174644079508319</v>
      </c>
      <c r="AC29">
        <v>39.613487703143683</v>
      </c>
      <c r="AD29">
        <v>57.364061244825827</v>
      </c>
      <c r="AE29">
        <v>66.679281385626751</v>
      </c>
      <c r="AF29">
        <v>37.095587757513201</v>
      </c>
      <c r="AG29">
        <v>43.310237785582693</v>
      </c>
      <c r="AH29">
        <v>41.863445287898287</v>
      </c>
      <c r="AI29">
        <v>55.701555833578631</v>
      </c>
      <c r="AJ29">
        <v>99.400900520964157</v>
      </c>
      <c r="AK29">
        <v>53.598525576065128</v>
      </c>
      <c r="AL29">
        <v>49.916911208272325</v>
      </c>
      <c r="AM29">
        <v>63.902252157945277</v>
      </c>
      <c r="AN29">
        <v>46.117104492049258</v>
      </c>
      <c r="AO29">
        <v>59.668045020965394</v>
      </c>
      <c r="AP29">
        <v>69.96396329292314</v>
      </c>
      <c r="AQ29">
        <v>67.625323418550565</v>
      </c>
      <c r="AR29">
        <v>58.908724858212601</v>
      </c>
      <c r="AU29">
        <v>62.971284486554957</v>
      </c>
      <c r="AV29">
        <v>56.019340122819507</v>
      </c>
      <c r="AW29">
        <v>45.186079897278205</v>
      </c>
      <c r="AX29">
        <v>17.223333333333333</v>
      </c>
      <c r="AY29">
        <v>37.416992982239897</v>
      </c>
      <c r="AZ29">
        <v>104.54496419768451</v>
      </c>
      <c r="BA29">
        <v>8.6691287999999993</v>
      </c>
      <c r="BB29">
        <v>929.07269180000003</v>
      </c>
      <c r="BC29">
        <v>937.74182059999998</v>
      </c>
    </row>
    <row r="30" spans="1:55">
      <c r="A30" t="s">
        <v>584</v>
      </c>
      <c r="B30">
        <v>110.52909585618549</v>
      </c>
      <c r="C30">
        <v>112.1722460164285</v>
      </c>
      <c r="D30">
        <v>57.895910445046475</v>
      </c>
      <c r="E30">
        <v>72.033504824609011</v>
      </c>
      <c r="F30">
        <v>-19.366068103462027</v>
      </c>
      <c r="G30">
        <v>-0.25910504119688438</v>
      </c>
      <c r="H30">
        <v>6.9652833441602953</v>
      </c>
      <c r="I30">
        <v>7.5975460771974008</v>
      </c>
      <c r="J30">
        <v>33.879404096247804</v>
      </c>
      <c r="K30">
        <v>29.466037709449772</v>
      </c>
      <c r="L30">
        <v>28.671095864572333</v>
      </c>
      <c r="M30">
        <v>40.699815659949088</v>
      </c>
      <c r="N30">
        <v>36.401406585236884</v>
      </c>
      <c r="O30">
        <v>85.303041486656682</v>
      </c>
      <c r="P30">
        <v>5.4469027756015622</v>
      </c>
      <c r="Q30">
        <v>57.96198564125293</v>
      </c>
      <c r="R30">
        <v>66.324698923309953</v>
      </c>
      <c r="S30">
        <v>53.98281265625031</v>
      </c>
      <c r="T30">
        <v>67.498993766806365</v>
      </c>
      <c r="U30">
        <v>58.369816603765258</v>
      </c>
      <c r="V30">
        <v>67.138526343558709</v>
      </c>
      <c r="W30">
        <v>58.529023256136895</v>
      </c>
      <c r="X30">
        <v>67.209779203954184</v>
      </c>
      <c r="Y30">
        <v>7474.2150959334158</v>
      </c>
      <c r="Z30">
        <v>35.125243466151097</v>
      </c>
      <c r="AA30">
        <v>43.239657099599341</v>
      </c>
      <c r="AB30">
        <v>42.227033857046656</v>
      </c>
      <c r="AC30">
        <v>40.243146527710358</v>
      </c>
      <c r="AD30">
        <v>57.941713448723988</v>
      </c>
      <c r="AE30">
        <v>67.244002658521154</v>
      </c>
      <c r="AF30">
        <v>37.777108896106554</v>
      </c>
      <c r="AG30">
        <v>43.946874126862468</v>
      </c>
      <c r="AH30">
        <v>42.360294903345533</v>
      </c>
      <c r="AI30">
        <v>56.020016036864355</v>
      </c>
      <c r="AJ30">
        <v>97.36176405665968</v>
      </c>
      <c r="AK30">
        <v>54.876597486622167</v>
      </c>
      <c r="AL30">
        <v>51.580392310430078</v>
      </c>
      <c r="AM30">
        <v>64.846073085069634</v>
      </c>
      <c r="AN30">
        <v>48.326913847069271</v>
      </c>
      <c r="AO30">
        <v>60.744247558385005</v>
      </c>
      <c r="AP30">
        <v>70.771651868261358</v>
      </c>
      <c r="AQ30">
        <v>65.877854030905041</v>
      </c>
      <c r="AR30">
        <v>56.22581920565213</v>
      </c>
      <c r="AU30">
        <v>61.92182340586259</v>
      </c>
      <c r="AV30">
        <v>59.503206329014652</v>
      </c>
      <c r="AW30">
        <v>47.48320313340426</v>
      </c>
      <c r="AX30">
        <v>18.176666666666666</v>
      </c>
      <c r="AY30">
        <v>37.633271425543334</v>
      </c>
      <c r="AZ30">
        <v>107.96797436638224</v>
      </c>
      <c r="BA30">
        <v>-6.9513935</v>
      </c>
      <c r="BB30">
        <v>986.80181779999998</v>
      </c>
      <c r="BC30">
        <v>979.85042429999999</v>
      </c>
    </row>
    <row r="31" spans="1:55">
      <c r="A31" t="s">
        <v>585</v>
      </c>
      <c r="B31">
        <v>110.21136686794647</v>
      </c>
      <c r="C31">
        <v>112.01949069058769</v>
      </c>
      <c r="D31">
        <v>58.153007158119856</v>
      </c>
      <c r="E31">
        <v>72.119758179326141</v>
      </c>
      <c r="F31">
        <v>-14.015628607705402</v>
      </c>
      <c r="G31">
        <v>-0.18898648930066159</v>
      </c>
      <c r="H31">
        <v>6.6409069244912979</v>
      </c>
      <c r="I31">
        <v>6.4321910947727616</v>
      </c>
      <c r="J31">
        <v>36.778788039787784</v>
      </c>
      <c r="K31">
        <v>30.124827998249721</v>
      </c>
      <c r="L31">
        <v>29.226491535320214</v>
      </c>
      <c r="M31">
        <v>42.487473778468171</v>
      </c>
      <c r="N31">
        <v>39.575075848207184</v>
      </c>
      <c r="O31">
        <v>85.502315826429822</v>
      </c>
      <c r="P31">
        <v>5.510712898684301</v>
      </c>
      <c r="Q31">
        <v>58.522959349186479</v>
      </c>
      <c r="R31">
        <v>66.738847794719021</v>
      </c>
      <c r="S31">
        <v>53.973715740809268</v>
      </c>
      <c r="T31">
        <v>68.076290204382047</v>
      </c>
      <c r="U31">
        <v>58.875355612509537</v>
      </c>
      <c r="V31">
        <v>67.670022201995323</v>
      </c>
      <c r="W31">
        <v>59.007504868284656</v>
      </c>
      <c r="X31">
        <v>67.732365832704488</v>
      </c>
      <c r="Y31">
        <v>7416.2066608940058</v>
      </c>
      <c r="Z31">
        <v>35.620379062115951</v>
      </c>
      <c r="AA31">
        <v>43.874970056133186</v>
      </c>
      <c r="AB31">
        <v>42.919116406798565</v>
      </c>
      <c r="AC31">
        <v>40.856011503879074</v>
      </c>
      <c r="AD31">
        <v>58.350402247423126</v>
      </c>
      <c r="AE31">
        <v>67.669073661269096</v>
      </c>
      <c r="AF31">
        <v>38.159647052058375</v>
      </c>
      <c r="AG31">
        <v>44.603565088569134</v>
      </c>
      <c r="AH31">
        <v>43.553828580591095</v>
      </c>
      <c r="AI31">
        <v>54.978679185390924</v>
      </c>
      <c r="AJ31">
        <v>86.846147624397375</v>
      </c>
      <c r="AK31">
        <v>57.103534233208073</v>
      </c>
      <c r="AL31">
        <v>53.00528957783834</v>
      </c>
      <c r="AM31">
        <v>65.637784417477562</v>
      </c>
      <c r="AN31">
        <v>50.189573874073325</v>
      </c>
      <c r="AO31">
        <v>61.652369962003981</v>
      </c>
      <c r="AP31">
        <v>71.491169831190192</v>
      </c>
      <c r="AQ31">
        <v>69.105941356354677</v>
      </c>
      <c r="AR31">
        <v>58.77907065745476</v>
      </c>
      <c r="AU31">
        <v>62.395453247887254</v>
      </c>
      <c r="AV31">
        <v>57.041535525344045</v>
      </c>
      <c r="AW31">
        <v>44.25050583778917</v>
      </c>
      <c r="AX31">
        <v>16.439999999999998</v>
      </c>
      <c r="AY31">
        <v>35.150398079301361</v>
      </c>
      <c r="AZ31">
        <v>96.401306541951385</v>
      </c>
      <c r="BA31">
        <v>-9.6403854000000049</v>
      </c>
      <c r="BB31">
        <v>990.8260401</v>
      </c>
      <c r="BC31">
        <v>981.18565469999999</v>
      </c>
    </row>
    <row r="32" spans="1:55">
      <c r="A32" t="s">
        <v>586</v>
      </c>
      <c r="B32">
        <v>109.78128835352913</v>
      </c>
      <c r="C32">
        <v>111.55388954107424</v>
      </c>
      <c r="D32">
        <v>58.595080255934796</v>
      </c>
      <c r="E32">
        <v>72.646150132812039</v>
      </c>
      <c r="F32">
        <v>-10.551182740658517</v>
      </c>
      <c r="G32">
        <v>-0.14261878213212278</v>
      </c>
      <c r="H32">
        <v>6.2823168335363446</v>
      </c>
      <c r="I32">
        <v>6.6678420582074738</v>
      </c>
      <c r="J32">
        <v>38.554619665305765</v>
      </c>
      <c r="K32">
        <v>30.83620249182707</v>
      </c>
      <c r="L32">
        <v>29.741424347653812</v>
      </c>
      <c r="M32">
        <v>43.42574586592653</v>
      </c>
      <c r="N32">
        <v>41.38689150630708</v>
      </c>
      <c r="O32">
        <v>85.631225023867046</v>
      </c>
      <c r="P32">
        <v>5.5967742660248092</v>
      </c>
      <c r="Q32">
        <v>58.911911837383592</v>
      </c>
      <c r="R32">
        <v>67.185584311318507</v>
      </c>
      <c r="S32">
        <v>55.27476057211436</v>
      </c>
      <c r="T32">
        <v>69.176579822699196</v>
      </c>
      <c r="U32">
        <v>59.236154116903329</v>
      </c>
      <c r="V32">
        <v>68.03853689144465</v>
      </c>
      <c r="W32">
        <v>59.327391891821158</v>
      </c>
      <c r="X32">
        <v>68.085706923927887</v>
      </c>
      <c r="Y32">
        <v>7398.1719538762045</v>
      </c>
      <c r="Z32">
        <v>36.276773140222183</v>
      </c>
      <c r="AA32">
        <v>44.727379619421917</v>
      </c>
      <c r="AB32">
        <v>43.641685438240948</v>
      </c>
      <c r="AC32">
        <v>41.052738366079844</v>
      </c>
      <c r="AD32">
        <v>58.699765396268802</v>
      </c>
      <c r="AE32">
        <v>68.061491812037517</v>
      </c>
      <c r="AF32">
        <v>38.639988294041459</v>
      </c>
      <c r="AG32">
        <v>45.112153706403355</v>
      </c>
      <c r="AH32">
        <v>44.017193880278668</v>
      </c>
      <c r="AI32">
        <v>56.490424157791445</v>
      </c>
      <c r="AJ32">
        <v>77.718998537116292</v>
      </c>
      <c r="AK32">
        <v>56.156185132685245</v>
      </c>
      <c r="AL32">
        <v>54.05403324451644</v>
      </c>
      <c r="AM32">
        <v>66.276854573473145</v>
      </c>
      <c r="AN32">
        <v>51.550010760615258</v>
      </c>
      <c r="AO32">
        <v>62.421664151286087</v>
      </c>
      <c r="AP32">
        <v>72.109815976649884</v>
      </c>
      <c r="AQ32">
        <v>72.025158548098588</v>
      </c>
      <c r="AR32">
        <v>56.156228763914186</v>
      </c>
      <c r="AU32">
        <v>63.280644330922563</v>
      </c>
      <c r="AV32">
        <v>64.942258876523525</v>
      </c>
      <c r="AW32">
        <v>46.668544932146773</v>
      </c>
      <c r="AX32">
        <v>16.976666666666667</v>
      </c>
      <c r="AY32">
        <v>36.872929694631665</v>
      </c>
      <c r="AZ32">
        <v>96.309525943742656</v>
      </c>
      <c r="BA32">
        <v>-7.6068583000000096</v>
      </c>
      <c r="BB32">
        <v>1002.1575279</v>
      </c>
      <c r="BC32">
        <v>994.55066959999999</v>
      </c>
    </row>
    <row r="33" spans="1:55">
      <c r="A33" t="s">
        <v>587</v>
      </c>
      <c r="B33">
        <v>108.90941145634088</v>
      </c>
      <c r="C33">
        <v>110.15734524708442</v>
      </c>
      <c r="D33">
        <v>59.118182139870747</v>
      </c>
      <c r="E33">
        <v>73.022688085620246</v>
      </c>
      <c r="F33">
        <v>-19.156740353141565</v>
      </c>
      <c r="G33">
        <v>-0.25957522343624245</v>
      </c>
      <c r="H33">
        <v>6.1318475033445736</v>
      </c>
      <c r="I33">
        <v>6.6490071690355128</v>
      </c>
      <c r="J33">
        <v>41.849177326766124</v>
      </c>
      <c r="K33">
        <v>31.501342099785255</v>
      </c>
      <c r="L33">
        <v>30.179236398203241</v>
      </c>
      <c r="M33">
        <v>45.36107715247384</v>
      </c>
      <c r="N33">
        <v>43.812214118388205</v>
      </c>
      <c r="O33">
        <v>86.207751568190034</v>
      </c>
      <c r="P33">
        <v>5.5523825902831092</v>
      </c>
      <c r="Q33">
        <v>59.671018406143972</v>
      </c>
      <c r="R33">
        <v>67.778858421465515</v>
      </c>
      <c r="S33">
        <v>55.653223207694843</v>
      </c>
      <c r="T33">
        <v>69.850307983139359</v>
      </c>
      <c r="U33">
        <v>59.790309856322409</v>
      </c>
      <c r="V33">
        <v>68.556434334824999</v>
      </c>
      <c r="W33">
        <v>59.818726956066058</v>
      </c>
      <c r="X33">
        <v>68.580265866854887</v>
      </c>
      <c r="Y33">
        <v>7380.0342342176164</v>
      </c>
      <c r="Z33">
        <v>37.1255323904454</v>
      </c>
      <c r="AA33">
        <v>45.696284159356431</v>
      </c>
      <c r="AB33">
        <v>44.688910906951342</v>
      </c>
      <c r="AC33">
        <v>41.567792265167</v>
      </c>
      <c r="AD33">
        <v>59.185400786182996</v>
      </c>
      <c r="AE33">
        <v>68.551723253273238</v>
      </c>
      <c r="AF33">
        <v>39.485931979406807</v>
      </c>
      <c r="AG33">
        <v>45.923623824921997</v>
      </c>
      <c r="AH33">
        <v>44.965897778020931</v>
      </c>
      <c r="AI33">
        <v>59.291580272106636</v>
      </c>
      <c r="AJ33">
        <v>72.893951158237698</v>
      </c>
      <c r="AK33">
        <v>54.350760123528453</v>
      </c>
      <c r="AL33">
        <v>54.986236837993481</v>
      </c>
      <c r="AM33">
        <v>67.014294433635257</v>
      </c>
      <c r="AN33">
        <v>52.69305613015505</v>
      </c>
      <c r="AO33">
        <v>63.322445981002637</v>
      </c>
      <c r="AP33">
        <v>72.768144817832152</v>
      </c>
      <c r="AQ33">
        <v>75.317843544645413</v>
      </c>
      <c r="AR33">
        <v>54.195054874509673</v>
      </c>
      <c r="AU33">
        <v>64.324932791250021</v>
      </c>
      <c r="AV33">
        <v>80.384877051644565</v>
      </c>
      <c r="AW33">
        <v>52.010965022141242</v>
      </c>
      <c r="AX33">
        <v>18.313333333333336</v>
      </c>
      <c r="AY33">
        <v>40.492783398591349</v>
      </c>
      <c r="AZ33">
        <v>95.380566635918967</v>
      </c>
      <c r="BA33">
        <v>-12.832159900000002</v>
      </c>
      <c r="BB33">
        <v>1017.8364212</v>
      </c>
      <c r="BC33">
        <v>1005.0042613000001</v>
      </c>
    </row>
    <row r="34" spans="1:55">
      <c r="A34" t="s">
        <v>588</v>
      </c>
      <c r="B34">
        <v>110.6312132784965</v>
      </c>
      <c r="C34">
        <v>112.0765406655532</v>
      </c>
      <c r="D34">
        <v>59.928964853077069</v>
      </c>
      <c r="E34">
        <v>73.78327544022342</v>
      </c>
      <c r="F34">
        <v>-29.744221178373568</v>
      </c>
      <c r="G34">
        <v>-0.39532676551855817</v>
      </c>
      <c r="H34">
        <v>6.4650676663517617</v>
      </c>
      <c r="I34">
        <v>6.3817602899109742</v>
      </c>
      <c r="J34">
        <v>44.33973920337754</v>
      </c>
      <c r="K34">
        <v>32.117467431627972</v>
      </c>
      <c r="L34">
        <v>30.692988100981346</v>
      </c>
      <c r="M34">
        <v>47.644343973291157</v>
      </c>
      <c r="N34">
        <v>46.5085205031329</v>
      </c>
      <c r="O34">
        <v>86.43551896744691</v>
      </c>
      <c r="P34">
        <v>5.5940313611235837</v>
      </c>
      <c r="Q34">
        <v>60.14108711431517</v>
      </c>
      <c r="R34">
        <v>68.35106977482522</v>
      </c>
      <c r="S34">
        <v>56.845127242445216</v>
      </c>
      <c r="T34">
        <v>71.667127780462053</v>
      </c>
      <c r="U34">
        <v>60.512686563006902</v>
      </c>
      <c r="V34">
        <v>69.364214003556441</v>
      </c>
      <c r="W34">
        <v>60.541227547926702</v>
      </c>
      <c r="X34">
        <v>69.387847493360994</v>
      </c>
      <c r="Y34">
        <v>7523.9583485720905</v>
      </c>
      <c r="Z34">
        <v>37.697264552546159</v>
      </c>
      <c r="AA34">
        <v>46.496291865875634</v>
      </c>
      <c r="AB34">
        <v>45.485563242806734</v>
      </c>
      <c r="AC34">
        <v>42.197602712385162</v>
      </c>
      <c r="AD34">
        <v>59.901171839300595</v>
      </c>
      <c r="AE34">
        <v>69.383126515384546</v>
      </c>
      <c r="AF34">
        <v>39.979542802978358</v>
      </c>
      <c r="AG34">
        <v>46.359237731502063</v>
      </c>
      <c r="AH34">
        <v>45.418138915430269</v>
      </c>
      <c r="AI34">
        <v>59.763206140859147</v>
      </c>
      <c r="AJ34">
        <v>74.435981639001497</v>
      </c>
      <c r="AK34">
        <v>53.226851395890606</v>
      </c>
      <c r="AL34">
        <v>56.073090021803694</v>
      </c>
      <c r="AM34">
        <v>67.760762040162419</v>
      </c>
      <c r="AN34">
        <v>53.845636145469754</v>
      </c>
      <c r="AO34">
        <v>64.188969511708748</v>
      </c>
      <c r="AP34">
        <v>73.363541882522554</v>
      </c>
      <c r="AQ34">
        <v>79.149183119771806</v>
      </c>
      <c r="AR34">
        <v>53.301132543088308</v>
      </c>
      <c r="AU34">
        <v>65.499737590906875</v>
      </c>
      <c r="AV34">
        <v>68.800912343421658</v>
      </c>
      <c r="AW34">
        <v>51.465460612749155</v>
      </c>
      <c r="AX34">
        <v>19.486666666666668</v>
      </c>
      <c r="AY34">
        <v>43.647120983695544</v>
      </c>
      <c r="AZ34">
        <v>95.292647352323016</v>
      </c>
      <c r="BA34">
        <v>-21.011861799999998</v>
      </c>
      <c r="BB34">
        <v>1025.6018421000001</v>
      </c>
      <c r="BC34">
        <v>1004.5899803</v>
      </c>
    </row>
    <row r="35" spans="1:55">
      <c r="A35" t="s">
        <v>589</v>
      </c>
      <c r="B35">
        <v>112.26036341160273</v>
      </c>
      <c r="C35">
        <v>113.96814662501089</v>
      </c>
      <c r="D35">
        <v>60.448727605780725</v>
      </c>
      <c r="E35">
        <v>74.527981120013337</v>
      </c>
      <c r="F35">
        <v>-31.993199938628841</v>
      </c>
      <c r="G35">
        <v>-0.4188808705177634</v>
      </c>
      <c r="H35">
        <v>6.3288935099111443</v>
      </c>
      <c r="I35">
        <v>6.2080816559831051</v>
      </c>
      <c r="J35">
        <v>44.950802651992412</v>
      </c>
      <c r="K35">
        <v>32.704481018083072</v>
      </c>
      <c r="L35">
        <v>31.144987121102691</v>
      </c>
      <c r="M35">
        <v>47.243704750400831</v>
      </c>
      <c r="N35">
        <v>46.381521321701449</v>
      </c>
      <c r="O35">
        <v>86.714501739575311</v>
      </c>
      <c r="P35">
        <v>5.5358027362835616</v>
      </c>
      <c r="Q35">
        <v>60.52784041957954</v>
      </c>
      <c r="R35">
        <v>68.750550553592745</v>
      </c>
      <c r="S35">
        <v>57.614529098968688</v>
      </c>
      <c r="T35">
        <v>72.533278321333441</v>
      </c>
      <c r="U35">
        <v>61.038057875994575</v>
      </c>
      <c r="V35">
        <v>69.884225565994598</v>
      </c>
      <c r="W35">
        <v>61.061762707105906</v>
      </c>
      <c r="X35">
        <v>69.905196342304194</v>
      </c>
      <c r="Y35">
        <v>7637.7801399914042</v>
      </c>
      <c r="Z35">
        <v>38.747863888867997</v>
      </c>
      <c r="AA35">
        <v>47.452637807120887</v>
      </c>
      <c r="AB35">
        <v>46.391913021912821</v>
      </c>
      <c r="AC35">
        <v>42.55120905706405</v>
      </c>
      <c r="AD35">
        <v>60.387435414591451</v>
      </c>
      <c r="AE35">
        <v>69.880099803254652</v>
      </c>
      <c r="AF35">
        <v>41.556594355896934</v>
      </c>
      <c r="AG35">
        <v>47.466502116624852</v>
      </c>
      <c r="AH35">
        <v>46.273863583799177</v>
      </c>
      <c r="AI35">
        <v>58.794860166920763</v>
      </c>
      <c r="AJ35">
        <v>68.73557440887727</v>
      </c>
      <c r="AK35">
        <v>52.541519545285404</v>
      </c>
      <c r="AL35">
        <v>57.014245804721753</v>
      </c>
      <c r="AM35">
        <v>68.354430539745124</v>
      </c>
      <c r="AN35">
        <v>54.859111583464149</v>
      </c>
      <c r="AO35">
        <v>65.037686439565206</v>
      </c>
      <c r="AP35">
        <v>73.942394298940783</v>
      </c>
      <c r="AQ35">
        <v>75.828150080804548</v>
      </c>
      <c r="AR35">
        <v>48.01435611532586</v>
      </c>
      <c r="AU35">
        <v>62.640612429084705</v>
      </c>
      <c r="AV35">
        <v>66.404607801750174</v>
      </c>
      <c r="AW35">
        <v>53.232078211750924</v>
      </c>
      <c r="AX35">
        <v>20.63</v>
      </c>
      <c r="AY35">
        <v>46.055409409653187</v>
      </c>
      <c r="AZ35">
        <v>94.600387036199194</v>
      </c>
      <c r="BA35">
        <v>-14.0701965</v>
      </c>
      <c r="BB35">
        <v>1033.5061920999999</v>
      </c>
      <c r="BC35">
        <v>1019.4359956</v>
      </c>
    </row>
    <row r="36" spans="1:55">
      <c r="A36" t="s">
        <v>590</v>
      </c>
      <c r="B36">
        <v>112.53551656776075</v>
      </c>
      <c r="C36">
        <v>114.24660643283381</v>
      </c>
      <c r="D36">
        <v>61.200926117092287</v>
      </c>
      <c r="E36">
        <v>75.414955208178284</v>
      </c>
      <c r="F36">
        <v>-31.263049532748063</v>
      </c>
      <c r="G36">
        <v>-0.40663764839236788</v>
      </c>
      <c r="H36">
        <v>5.8602779509853162</v>
      </c>
      <c r="I36">
        <v>5.9511491953505145</v>
      </c>
      <c r="J36">
        <v>46.664233304721151</v>
      </c>
      <c r="K36">
        <v>33.409491449112025</v>
      </c>
      <c r="L36">
        <v>31.769450813840152</v>
      </c>
      <c r="M36">
        <v>48.347118393845093</v>
      </c>
      <c r="N36">
        <v>47.963509093142612</v>
      </c>
      <c r="O36">
        <v>86.912764326672644</v>
      </c>
      <c r="P36">
        <v>5.4588106301013974</v>
      </c>
      <c r="Q36">
        <v>61.164649499458449</v>
      </c>
      <c r="R36">
        <v>69.372904899550576</v>
      </c>
      <c r="S36">
        <v>58.639109066567627</v>
      </c>
      <c r="T36">
        <v>73.224420218164752</v>
      </c>
      <c r="U36">
        <v>61.708152127799053</v>
      </c>
      <c r="V36">
        <v>70.540688303799428</v>
      </c>
      <c r="W36">
        <v>61.726113276991121</v>
      </c>
      <c r="X36">
        <v>70.558463365550978</v>
      </c>
      <c r="Y36">
        <v>7688.1837322111651</v>
      </c>
      <c r="Z36">
        <v>39.78208566996063</v>
      </c>
      <c r="AA36">
        <v>48.630668952207031</v>
      </c>
      <c r="AB36">
        <v>47.57676334900053</v>
      </c>
      <c r="AC36">
        <v>43.115527861804566</v>
      </c>
      <c r="AD36">
        <v>60.973695961423843</v>
      </c>
      <c r="AE36">
        <v>70.438580012144371</v>
      </c>
      <c r="AF36">
        <v>42.566411318084278</v>
      </c>
      <c r="AG36">
        <v>49.175892329260662</v>
      </c>
      <c r="AH36">
        <v>47.459011142052972</v>
      </c>
      <c r="AI36">
        <v>60.509417642683879</v>
      </c>
      <c r="AJ36">
        <v>66.050179283557981</v>
      </c>
      <c r="AK36">
        <v>52.598699777468788</v>
      </c>
      <c r="AL36">
        <v>57.827717335271075</v>
      </c>
      <c r="AM36">
        <v>68.97776925409768</v>
      </c>
      <c r="AN36">
        <v>55.730208044977637</v>
      </c>
      <c r="AO36">
        <v>65.717895526582197</v>
      </c>
      <c r="AP36">
        <v>74.469082348655391</v>
      </c>
      <c r="AQ36">
        <v>70.266875592406706</v>
      </c>
      <c r="AR36">
        <v>48.24568376050447</v>
      </c>
      <c r="AU36">
        <v>59.807898226870584</v>
      </c>
      <c r="AV36">
        <v>82.453389099529247</v>
      </c>
      <c r="AW36">
        <v>61.524147474836816</v>
      </c>
      <c r="AX36">
        <v>23.063333333333333</v>
      </c>
      <c r="AY36">
        <v>51.800672328659147</v>
      </c>
      <c r="AZ36">
        <v>93.519180658443204</v>
      </c>
      <c r="BA36">
        <v>-16.305219100000009</v>
      </c>
      <c r="BB36">
        <v>1064.5153261</v>
      </c>
      <c r="BC36">
        <v>1048.2101070000001</v>
      </c>
    </row>
    <row r="37" spans="1:55">
      <c r="A37" t="s">
        <v>591</v>
      </c>
      <c r="B37">
        <v>114.35325072972826</v>
      </c>
      <c r="C37">
        <v>116.11163055533898</v>
      </c>
      <c r="D37">
        <v>62.161559561012687</v>
      </c>
      <c r="E37">
        <v>76.633357581352882</v>
      </c>
      <c r="F37">
        <v>-16.348081587240248</v>
      </c>
      <c r="G37">
        <v>-0.21789416811827944</v>
      </c>
      <c r="H37">
        <v>5.8351903864600017</v>
      </c>
      <c r="I37">
        <v>5.8607320223420958</v>
      </c>
      <c r="J37">
        <v>50.43704757529148</v>
      </c>
      <c r="K37">
        <v>34.057074618728436</v>
      </c>
      <c r="L37">
        <v>32.7092971948654</v>
      </c>
      <c r="M37">
        <v>49.419647614786747</v>
      </c>
      <c r="N37">
        <v>50.994751718805077</v>
      </c>
      <c r="O37">
        <v>87.201868577674531</v>
      </c>
      <c r="P37">
        <v>5.5508306247984933</v>
      </c>
      <c r="Q37">
        <v>61.71575999123511</v>
      </c>
      <c r="R37">
        <v>70.000269184308408</v>
      </c>
      <c r="S37">
        <v>58.604368887209844</v>
      </c>
      <c r="T37">
        <v>73.131841217774422</v>
      </c>
      <c r="U37">
        <v>62.137681561045518</v>
      </c>
      <c r="V37">
        <v>70.969790676916659</v>
      </c>
      <c r="W37">
        <v>62.15306179588864</v>
      </c>
      <c r="X37">
        <v>70.98604276642358</v>
      </c>
      <c r="Y37">
        <v>7502.7623402779755</v>
      </c>
      <c r="Z37">
        <v>40.709637139040531</v>
      </c>
      <c r="AA37">
        <v>49.811160869492106</v>
      </c>
      <c r="AB37">
        <v>48.693111169266281</v>
      </c>
      <c r="AC37">
        <v>43.045464817327492</v>
      </c>
      <c r="AD37">
        <v>61.425342849565077</v>
      </c>
      <c r="AE37">
        <v>70.833189489755839</v>
      </c>
      <c r="AF37">
        <v>43.525453345062616</v>
      </c>
      <c r="AG37">
        <v>50.424303946828907</v>
      </c>
      <c r="AH37">
        <v>48.704487293101216</v>
      </c>
      <c r="AI37">
        <v>59.386114095918487</v>
      </c>
      <c r="AJ37">
        <v>77.018960101216734</v>
      </c>
      <c r="AK37">
        <v>51.14184674573491</v>
      </c>
      <c r="AL37">
        <v>58.792361913851096</v>
      </c>
      <c r="AM37">
        <v>69.631526216476985</v>
      </c>
      <c r="AN37">
        <v>56.864808663925444</v>
      </c>
      <c r="AO37">
        <v>66.80736125884296</v>
      </c>
      <c r="AP37">
        <v>75.128804212170365</v>
      </c>
      <c r="AQ37">
        <v>73.523529144925703</v>
      </c>
      <c r="AR37">
        <v>52.491388169132996</v>
      </c>
      <c r="AU37">
        <v>62.148736327958908</v>
      </c>
      <c r="AV37">
        <v>73.90438925527944</v>
      </c>
      <c r="AW37">
        <v>55.390051933376007</v>
      </c>
      <c r="AX37">
        <v>21.083333333333332</v>
      </c>
      <c r="AY37">
        <v>49.031320784726624</v>
      </c>
      <c r="AZ37">
        <v>93.501119290665841</v>
      </c>
      <c r="BA37">
        <v>-21.902095100000007</v>
      </c>
      <c r="BB37">
        <v>1071.7711311</v>
      </c>
      <c r="BC37">
        <v>1049.8690360000001</v>
      </c>
    </row>
    <row r="38" spans="1:55">
      <c r="A38" t="s">
        <v>592</v>
      </c>
      <c r="B38">
        <v>116.07799685893525</v>
      </c>
      <c r="C38">
        <v>117.91349675864898</v>
      </c>
      <c r="D38">
        <v>63.392727070093606</v>
      </c>
      <c r="E38">
        <v>77.783969516200742</v>
      </c>
      <c r="F38">
        <v>0.7650410808832665</v>
      </c>
      <c r="G38">
        <v>1.0116390714782323E-2</v>
      </c>
      <c r="H38">
        <v>5.8710190665948092</v>
      </c>
      <c r="I38">
        <v>5.586598972874083</v>
      </c>
      <c r="J38">
        <v>57.485343150225177</v>
      </c>
      <c r="K38">
        <v>34.76873645689821</v>
      </c>
      <c r="L38">
        <v>33.390389795660703</v>
      </c>
      <c r="M38">
        <v>56.575687296211207</v>
      </c>
      <c r="N38">
        <v>58.348607217891015</v>
      </c>
      <c r="O38">
        <v>87.452471155819993</v>
      </c>
      <c r="P38">
        <v>5.6134672520581006</v>
      </c>
      <c r="Q38">
        <v>61.955824273479244</v>
      </c>
      <c r="R38">
        <v>70.124885080928763</v>
      </c>
      <c r="S38">
        <v>59.551907733564931</v>
      </c>
      <c r="T38">
        <v>74.238305366907568</v>
      </c>
      <c r="U38">
        <v>62.921627017923598</v>
      </c>
      <c r="V38">
        <v>71.767504102130573</v>
      </c>
      <c r="W38">
        <v>62.933841790152577</v>
      </c>
      <c r="X38">
        <v>71.781846100357257</v>
      </c>
      <c r="Y38">
        <v>7562.3915925407</v>
      </c>
      <c r="Z38">
        <v>41.605925959516668</v>
      </c>
      <c r="AA38">
        <v>50.891583917330593</v>
      </c>
      <c r="AB38">
        <v>49.917757522611304</v>
      </c>
      <c r="AC38">
        <v>43.124300506478853</v>
      </c>
      <c r="AD38">
        <v>61.961196431156296</v>
      </c>
      <c r="AE38">
        <v>71.432314554682065</v>
      </c>
      <c r="AF38">
        <v>45.446063847689928</v>
      </c>
      <c r="AG38">
        <v>52.497500137197441</v>
      </c>
      <c r="AH38">
        <v>50.523430890947886</v>
      </c>
      <c r="AI38">
        <v>56.137209473446482</v>
      </c>
      <c r="AJ38">
        <v>96.61005827705084</v>
      </c>
      <c r="AK38">
        <v>50.423873980529493</v>
      </c>
      <c r="AL38">
        <v>59.66847276910125</v>
      </c>
      <c r="AM38">
        <v>70.264760132374533</v>
      </c>
      <c r="AN38">
        <v>57.675423282633645</v>
      </c>
      <c r="AO38">
        <v>67.832995668184367</v>
      </c>
      <c r="AP38">
        <v>75.838525337283855</v>
      </c>
      <c r="AQ38">
        <v>70.259800325980507</v>
      </c>
      <c r="AR38">
        <v>52.592665944475733</v>
      </c>
      <c r="AU38">
        <v>60.967207604698217</v>
      </c>
      <c r="AV38">
        <v>66.163050348233824</v>
      </c>
      <c r="AW38">
        <v>49.150741126961542</v>
      </c>
      <c r="AX38">
        <v>18.489999999999998</v>
      </c>
      <c r="AY38">
        <v>43.384475134420249</v>
      </c>
      <c r="AZ38">
        <v>90.148851955878129</v>
      </c>
      <c r="BA38">
        <v>-6.9623737999999999</v>
      </c>
      <c r="BB38">
        <v>1081.4361544999999</v>
      </c>
      <c r="BC38">
        <v>1074.4737806999999</v>
      </c>
    </row>
    <row r="39" spans="1:55">
      <c r="A39" t="s">
        <v>593</v>
      </c>
      <c r="B39">
        <v>116.60130142811416</v>
      </c>
      <c r="C39">
        <v>118.69529314713957</v>
      </c>
      <c r="D39">
        <v>64.354334464354864</v>
      </c>
      <c r="E39">
        <v>78.921471579419901</v>
      </c>
      <c r="F39">
        <v>-2.3606311672768556</v>
      </c>
      <c r="G39">
        <v>-3.1235372136173507E-2</v>
      </c>
      <c r="H39">
        <v>5.4688029773385862</v>
      </c>
      <c r="I39">
        <v>5.5438966761886812</v>
      </c>
      <c r="J39">
        <v>58.362526625989766</v>
      </c>
      <c r="K39">
        <v>35.404611470406195</v>
      </c>
      <c r="L39">
        <v>33.983994510374522</v>
      </c>
      <c r="M39">
        <v>57.396383198927779</v>
      </c>
      <c r="N39">
        <v>60.591781384874608</v>
      </c>
      <c r="O39">
        <v>87.675553093385659</v>
      </c>
      <c r="P39">
        <v>5.595180879274956</v>
      </c>
      <c r="Q39">
        <v>62.740256127257688</v>
      </c>
      <c r="R39">
        <v>70.8100333806793</v>
      </c>
      <c r="S39">
        <v>60.570131268915887</v>
      </c>
      <c r="T39">
        <v>75.346528897665223</v>
      </c>
      <c r="U39">
        <v>63.557049124965218</v>
      </c>
      <c r="V39">
        <v>72.405358002652292</v>
      </c>
      <c r="W39">
        <v>63.566787158246093</v>
      </c>
      <c r="X39">
        <v>72.418171949774063</v>
      </c>
      <c r="Y39">
        <v>7557.5573647256851</v>
      </c>
      <c r="Z39">
        <v>42.85845782580278</v>
      </c>
      <c r="AA39">
        <v>52.202237624230783</v>
      </c>
      <c r="AB39">
        <v>51.193572570091959</v>
      </c>
      <c r="AC39">
        <v>43.571553687049366</v>
      </c>
      <c r="AD39">
        <v>62.602769873922561</v>
      </c>
      <c r="AE39">
        <v>72.082808983547636</v>
      </c>
      <c r="AF39">
        <v>46.462244587354093</v>
      </c>
      <c r="AG39">
        <v>53.482026083471013</v>
      </c>
      <c r="AH39">
        <v>51.35592395865303</v>
      </c>
      <c r="AI39">
        <v>54.662718617506776</v>
      </c>
      <c r="AJ39">
        <v>86.421071330486711</v>
      </c>
      <c r="AK39">
        <v>49.790313420887088</v>
      </c>
      <c r="AL39">
        <v>60.462618496854049</v>
      </c>
      <c r="AM39">
        <v>70.841412973429883</v>
      </c>
      <c r="AN39">
        <v>58.516025873290914</v>
      </c>
      <c r="AO39">
        <v>68.53738099092368</v>
      </c>
      <c r="AP39">
        <v>76.331430263352843</v>
      </c>
      <c r="AQ39">
        <v>66.788460373828727</v>
      </c>
      <c r="AR39">
        <v>51.426611284103927</v>
      </c>
      <c r="AS39">
        <v>53.202402200593127</v>
      </c>
      <c r="AT39">
        <v>53.180929479766256</v>
      </c>
      <c r="AU39">
        <v>57.874991092124581</v>
      </c>
      <c r="AV39">
        <v>68.771759528891906</v>
      </c>
      <c r="AW39">
        <v>50.016248918276041</v>
      </c>
      <c r="AX39">
        <v>18.656666666666666</v>
      </c>
      <c r="AY39">
        <v>44.372457306798736</v>
      </c>
      <c r="AZ39">
        <v>85.728892223448341</v>
      </c>
      <c r="BA39">
        <v>-3.6809471000000076</v>
      </c>
      <c r="BB39">
        <v>1091.4443547000001</v>
      </c>
      <c r="BC39">
        <v>1087.7634075999999</v>
      </c>
    </row>
    <row r="40" spans="1:55">
      <c r="A40" t="s">
        <v>594</v>
      </c>
      <c r="B40">
        <v>116.70053581841269</v>
      </c>
      <c r="C40">
        <v>119.02852012210197</v>
      </c>
      <c r="D40">
        <v>64.971297526501019</v>
      </c>
      <c r="E40">
        <v>79.521439878025646</v>
      </c>
      <c r="F40">
        <v>-5.2126555570033268</v>
      </c>
      <c r="G40">
        <v>-6.9100795674591917E-2</v>
      </c>
      <c r="H40">
        <v>5.1667462894606269</v>
      </c>
      <c r="I40">
        <v>5.8762279295990609</v>
      </c>
      <c r="J40">
        <v>54.747937182201525</v>
      </c>
      <c r="K40">
        <v>36.092540566283674</v>
      </c>
      <c r="L40">
        <v>34.568498191213919</v>
      </c>
      <c r="M40">
        <v>52.544136189552361</v>
      </c>
      <c r="N40">
        <v>57.798164738790383</v>
      </c>
      <c r="O40">
        <v>87.919964663189475</v>
      </c>
      <c r="P40">
        <v>5.5104928851653296</v>
      </c>
      <c r="Q40">
        <v>63.360402283788943</v>
      </c>
      <c r="R40">
        <v>71.411754416236818</v>
      </c>
      <c r="S40">
        <v>61.03314527634052</v>
      </c>
      <c r="T40">
        <v>75.94998980610923</v>
      </c>
      <c r="U40">
        <v>64.155838566742418</v>
      </c>
      <c r="V40">
        <v>72.983395134513103</v>
      </c>
      <c r="W40">
        <v>64.164052200710671</v>
      </c>
      <c r="X40">
        <v>72.995116646617021</v>
      </c>
      <c r="Y40">
        <v>7543.5535960405723</v>
      </c>
      <c r="Z40">
        <v>43.90073775174104</v>
      </c>
      <c r="AA40">
        <v>52.936125839070328</v>
      </c>
      <c r="AB40">
        <v>51.792085604600643</v>
      </c>
      <c r="AC40">
        <v>43.929968272093085</v>
      </c>
      <c r="AD40">
        <v>63.199322161595248</v>
      </c>
      <c r="AE40">
        <v>72.647716527281545</v>
      </c>
      <c r="AF40">
        <v>47.217193943656341</v>
      </c>
      <c r="AG40">
        <v>54.211338608880844</v>
      </c>
      <c r="AH40">
        <v>52.203154516018166</v>
      </c>
      <c r="AI40">
        <v>54.304377253207782</v>
      </c>
      <c r="AJ40">
        <v>83.096329216515159</v>
      </c>
      <c r="AK40">
        <v>46.13971377726449</v>
      </c>
      <c r="AL40">
        <v>61.128550718010423</v>
      </c>
      <c r="AM40">
        <v>71.338094108936403</v>
      </c>
      <c r="AN40">
        <v>59.231226825127351</v>
      </c>
      <c r="AO40">
        <v>69.402767736277681</v>
      </c>
      <c r="AP40">
        <v>76.943904302668315</v>
      </c>
      <c r="AQ40">
        <v>68.439805981171716</v>
      </c>
      <c r="AR40">
        <v>47.113441756891007</v>
      </c>
      <c r="AS40">
        <v>53.570672010807449</v>
      </c>
      <c r="AT40">
        <v>53.393932612998732</v>
      </c>
      <c r="AU40">
        <v>56.837808819307192</v>
      </c>
      <c r="AV40">
        <v>71.967075952243121</v>
      </c>
      <c r="AW40">
        <v>50.639833507317697</v>
      </c>
      <c r="AX40">
        <v>18.84</v>
      </c>
      <c r="AY40">
        <v>44.710486145002847</v>
      </c>
      <c r="AZ40">
        <v>78.368998249367436</v>
      </c>
      <c r="BA40">
        <v>-7.1594987999999846</v>
      </c>
      <c r="BB40">
        <v>1099.6734260999999</v>
      </c>
      <c r="BC40">
        <v>1092.5139273</v>
      </c>
    </row>
    <row r="41" spans="1:55">
      <c r="A41" t="s">
        <v>595</v>
      </c>
      <c r="B41">
        <v>117.46319703555717</v>
      </c>
      <c r="C41">
        <v>119.91785158595508</v>
      </c>
      <c r="D41">
        <v>65.025663579119865</v>
      </c>
      <c r="E41">
        <v>79.566363653718795</v>
      </c>
      <c r="F41">
        <v>-18.07852066325917</v>
      </c>
      <c r="G41">
        <v>-0.24457642358572093</v>
      </c>
      <c r="H41">
        <v>4.9271303670182434</v>
      </c>
      <c r="I41">
        <v>7.4976492604677043</v>
      </c>
      <c r="J41">
        <v>62.929324191030148</v>
      </c>
      <c r="K41">
        <v>36.871013030060574</v>
      </c>
      <c r="L41">
        <v>34.962387836373381</v>
      </c>
      <c r="M41">
        <v>59.525698071436061</v>
      </c>
      <c r="N41">
        <v>66.167294793014889</v>
      </c>
      <c r="O41">
        <v>88.266770788593774</v>
      </c>
      <c r="P41">
        <v>5.7768512004957655</v>
      </c>
      <c r="Q41">
        <v>63.231297294383104</v>
      </c>
      <c r="R41">
        <v>71.420068524885409</v>
      </c>
      <c r="S41">
        <v>61.22612439546424</v>
      </c>
      <c r="T41">
        <v>76.280572359603212</v>
      </c>
      <c r="U41">
        <v>64.206867336875106</v>
      </c>
      <c r="V41">
        <v>73.065338207369962</v>
      </c>
      <c r="W41">
        <v>64.242699501472643</v>
      </c>
      <c r="X41">
        <v>73.093994986832129</v>
      </c>
      <c r="Y41">
        <v>7391.7675294335468</v>
      </c>
      <c r="Z41">
        <v>44.996200469550537</v>
      </c>
      <c r="AA41">
        <v>54.012986315824755</v>
      </c>
      <c r="AB41">
        <v>51.937908891832009</v>
      </c>
      <c r="AC41">
        <v>44.009285786621092</v>
      </c>
      <c r="AD41">
        <v>63.175467554763152</v>
      </c>
      <c r="AE41">
        <v>72.748452636490399</v>
      </c>
      <c r="AF41">
        <v>47.997010959139523</v>
      </c>
      <c r="AG41">
        <v>54.719731196854212</v>
      </c>
      <c r="AH41">
        <v>52.573133650041804</v>
      </c>
      <c r="AI41">
        <v>49.54613928174485</v>
      </c>
      <c r="AJ41">
        <v>86.914130475657203</v>
      </c>
      <c r="AK41">
        <v>43.95835436858949</v>
      </c>
      <c r="AL41">
        <v>62.01752919535101</v>
      </c>
      <c r="AM41">
        <v>71.902021570621272</v>
      </c>
      <c r="AN41">
        <v>60.18413204438955</v>
      </c>
      <c r="AO41">
        <v>70.111871733373249</v>
      </c>
      <c r="AP41">
        <v>77.469357296098224</v>
      </c>
      <c r="AQ41">
        <v>68.384508920467397</v>
      </c>
      <c r="AR41">
        <v>43.564610648547522</v>
      </c>
      <c r="AS41">
        <v>51.859083039631145</v>
      </c>
      <c r="AT41">
        <v>51.621026181600477</v>
      </c>
      <c r="AU41">
        <v>55.887371541556917</v>
      </c>
      <c r="AV41">
        <v>62.054168958450703</v>
      </c>
      <c r="AW41">
        <v>40.373709550513333</v>
      </c>
      <c r="AX41">
        <v>14.163333333333334</v>
      </c>
      <c r="AY41">
        <v>34.089058820917948</v>
      </c>
      <c r="AZ41">
        <v>73.781556192871633</v>
      </c>
      <c r="BA41">
        <v>0.1494878</v>
      </c>
      <c r="BB41">
        <v>1067.1001557</v>
      </c>
      <c r="BC41">
        <v>1067.2496435</v>
      </c>
    </row>
    <row r="42" spans="1:55">
      <c r="A42" t="s">
        <v>596</v>
      </c>
      <c r="B42">
        <v>118.07177635414415</v>
      </c>
      <c r="C42">
        <v>120.81904144031579</v>
      </c>
      <c r="D42">
        <v>65.081622871918583</v>
      </c>
      <c r="E42">
        <v>79.410854228954989</v>
      </c>
      <c r="F42">
        <v>-14.801952019185096</v>
      </c>
      <c r="G42">
        <v>-0.19954873688522795</v>
      </c>
      <c r="H42">
        <v>4.8083712482615626</v>
      </c>
      <c r="I42">
        <v>7.7462742034422938</v>
      </c>
      <c r="J42">
        <v>61.4314169948886</v>
      </c>
      <c r="K42">
        <v>37.638373229532121</v>
      </c>
      <c r="L42">
        <v>35.564530062651137</v>
      </c>
      <c r="M42">
        <v>57.08904369976112</v>
      </c>
      <c r="N42">
        <v>64.162360601788777</v>
      </c>
      <c r="O42">
        <v>88.442773655634767</v>
      </c>
      <c r="P42">
        <v>5.8936093415235531</v>
      </c>
      <c r="Q42">
        <v>63.970098586320681</v>
      </c>
      <c r="R42">
        <v>72.111908272588849</v>
      </c>
      <c r="S42">
        <v>61.365065149476294</v>
      </c>
      <c r="T42">
        <v>76.65970418103575</v>
      </c>
      <c r="U42">
        <v>64.43747045507655</v>
      </c>
      <c r="V42">
        <v>73.352784294064506</v>
      </c>
      <c r="W42">
        <v>64.484655043253099</v>
      </c>
      <c r="X42">
        <v>73.38848688355526</v>
      </c>
      <c r="Y42">
        <v>7417.7127103032271</v>
      </c>
      <c r="Z42">
        <v>45.123817895229912</v>
      </c>
      <c r="AA42">
        <v>54.114537318783206</v>
      </c>
      <c r="AB42">
        <v>51.752485074125673</v>
      </c>
      <c r="AC42">
        <v>44.686610628768477</v>
      </c>
      <c r="AD42">
        <v>63.481511712775415</v>
      </c>
      <c r="AE42">
        <v>73.081704130295805</v>
      </c>
      <c r="AF42">
        <v>47.584202043674196</v>
      </c>
      <c r="AG42">
        <v>54.503489445978261</v>
      </c>
      <c r="AH42">
        <v>52.074835025125743</v>
      </c>
      <c r="AI42">
        <v>49.078823151153152</v>
      </c>
      <c r="AJ42">
        <v>79.300966909491549</v>
      </c>
      <c r="AK42">
        <v>43.046364084738308</v>
      </c>
      <c r="AL42">
        <v>62.861204613435177</v>
      </c>
      <c r="AM42">
        <v>72.415859016497052</v>
      </c>
      <c r="AN42">
        <v>61.098679995104945</v>
      </c>
      <c r="AO42">
        <v>70.853516427401374</v>
      </c>
      <c r="AP42">
        <v>77.949810356751769</v>
      </c>
      <c r="AQ42">
        <v>70.307433127990734</v>
      </c>
      <c r="AR42">
        <v>42.2251517611042</v>
      </c>
      <c r="AS42">
        <v>51.088461870508866</v>
      </c>
      <c r="AT42">
        <v>50.798951696000351</v>
      </c>
      <c r="AU42">
        <v>56.500683583087778</v>
      </c>
      <c r="AV42">
        <v>60.10142569671433</v>
      </c>
      <c r="AW42">
        <v>38.343292500688456</v>
      </c>
      <c r="AX42">
        <v>13.280000000000001</v>
      </c>
      <c r="AY42">
        <v>32.111445277375957</v>
      </c>
      <c r="AZ42">
        <v>72.865113998350154</v>
      </c>
      <c r="BA42">
        <v>1.4245268</v>
      </c>
      <c r="BB42">
        <v>1049.7455222999999</v>
      </c>
      <c r="BC42">
        <v>1051.1700490999999</v>
      </c>
    </row>
    <row r="43" spans="1:55">
      <c r="A43" t="s">
        <v>597</v>
      </c>
      <c r="B43">
        <v>116.93835614548895</v>
      </c>
      <c r="C43">
        <v>119.58729670653918</v>
      </c>
      <c r="D43">
        <v>65.116332150073617</v>
      </c>
      <c r="E43">
        <v>79.4251048442528</v>
      </c>
      <c r="F43">
        <v>-20.661721840646912</v>
      </c>
      <c r="G43">
        <v>-0.27962455213055254</v>
      </c>
      <c r="H43">
        <v>4.5047260788899806</v>
      </c>
      <c r="I43">
        <v>8.9286265658689903</v>
      </c>
      <c r="J43">
        <v>50.896284108442735</v>
      </c>
      <c r="K43">
        <v>38.288943703461968</v>
      </c>
      <c r="L43">
        <v>36.075034277903349</v>
      </c>
      <c r="M43">
        <v>48.697277511704371</v>
      </c>
      <c r="N43">
        <v>53.576491805753491</v>
      </c>
      <c r="O43">
        <v>88.696531549784424</v>
      </c>
      <c r="P43">
        <v>5.9098901621613686</v>
      </c>
      <c r="Q43">
        <v>64.728515070580784</v>
      </c>
      <c r="R43">
        <v>72.880564446700475</v>
      </c>
      <c r="S43">
        <v>61.821380901293921</v>
      </c>
      <c r="T43">
        <v>77.413594804997871</v>
      </c>
      <c r="U43">
        <v>64.789539781693904</v>
      </c>
      <c r="V43">
        <v>73.824981336207912</v>
      </c>
      <c r="W43">
        <v>64.850752368851971</v>
      </c>
      <c r="X43">
        <v>73.869564737121991</v>
      </c>
      <c r="Y43">
        <v>7389.094299201688</v>
      </c>
      <c r="Z43">
        <v>44.879577810608239</v>
      </c>
      <c r="AA43">
        <v>54.260119597147394</v>
      </c>
      <c r="AB43">
        <v>51.34733165032106</v>
      </c>
      <c r="AC43">
        <v>45.429078794736739</v>
      </c>
      <c r="AD43">
        <v>63.684016977672485</v>
      </c>
      <c r="AE43">
        <v>73.534301884682066</v>
      </c>
      <c r="AF43">
        <v>48.225298362982919</v>
      </c>
      <c r="AG43">
        <v>54.685938330998972</v>
      </c>
      <c r="AH43">
        <v>52.181867517610513</v>
      </c>
      <c r="AI43">
        <v>45.974695288959516</v>
      </c>
      <c r="AJ43">
        <v>72.218147705655852</v>
      </c>
      <c r="AK43">
        <v>40.319462189078962</v>
      </c>
      <c r="AL43">
        <v>64.097917499866938</v>
      </c>
      <c r="AM43">
        <v>73.074626187584201</v>
      </c>
      <c r="AN43">
        <v>62.463922866800417</v>
      </c>
      <c r="AO43">
        <v>71.609147689759311</v>
      </c>
      <c r="AP43">
        <v>78.420531882596407</v>
      </c>
      <c r="AQ43">
        <v>64.35944094975936</v>
      </c>
      <c r="AR43">
        <v>40.096271906452166</v>
      </c>
      <c r="AS43">
        <v>48.876389238138408</v>
      </c>
      <c r="AT43">
        <v>48.580231500182514</v>
      </c>
      <c r="AU43">
        <v>52.444719208637572</v>
      </c>
      <c r="AV43">
        <v>55.349862741539305</v>
      </c>
      <c r="AW43">
        <v>36.615971726862306</v>
      </c>
      <c r="AX43">
        <v>13.003333333333336</v>
      </c>
      <c r="AY43">
        <v>31.44784326254025</v>
      </c>
      <c r="AZ43">
        <v>70.101985183622773</v>
      </c>
      <c r="BA43">
        <v>0.7673468</v>
      </c>
      <c r="BB43">
        <v>1030.8311581</v>
      </c>
      <c r="BC43">
        <v>1031.5985049000001</v>
      </c>
    </row>
    <row r="44" spans="1:55">
      <c r="A44" t="s">
        <v>598</v>
      </c>
      <c r="B44">
        <v>113.38041969978629</v>
      </c>
      <c r="C44">
        <v>116.74822863296015</v>
      </c>
      <c r="D44">
        <v>65.424390695409457</v>
      </c>
      <c r="E44">
        <v>79.598083381678023</v>
      </c>
      <c r="F44">
        <v>-24.617607950370047</v>
      </c>
      <c r="G44">
        <v>-0.31616770006275785</v>
      </c>
      <c r="H44">
        <v>4.046062032908039</v>
      </c>
      <c r="I44">
        <v>7.4187551549465063</v>
      </c>
      <c r="J44">
        <v>59.118913966937392</v>
      </c>
      <c r="K44">
        <v>39.213897211493091</v>
      </c>
      <c r="L44">
        <v>36.857951292273086</v>
      </c>
      <c r="M44">
        <v>59.775857941243771</v>
      </c>
      <c r="N44">
        <v>63.363194820321212</v>
      </c>
      <c r="O44">
        <v>88.921855668248512</v>
      </c>
      <c r="P44">
        <v>5.8994850839166988</v>
      </c>
      <c r="Q44">
        <v>64.797339172734297</v>
      </c>
      <c r="R44">
        <v>73.257827592202062</v>
      </c>
      <c r="S44">
        <v>61.786079966278493</v>
      </c>
      <c r="T44">
        <v>77.831100568052435</v>
      </c>
      <c r="U44">
        <v>65.338559453616156</v>
      </c>
      <c r="V44">
        <v>74.423610964177087</v>
      </c>
      <c r="W44">
        <v>65.403292942389413</v>
      </c>
      <c r="X44">
        <v>74.470294493840015</v>
      </c>
      <c r="Y44">
        <v>7786.2501278541622</v>
      </c>
      <c r="Z44">
        <v>44.465351489929894</v>
      </c>
      <c r="AA44">
        <v>54.412230361707216</v>
      </c>
      <c r="AB44">
        <v>51.203746420973886</v>
      </c>
      <c r="AC44">
        <v>46.275581853310335</v>
      </c>
      <c r="AD44">
        <v>64.278506096578909</v>
      </c>
      <c r="AE44">
        <v>74.249202829188889</v>
      </c>
      <c r="AF44">
        <v>48.20297170243451</v>
      </c>
      <c r="AG44">
        <v>54.936971324801299</v>
      </c>
      <c r="AH44">
        <v>52.433514139031445</v>
      </c>
      <c r="AI44">
        <v>44.626096946124328</v>
      </c>
      <c r="AJ44">
        <v>70.7880598574354</v>
      </c>
      <c r="AK44">
        <v>39.422315972503561</v>
      </c>
      <c r="AL44">
        <v>65.601614810119415</v>
      </c>
      <c r="AM44">
        <v>73.929981344018117</v>
      </c>
      <c r="AN44">
        <v>64.026193626918158</v>
      </c>
      <c r="AO44">
        <v>73.150840043417816</v>
      </c>
      <c r="AP44">
        <v>79.122161636027712</v>
      </c>
      <c r="AQ44">
        <v>64.721519324812121</v>
      </c>
      <c r="AR44">
        <v>38.253863775225689</v>
      </c>
      <c r="AS44">
        <v>45.934114982368065</v>
      </c>
      <c r="AT44">
        <v>45.870784787950448</v>
      </c>
      <c r="AU44">
        <v>51.94394496795865</v>
      </c>
      <c r="AV44">
        <v>52.310551211635477</v>
      </c>
      <c r="AW44">
        <v>34.041017577639529</v>
      </c>
      <c r="AX44">
        <v>11.85</v>
      </c>
      <c r="AY44">
        <v>27.468551729729114</v>
      </c>
      <c r="AZ44">
        <v>68.594987781080178</v>
      </c>
      <c r="BA44">
        <v>0.95263120000000001</v>
      </c>
      <c r="BB44">
        <v>1052.4381072000001</v>
      </c>
      <c r="BC44">
        <v>1053.3907383999999</v>
      </c>
    </row>
    <row r="45" spans="1:55">
      <c r="A45" t="s">
        <v>599</v>
      </c>
      <c r="B45">
        <v>115.08320060191836</v>
      </c>
      <c r="C45">
        <v>119.32040071492732</v>
      </c>
      <c r="D45">
        <v>66.092995503381303</v>
      </c>
      <c r="E45">
        <v>80.348174069668644</v>
      </c>
      <c r="F45">
        <v>-45.935227927538847</v>
      </c>
      <c r="G45">
        <v>-0.59701616891538634</v>
      </c>
      <c r="H45">
        <v>4.3039748898034356</v>
      </c>
      <c r="I45">
        <v>5.8599846699817961</v>
      </c>
      <c r="J45">
        <v>65.422298723769998</v>
      </c>
      <c r="K45">
        <v>39.899844542839922</v>
      </c>
      <c r="L45">
        <v>37.857432597483871</v>
      </c>
      <c r="M45">
        <v>62.717816740846757</v>
      </c>
      <c r="N45">
        <v>69.250892844955246</v>
      </c>
      <c r="O45">
        <v>89.1286177905546</v>
      </c>
      <c r="P45">
        <v>6.1854302214028456</v>
      </c>
      <c r="Q45">
        <v>65.763150232623843</v>
      </c>
      <c r="R45">
        <v>73.998228933510191</v>
      </c>
      <c r="S45">
        <v>62.255260056913961</v>
      </c>
      <c r="T45">
        <v>78.308561983618731</v>
      </c>
      <c r="U45">
        <v>65.889290225331493</v>
      </c>
      <c r="V45">
        <v>74.884141460986996</v>
      </c>
      <c r="W45">
        <v>65.9415808871167</v>
      </c>
      <c r="X45">
        <v>74.923279064647502</v>
      </c>
      <c r="Y45">
        <v>7694.1346514936913</v>
      </c>
      <c r="Z45">
        <v>44.84583150145496</v>
      </c>
      <c r="AA45">
        <v>55.165306263459058</v>
      </c>
      <c r="AB45">
        <v>51.825876254571611</v>
      </c>
      <c r="AC45">
        <v>47.198550699461386</v>
      </c>
      <c r="AD45">
        <v>64.878470691864877</v>
      </c>
      <c r="AE45">
        <v>74.794349496032638</v>
      </c>
      <c r="AF45">
        <v>48.430966096714975</v>
      </c>
      <c r="AG45">
        <v>55.184720837893927</v>
      </c>
      <c r="AH45">
        <v>52.789469713378722</v>
      </c>
      <c r="AI45">
        <v>42.921981461056937</v>
      </c>
      <c r="AJ45">
        <v>66.978686474794927</v>
      </c>
      <c r="AK45">
        <v>38.783476076888093</v>
      </c>
      <c r="AL45">
        <v>66.341298397848945</v>
      </c>
      <c r="AM45">
        <v>74.354784315046629</v>
      </c>
      <c r="AN45">
        <v>64.871270092859461</v>
      </c>
      <c r="AO45">
        <v>73.873066987332592</v>
      </c>
      <c r="AP45">
        <v>79.570755560358904</v>
      </c>
      <c r="AQ45">
        <v>60.765876506952601</v>
      </c>
      <c r="AR45">
        <v>36.871910048834913</v>
      </c>
      <c r="AS45">
        <v>48.25764536661066</v>
      </c>
      <c r="AT45">
        <v>48.451931560587106</v>
      </c>
      <c r="AU45">
        <v>49.775669325906669</v>
      </c>
      <c r="AV45">
        <v>49.435003459674753</v>
      </c>
      <c r="AW45">
        <v>33.008297848088056</v>
      </c>
      <c r="AX45">
        <v>11.643333333333333</v>
      </c>
      <c r="AY45">
        <v>27.32546915089878</v>
      </c>
      <c r="AZ45">
        <v>70.010596472656388</v>
      </c>
      <c r="BA45">
        <v>-24.285886300000001</v>
      </c>
      <c r="BB45">
        <v>1051.7934562</v>
      </c>
      <c r="BC45">
        <v>1027.5075698999999</v>
      </c>
    </row>
    <row r="46" spans="1:55">
      <c r="A46" t="s">
        <v>600</v>
      </c>
      <c r="B46">
        <v>116.5278809258037</v>
      </c>
      <c r="C46">
        <v>120.78157098568073</v>
      </c>
      <c r="D46">
        <v>67.031786197301855</v>
      </c>
      <c r="E46">
        <v>81.132966468985458</v>
      </c>
      <c r="F46">
        <v>-33.041521588282492</v>
      </c>
      <c r="G46">
        <v>-0.43338732580607492</v>
      </c>
      <c r="H46">
        <v>4.5456086186807152</v>
      </c>
      <c r="I46">
        <v>5.0716027163412436</v>
      </c>
      <c r="J46">
        <v>73.682984182880048</v>
      </c>
      <c r="K46">
        <v>40.754547194617153</v>
      </c>
      <c r="L46">
        <v>38.776596825756357</v>
      </c>
      <c r="M46">
        <v>69.086703095835873</v>
      </c>
      <c r="N46">
        <v>77.351934430921972</v>
      </c>
      <c r="O46">
        <v>89.25049399301254</v>
      </c>
      <c r="P46">
        <v>6.145380784794475</v>
      </c>
      <c r="Q46">
        <v>66.532865416920416</v>
      </c>
      <c r="R46">
        <v>74.782049032474262</v>
      </c>
      <c r="S46">
        <v>63.183819792972983</v>
      </c>
      <c r="T46">
        <v>79.347228732368023</v>
      </c>
      <c r="U46">
        <v>66.527361142339075</v>
      </c>
      <c r="V46">
        <v>75.464053295599328</v>
      </c>
      <c r="W46">
        <v>66.568552362748903</v>
      </c>
      <c r="X46">
        <v>75.496519519511551</v>
      </c>
      <c r="Y46">
        <v>7624.0165830477872</v>
      </c>
      <c r="Z46">
        <v>46.134960889637675</v>
      </c>
      <c r="AA46">
        <v>56.597774952442592</v>
      </c>
      <c r="AB46">
        <v>53.39825803200344</v>
      </c>
      <c r="AC46">
        <v>47.955117518928283</v>
      </c>
      <c r="AD46">
        <v>65.661046205096639</v>
      </c>
      <c r="AE46">
        <v>75.465700163249721</v>
      </c>
      <c r="AF46">
        <v>49.094330583321707</v>
      </c>
      <c r="AG46">
        <v>56.068565249232364</v>
      </c>
      <c r="AH46">
        <v>53.688101213606046</v>
      </c>
      <c r="AI46">
        <v>46.056830809630505</v>
      </c>
      <c r="AJ46">
        <v>60.791795679979863</v>
      </c>
      <c r="AK46">
        <v>38.115967514795479</v>
      </c>
      <c r="AL46">
        <v>67.05872982689732</v>
      </c>
      <c r="AM46">
        <v>74.866876543622013</v>
      </c>
      <c r="AN46">
        <v>65.6598855359601</v>
      </c>
      <c r="AO46">
        <v>74.498618310314811</v>
      </c>
      <c r="AP46">
        <v>80.007779176021003</v>
      </c>
      <c r="AQ46">
        <v>58.956355801401692</v>
      </c>
      <c r="AR46">
        <v>39.258280594795828</v>
      </c>
      <c r="AS46">
        <v>50.849640538467746</v>
      </c>
      <c r="AT46">
        <v>51.019778191237158</v>
      </c>
      <c r="AU46">
        <v>48.978016290864765</v>
      </c>
      <c r="AV46">
        <v>55.833912879685414</v>
      </c>
      <c r="AW46">
        <v>41.831410976276338</v>
      </c>
      <c r="AX46">
        <v>16.03</v>
      </c>
      <c r="AY46">
        <v>38.578352829757343</v>
      </c>
      <c r="AZ46">
        <v>70.653989241465396</v>
      </c>
      <c r="BA46">
        <v>-32.794947999999998</v>
      </c>
      <c r="BB46">
        <v>1075.7597889000001</v>
      </c>
      <c r="BC46">
        <v>1042.9648408999999</v>
      </c>
    </row>
    <row r="47" spans="1:55">
      <c r="A47" t="s">
        <v>601</v>
      </c>
      <c r="B47">
        <v>116.56145209711612</v>
      </c>
      <c r="C47">
        <v>120.60901222506881</v>
      </c>
      <c r="D47">
        <v>68.120552708564432</v>
      </c>
      <c r="E47">
        <v>82.336100368931866</v>
      </c>
      <c r="F47">
        <v>-46.793635924646381</v>
      </c>
      <c r="G47">
        <v>-0.60150293023884849</v>
      </c>
      <c r="H47">
        <v>5.0254219570178007</v>
      </c>
      <c r="I47">
        <v>4.8206514686297437</v>
      </c>
      <c r="J47">
        <v>71.104662511466927</v>
      </c>
      <c r="K47">
        <v>41.495209817959527</v>
      </c>
      <c r="L47">
        <v>39.509312340328883</v>
      </c>
      <c r="M47">
        <v>68.023688174422247</v>
      </c>
      <c r="N47">
        <v>74.385674934831073</v>
      </c>
      <c r="O47">
        <v>89.380434090070182</v>
      </c>
      <c r="P47">
        <v>6.0754923418044591</v>
      </c>
      <c r="Q47">
        <v>67.012366711550484</v>
      </c>
      <c r="R47">
        <v>75.454444580548667</v>
      </c>
      <c r="S47">
        <v>63.947938848871424</v>
      </c>
      <c r="T47">
        <v>80.346698396452297</v>
      </c>
      <c r="U47">
        <v>67.353217665025326</v>
      </c>
      <c r="V47">
        <v>76.352560663188612</v>
      </c>
      <c r="W47">
        <v>67.394515249314438</v>
      </c>
      <c r="X47">
        <v>76.385023645258784</v>
      </c>
      <c r="Y47">
        <v>7779.4526962761875</v>
      </c>
      <c r="Z47">
        <v>47.488409129708359</v>
      </c>
      <c r="AA47">
        <v>58.214494718409014</v>
      </c>
      <c r="AB47">
        <v>55.026274434047785</v>
      </c>
      <c r="AC47">
        <v>48.768925530903743</v>
      </c>
      <c r="AD47">
        <v>66.297260317715484</v>
      </c>
      <c r="AE47">
        <v>76.24023886445562</v>
      </c>
      <c r="AF47">
        <v>50.906648765888072</v>
      </c>
      <c r="AG47">
        <v>57.922092524564363</v>
      </c>
      <c r="AH47">
        <v>55.666968536133353</v>
      </c>
      <c r="AI47">
        <v>49.677325832935061</v>
      </c>
      <c r="AJ47">
        <v>54.650712462908984</v>
      </c>
      <c r="AK47">
        <v>36.581732718977975</v>
      </c>
      <c r="AL47">
        <v>67.822676087016717</v>
      </c>
      <c r="AM47">
        <v>75.432550176719857</v>
      </c>
      <c r="AN47">
        <v>66.487133863281073</v>
      </c>
      <c r="AO47">
        <v>75.061281688376283</v>
      </c>
      <c r="AP47">
        <v>80.416476295133293</v>
      </c>
      <c r="AQ47">
        <v>57.647374398109527</v>
      </c>
      <c r="AR47">
        <v>43.441774961586361</v>
      </c>
      <c r="AS47">
        <v>52.8919320662784</v>
      </c>
      <c r="AT47">
        <v>53.025040860590934</v>
      </c>
      <c r="AU47">
        <v>48.631986145699329</v>
      </c>
      <c r="AV47">
        <v>63.302413165430572</v>
      </c>
      <c r="AW47">
        <v>51.189382864374146</v>
      </c>
      <c r="AX47">
        <v>20.443333333333332</v>
      </c>
      <c r="AY47">
        <v>48.725894444112022</v>
      </c>
      <c r="AZ47">
        <v>70.689782097616501</v>
      </c>
      <c r="BA47">
        <v>-31.540407800000001</v>
      </c>
      <c r="BB47">
        <v>1130.1732534</v>
      </c>
      <c r="BC47">
        <v>1098.6328456000001</v>
      </c>
    </row>
    <row r="48" spans="1:55">
      <c r="A48" t="s">
        <v>602</v>
      </c>
      <c r="B48">
        <v>117.26961287026775</v>
      </c>
      <c r="C48">
        <v>121.19173470631829</v>
      </c>
      <c r="D48">
        <v>69.506503066072966</v>
      </c>
      <c r="E48">
        <v>83.925853365314325</v>
      </c>
      <c r="F48">
        <v>-55.293609087570161</v>
      </c>
      <c r="G48">
        <v>-0.69047616289237002</v>
      </c>
      <c r="H48">
        <v>5.2041170970393047</v>
      </c>
      <c r="I48">
        <v>4.9728170602173405</v>
      </c>
      <c r="J48">
        <v>84.788142949582294</v>
      </c>
      <c r="K48">
        <v>42.398471513337576</v>
      </c>
      <c r="L48">
        <v>40.983033420826899</v>
      </c>
      <c r="M48">
        <v>81.84851199956816</v>
      </c>
      <c r="N48">
        <v>90.212153727580528</v>
      </c>
      <c r="O48">
        <v>89.563436374221212</v>
      </c>
      <c r="P48">
        <v>5.9745189965262924</v>
      </c>
      <c r="Q48">
        <v>67.997910049985819</v>
      </c>
      <c r="R48">
        <v>76.34160817049414</v>
      </c>
      <c r="S48">
        <v>64.761550184915478</v>
      </c>
      <c r="T48">
        <v>81.135916658663092</v>
      </c>
      <c r="U48">
        <v>68.340633891333155</v>
      </c>
      <c r="V48">
        <v>77.366934548701821</v>
      </c>
      <c r="W48">
        <v>68.377845715776104</v>
      </c>
      <c r="X48">
        <v>77.396863595580328</v>
      </c>
      <c r="Y48">
        <v>8008.0402567335559</v>
      </c>
      <c r="Z48">
        <v>49.089381007596955</v>
      </c>
      <c r="AA48">
        <v>60.032215436821843</v>
      </c>
      <c r="AB48">
        <v>56.912719494102113</v>
      </c>
      <c r="AC48">
        <v>49.851726073071838</v>
      </c>
      <c r="AD48">
        <v>67.237798141421436</v>
      </c>
      <c r="AE48">
        <v>77.252671428621198</v>
      </c>
      <c r="AF48">
        <v>52.804162150808111</v>
      </c>
      <c r="AG48">
        <v>59.810251960647633</v>
      </c>
      <c r="AH48">
        <v>57.490919702204543</v>
      </c>
      <c r="AI48">
        <v>53.274179366949888</v>
      </c>
      <c r="AJ48">
        <v>60.017195516268771</v>
      </c>
      <c r="AK48">
        <v>35.769861075269169</v>
      </c>
      <c r="AL48">
        <v>68.540553027395376</v>
      </c>
      <c r="AM48">
        <v>76.001093058915146</v>
      </c>
      <c r="AN48">
        <v>67.270827455656445</v>
      </c>
      <c r="AO48">
        <v>75.752551678842721</v>
      </c>
      <c r="AP48">
        <v>80.908701332612239</v>
      </c>
      <c r="AQ48">
        <v>57.785426318878535</v>
      </c>
      <c r="AR48">
        <v>45.986143951552428</v>
      </c>
      <c r="AS48">
        <v>55.239864806515548</v>
      </c>
      <c r="AT48">
        <v>55.281108616939697</v>
      </c>
      <c r="AU48">
        <v>50.20588916022205</v>
      </c>
      <c r="AV48">
        <v>67.63858280923607</v>
      </c>
      <c r="AW48">
        <v>57.712382410638902</v>
      </c>
      <c r="AX48">
        <v>23.806666666666668</v>
      </c>
      <c r="AY48">
        <v>55.977589333765728</v>
      </c>
      <c r="AZ48">
        <v>72.781575852544833</v>
      </c>
      <c r="BA48">
        <v>-33.072863599999998</v>
      </c>
      <c r="BB48">
        <v>1191.5528578000001</v>
      </c>
      <c r="BC48">
        <v>1158.4799942</v>
      </c>
    </row>
    <row r="49" spans="1:55">
      <c r="A49" t="s">
        <v>603</v>
      </c>
      <c r="B49">
        <v>118.40051396743134</v>
      </c>
      <c r="C49">
        <v>123.59441692655103</v>
      </c>
      <c r="D49">
        <v>70.582630476739453</v>
      </c>
      <c r="E49">
        <v>84.93456976955575</v>
      </c>
      <c r="F49">
        <v>-67.238345671292393</v>
      </c>
      <c r="G49">
        <v>-0.83728812254914886</v>
      </c>
      <c r="H49">
        <v>5.4509673819781135</v>
      </c>
      <c r="I49">
        <v>5.1075742686162071</v>
      </c>
      <c r="J49">
        <v>87.156983186050468</v>
      </c>
      <c r="K49">
        <v>43.151065232107157</v>
      </c>
      <c r="L49">
        <v>41.564799893435691</v>
      </c>
      <c r="M49">
        <v>83.006066069244028</v>
      </c>
      <c r="N49">
        <v>92.735521371446225</v>
      </c>
      <c r="O49">
        <v>89.923841740305264</v>
      </c>
      <c r="P49">
        <v>6.0510076398626707</v>
      </c>
      <c r="Q49">
        <v>69.010739625839875</v>
      </c>
      <c r="R49">
        <v>77.359574124018309</v>
      </c>
      <c r="S49">
        <v>66.583568631087743</v>
      </c>
      <c r="T49">
        <v>83.008341815720001</v>
      </c>
      <c r="U49">
        <v>69.263485483539128</v>
      </c>
      <c r="V49">
        <v>78.244539955883937</v>
      </c>
      <c r="W49">
        <v>69.290452453534115</v>
      </c>
      <c r="X49">
        <v>78.269029171412654</v>
      </c>
      <c r="Y49">
        <v>8030.4908024472188</v>
      </c>
      <c r="Z49">
        <v>51.134099340657656</v>
      </c>
      <c r="AA49">
        <v>61.937524389260027</v>
      </c>
      <c r="AB49">
        <v>58.888846580709597</v>
      </c>
      <c r="AC49">
        <v>50.633840923680403</v>
      </c>
      <c r="AD49">
        <v>68.219053636891417</v>
      </c>
      <c r="AE49">
        <v>78.146004667134136</v>
      </c>
      <c r="AF49">
        <v>54.583188388663551</v>
      </c>
      <c r="AG49">
        <v>61.653526989537987</v>
      </c>
      <c r="AH49">
        <v>59.35196156211687</v>
      </c>
      <c r="AI49">
        <v>57.367481802795318</v>
      </c>
      <c r="AJ49">
        <v>52.952901923584442</v>
      </c>
      <c r="AK49">
        <v>36.225320252836376</v>
      </c>
      <c r="AL49">
        <v>69.239646563702522</v>
      </c>
      <c r="AM49">
        <v>76.604392238658491</v>
      </c>
      <c r="AN49">
        <v>68.02756546524283</v>
      </c>
      <c r="AO49">
        <v>76.431930004516332</v>
      </c>
      <c r="AP49">
        <v>81.377933565189949</v>
      </c>
      <c r="AQ49">
        <v>59.361894748982515</v>
      </c>
      <c r="AR49">
        <v>49.7685082929301</v>
      </c>
      <c r="AS49">
        <v>54.003824442787874</v>
      </c>
      <c r="AT49">
        <v>54.222360333019481</v>
      </c>
      <c r="AU49">
        <v>51.801246069758754</v>
      </c>
      <c r="AV49">
        <v>79.369951438324946</v>
      </c>
      <c r="AW49">
        <v>65.41889894648169</v>
      </c>
      <c r="AX49">
        <v>26.616666666666664</v>
      </c>
      <c r="AY49">
        <v>63.799923450797301</v>
      </c>
      <c r="AZ49">
        <v>74.002808695136437</v>
      </c>
      <c r="BA49">
        <v>-57.222168799999999</v>
      </c>
      <c r="BB49">
        <v>1250.9535561</v>
      </c>
      <c r="BC49">
        <v>1193.7313873000001</v>
      </c>
    </row>
    <row r="50" spans="1:55">
      <c r="A50" t="s">
        <v>604</v>
      </c>
      <c r="B50">
        <v>118.13922467363075</v>
      </c>
      <c r="C50">
        <v>123.22642526161856</v>
      </c>
      <c r="D50">
        <v>72.093653817599176</v>
      </c>
      <c r="E50">
        <v>86.540061323912639</v>
      </c>
      <c r="F50">
        <v>-64.042428601227002</v>
      </c>
      <c r="G50">
        <v>-0.79972699372474088</v>
      </c>
      <c r="H50">
        <v>5.2424908476542571</v>
      </c>
      <c r="I50">
        <v>5.437966471122512</v>
      </c>
      <c r="J50">
        <v>83.071566621355714</v>
      </c>
      <c r="K50">
        <v>43.847010686994828</v>
      </c>
      <c r="L50">
        <v>42.036892786696896</v>
      </c>
      <c r="M50">
        <v>79.743716431455212</v>
      </c>
      <c r="N50">
        <v>90.238298170251795</v>
      </c>
      <c r="O50">
        <v>90.164842706722936</v>
      </c>
      <c r="P50">
        <v>5.8703801391381374</v>
      </c>
      <c r="Q50">
        <v>69.574526392206849</v>
      </c>
      <c r="R50">
        <v>77.930831321395516</v>
      </c>
      <c r="S50">
        <v>67.426386112734463</v>
      </c>
      <c r="T50">
        <v>83.976344269259002</v>
      </c>
      <c r="U50">
        <v>70.099520255630722</v>
      </c>
      <c r="V50">
        <v>79.135578631851743</v>
      </c>
      <c r="W50">
        <v>70.130253251041864</v>
      </c>
      <c r="X50">
        <v>79.161871175522364</v>
      </c>
      <c r="Y50">
        <v>8008.0363803838109</v>
      </c>
      <c r="Z50">
        <v>52.318478394109789</v>
      </c>
      <c r="AA50">
        <v>63.745974585864609</v>
      </c>
      <c r="AB50">
        <v>60.578575322001115</v>
      </c>
      <c r="AC50">
        <v>51.395852127094884</v>
      </c>
      <c r="AD50">
        <v>68.99084540209796</v>
      </c>
      <c r="AE50">
        <v>78.986461994436013</v>
      </c>
      <c r="AF50">
        <v>56.219724768105152</v>
      </c>
      <c r="AG50">
        <v>63.522037504343032</v>
      </c>
      <c r="AH50">
        <v>61.272220578303383</v>
      </c>
      <c r="AI50">
        <v>59.060440426523542</v>
      </c>
      <c r="AJ50">
        <v>49.023264254304799</v>
      </c>
      <c r="AK50">
        <v>38.323364912096167</v>
      </c>
      <c r="AL50">
        <v>69.843936005341561</v>
      </c>
      <c r="AM50">
        <v>77.01945922079824</v>
      </c>
      <c r="AN50">
        <v>68.693720471532842</v>
      </c>
      <c r="AO50">
        <v>76.961547476677652</v>
      </c>
      <c r="AP50">
        <v>81.765753664522506</v>
      </c>
      <c r="AQ50">
        <v>61.749511350053751</v>
      </c>
      <c r="AR50">
        <v>47.798110600476235</v>
      </c>
      <c r="AS50">
        <v>53.834094519050673</v>
      </c>
      <c r="AT50">
        <v>54.164046132599623</v>
      </c>
      <c r="AU50">
        <v>52.450254103285886</v>
      </c>
      <c r="AV50">
        <v>95.560348297452478</v>
      </c>
      <c r="AW50">
        <v>68.621905308436226</v>
      </c>
      <c r="AX50">
        <v>26.766666666666666</v>
      </c>
      <c r="AY50">
        <v>65.429664025729934</v>
      </c>
      <c r="AZ50">
        <v>75.650980580357725</v>
      </c>
      <c r="BA50">
        <v>-67.168944100000004</v>
      </c>
      <c r="BB50">
        <v>1287.6650251000001</v>
      </c>
      <c r="BC50">
        <v>1220.496081</v>
      </c>
    </row>
    <row r="51" spans="1:55">
      <c r="A51" t="s">
        <v>605</v>
      </c>
      <c r="B51">
        <v>118.50414933463274</v>
      </c>
      <c r="C51">
        <v>123.66217654540237</v>
      </c>
      <c r="D51">
        <v>72.877942666255578</v>
      </c>
      <c r="E51">
        <v>87.187574313200415</v>
      </c>
      <c r="F51">
        <v>-73.368089322626105</v>
      </c>
      <c r="G51">
        <v>-0.91710830591767711</v>
      </c>
      <c r="H51">
        <v>5.1509983064163771</v>
      </c>
      <c r="I51">
        <v>5.6084695959721316</v>
      </c>
      <c r="J51">
        <v>81.200007102864518</v>
      </c>
      <c r="K51">
        <v>44.549333913450894</v>
      </c>
      <c r="L51">
        <v>42.592663658815439</v>
      </c>
      <c r="M51">
        <v>73.566144355094139</v>
      </c>
      <c r="N51">
        <v>85.794640756482636</v>
      </c>
      <c r="O51">
        <v>90.393074914357271</v>
      </c>
      <c r="P51">
        <v>5.8003171109283578</v>
      </c>
      <c r="Q51">
        <v>70.382728834085071</v>
      </c>
      <c r="R51">
        <v>78.582674677975376</v>
      </c>
      <c r="S51">
        <v>67.841076911344658</v>
      </c>
      <c r="T51">
        <v>84.239894617276079</v>
      </c>
      <c r="U51">
        <v>70.636214379006972</v>
      </c>
      <c r="V51">
        <v>79.553245025262527</v>
      </c>
      <c r="W51">
        <v>70.661678318941654</v>
      </c>
      <c r="X51">
        <v>79.576414593930778</v>
      </c>
      <c r="Y51">
        <v>7999.9372864922971</v>
      </c>
      <c r="Z51">
        <v>54.609896521449841</v>
      </c>
      <c r="AA51">
        <v>65.931063080954985</v>
      </c>
      <c r="AB51">
        <v>62.723381527782109</v>
      </c>
      <c r="AC51">
        <v>52.282746172952322</v>
      </c>
      <c r="AD51">
        <v>69.623987518684274</v>
      </c>
      <c r="AE51">
        <v>79.49518782195544</v>
      </c>
      <c r="AF51">
        <v>57.42344853731187</v>
      </c>
      <c r="AG51">
        <v>64.979565264693179</v>
      </c>
      <c r="AH51">
        <v>62.84512724582607</v>
      </c>
      <c r="AI51">
        <v>61.393043653263497</v>
      </c>
      <c r="AJ51">
        <v>45.380846257960208</v>
      </c>
      <c r="AK51">
        <v>39.589650386421631</v>
      </c>
      <c r="AL51">
        <v>70.762803744791526</v>
      </c>
      <c r="AM51">
        <v>77.744909737779153</v>
      </c>
      <c r="AN51">
        <v>69.685189239251315</v>
      </c>
      <c r="AO51">
        <v>77.549419527103339</v>
      </c>
      <c r="AP51">
        <v>82.212878899592923</v>
      </c>
      <c r="AQ51">
        <v>57.230270341015995</v>
      </c>
      <c r="AR51">
        <v>48.05877486500782</v>
      </c>
      <c r="AS51">
        <v>52.239515354945091</v>
      </c>
      <c r="AT51">
        <v>52.781654278877198</v>
      </c>
      <c r="AU51">
        <v>50.206563488061882</v>
      </c>
      <c r="AV51">
        <v>112.15494341164101</v>
      </c>
      <c r="AW51">
        <v>77.574000137921189</v>
      </c>
      <c r="AX51">
        <v>29.883333333333336</v>
      </c>
      <c r="AY51">
        <v>74.065831326638261</v>
      </c>
      <c r="AZ51">
        <v>72.450799157892575</v>
      </c>
      <c r="BA51">
        <v>-78.322853300000006</v>
      </c>
      <c r="BB51">
        <v>1331.4842318000001</v>
      </c>
      <c r="BC51">
        <v>1253.1613785</v>
      </c>
    </row>
    <row r="52" spans="1:55">
      <c r="A52" t="s">
        <v>606</v>
      </c>
      <c r="B52">
        <v>116.43962744178641</v>
      </c>
      <c r="C52">
        <v>121.0521271874136</v>
      </c>
      <c r="D52">
        <v>73.427140691276534</v>
      </c>
      <c r="E52">
        <v>87.74470152324038</v>
      </c>
      <c r="F52">
        <v>-82.033913077361163</v>
      </c>
      <c r="G52">
        <v>-1.033351228646981</v>
      </c>
      <c r="H52">
        <v>4.9925424427699987</v>
      </c>
      <c r="I52">
        <v>5.7637448816475425</v>
      </c>
      <c r="J52">
        <v>78.048338107212672</v>
      </c>
      <c r="K52">
        <v>45.424538191589129</v>
      </c>
      <c r="L52">
        <v>42.992971983099224</v>
      </c>
      <c r="M52">
        <v>68.181293633795789</v>
      </c>
      <c r="N52">
        <v>79.137250112732644</v>
      </c>
      <c r="O52">
        <v>90.694240290034941</v>
      </c>
      <c r="P52">
        <v>5.6374231645248232</v>
      </c>
      <c r="Q52">
        <v>71.111970806075647</v>
      </c>
      <c r="R52">
        <v>79.260467011158497</v>
      </c>
      <c r="S52">
        <v>68.392029101654543</v>
      </c>
      <c r="T52">
        <v>84.845141781197526</v>
      </c>
      <c r="U52">
        <v>71.122374210166825</v>
      </c>
      <c r="V52">
        <v>80.060843599681618</v>
      </c>
      <c r="W52">
        <v>71.149809616703109</v>
      </c>
      <c r="X52">
        <v>80.084917888765645</v>
      </c>
      <c r="Y52">
        <v>7938.628300154277</v>
      </c>
      <c r="Z52">
        <v>55.870216877592846</v>
      </c>
      <c r="AA52">
        <v>67.186973914467998</v>
      </c>
      <c r="AB52">
        <v>63.721357508275034</v>
      </c>
      <c r="AC52">
        <v>53.103925338548486</v>
      </c>
      <c r="AD52">
        <v>70.22354371786308</v>
      </c>
      <c r="AE52">
        <v>80.101163034266506</v>
      </c>
      <c r="AF52">
        <v>58.207452588162326</v>
      </c>
      <c r="AG52">
        <v>65.555676956529467</v>
      </c>
      <c r="AH52">
        <v>63.410696334088271</v>
      </c>
      <c r="AI52">
        <v>63.743830587295577</v>
      </c>
      <c r="AJ52">
        <v>41.249780435732184</v>
      </c>
      <c r="AK52">
        <v>43.265756565926587</v>
      </c>
      <c r="AL52">
        <v>71.51084543972884</v>
      </c>
      <c r="AM52">
        <v>78.325819024702454</v>
      </c>
      <c r="AN52">
        <v>70.499298430247606</v>
      </c>
      <c r="AO52">
        <v>78.133815748331415</v>
      </c>
      <c r="AP52">
        <v>82.663234027098738</v>
      </c>
      <c r="AQ52">
        <v>57.770221787684015</v>
      </c>
      <c r="AR52">
        <v>46.104197375888965</v>
      </c>
      <c r="AS52">
        <v>49.240695289981744</v>
      </c>
      <c r="AT52">
        <v>49.872355312573745</v>
      </c>
      <c r="AU52">
        <v>49.760216856353026</v>
      </c>
      <c r="AV52">
        <v>142.96938904640746</v>
      </c>
      <c r="AW52">
        <v>83.970768993042597</v>
      </c>
      <c r="AX52">
        <v>29.669999999999998</v>
      </c>
      <c r="AY52">
        <v>74.711011879933935</v>
      </c>
      <c r="AZ52">
        <v>71.006818314974552</v>
      </c>
      <c r="BA52">
        <v>-80.244126300000005</v>
      </c>
      <c r="BB52">
        <v>1335.0770729999999</v>
      </c>
      <c r="BC52">
        <v>1254.8329467000001</v>
      </c>
    </row>
    <row r="53" spans="1:55">
      <c r="A53" t="s">
        <v>607</v>
      </c>
      <c r="B53">
        <v>111.96451669953535</v>
      </c>
      <c r="C53">
        <v>116.45850326701579</v>
      </c>
      <c r="D53">
        <v>72.989936843704513</v>
      </c>
      <c r="E53">
        <v>86.857332464813865</v>
      </c>
      <c r="F53">
        <v>-64.96864413214351</v>
      </c>
      <c r="G53">
        <v>-0.81034678759785506</v>
      </c>
      <c r="H53">
        <v>4.5600096373232377</v>
      </c>
      <c r="I53">
        <v>5.2827456221973472</v>
      </c>
      <c r="J53">
        <v>72.241774821891994</v>
      </c>
      <c r="K53">
        <v>46.765678960981809</v>
      </c>
      <c r="L53">
        <v>44.048580646059804</v>
      </c>
      <c r="M53">
        <v>60.016451935674063</v>
      </c>
      <c r="N53">
        <v>72.648925737096192</v>
      </c>
      <c r="O53">
        <v>90.982051328339296</v>
      </c>
      <c r="P53">
        <v>5.7526848169469647</v>
      </c>
      <c r="Q53">
        <v>71.485034429928248</v>
      </c>
      <c r="R53">
        <v>79.652966044094171</v>
      </c>
      <c r="S53">
        <v>68.674802700875716</v>
      </c>
      <c r="T53">
        <v>85.063865394316821</v>
      </c>
      <c r="U53">
        <v>71.49591069596022</v>
      </c>
      <c r="V53">
        <v>80.389858774626859</v>
      </c>
      <c r="W53">
        <v>71.531613183507233</v>
      </c>
      <c r="X53">
        <v>80.417624039476266</v>
      </c>
      <c r="Y53">
        <v>8017.3877562633133</v>
      </c>
      <c r="Z53">
        <v>55.571852252223742</v>
      </c>
      <c r="AA53">
        <v>66.66444840384959</v>
      </c>
      <c r="AB53">
        <v>63.035065735801687</v>
      </c>
      <c r="AC53">
        <v>53.977768097883768</v>
      </c>
      <c r="AD53">
        <v>70.479865050510242</v>
      </c>
      <c r="AE53">
        <v>80.320097664132945</v>
      </c>
      <c r="AF53">
        <v>58.310559597989375</v>
      </c>
      <c r="AG53">
        <v>65.127233570026334</v>
      </c>
      <c r="AH53">
        <v>63.108639363067944</v>
      </c>
      <c r="AI53">
        <v>61.320778809117542</v>
      </c>
      <c r="AJ53">
        <v>41.140078454046083</v>
      </c>
      <c r="AK53">
        <v>50.13501687655836</v>
      </c>
      <c r="AL53">
        <v>72.119189051272301</v>
      </c>
      <c r="AM53">
        <v>78.831152099108309</v>
      </c>
      <c r="AN53">
        <v>71.143628238288642</v>
      </c>
      <c r="AO53">
        <v>78.661587410869302</v>
      </c>
      <c r="AP53">
        <v>83.084828858736685</v>
      </c>
      <c r="AQ53">
        <v>58.379051585704708</v>
      </c>
      <c r="AR53">
        <v>45.227128209240142</v>
      </c>
      <c r="AS53">
        <v>46.026836445857661</v>
      </c>
      <c r="AT53">
        <v>47.112081502381251</v>
      </c>
      <c r="AU53">
        <v>50.144636366231573</v>
      </c>
      <c r="AV53">
        <v>138.22130640395591</v>
      </c>
      <c r="AW53">
        <v>77.486782043738629</v>
      </c>
      <c r="AX53">
        <v>26.069999999999997</v>
      </c>
      <c r="AY53">
        <v>65.399063014564561</v>
      </c>
      <c r="AZ53">
        <v>69.944316975185373</v>
      </c>
      <c r="BA53">
        <v>-68.172264999999996</v>
      </c>
      <c r="BB53">
        <v>1312.5211609</v>
      </c>
      <c r="BC53">
        <v>1244.3488958999999</v>
      </c>
    </row>
    <row r="54" spans="1:55">
      <c r="A54" t="s">
        <v>608</v>
      </c>
      <c r="B54">
        <v>111.26146182941064</v>
      </c>
      <c r="C54">
        <v>115.82353446799685</v>
      </c>
      <c r="D54">
        <v>72.448256692415114</v>
      </c>
      <c r="E54">
        <v>85.717032908525667</v>
      </c>
      <c r="F54">
        <v>-67.26121411515706</v>
      </c>
      <c r="G54">
        <v>-0.85357416619452242</v>
      </c>
      <c r="H54">
        <v>4.7268323041426905</v>
      </c>
      <c r="I54">
        <v>4.6831417320470203</v>
      </c>
      <c r="J54">
        <v>74.828605208304126</v>
      </c>
      <c r="K54">
        <v>47.813681727013247</v>
      </c>
      <c r="L54">
        <v>45.03741857729284</v>
      </c>
      <c r="M54">
        <v>61.577891561074473</v>
      </c>
      <c r="N54">
        <v>75.451712598738467</v>
      </c>
      <c r="O54">
        <v>91.161455784904675</v>
      </c>
      <c r="P54">
        <v>5.7820783086249667</v>
      </c>
      <c r="Q54">
        <v>72.059089107569378</v>
      </c>
      <c r="R54">
        <v>80.080325760341324</v>
      </c>
      <c r="S54">
        <v>68.657021038966448</v>
      </c>
      <c r="T54">
        <v>84.513652396488453</v>
      </c>
      <c r="U54">
        <v>71.837869281048825</v>
      </c>
      <c r="V54">
        <v>80.603237820129607</v>
      </c>
      <c r="W54">
        <v>71.876357193869879</v>
      </c>
      <c r="X54">
        <v>80.631823617043935</v>
      </c>
      <c r="Y54">
        <v>7879.9496023909414</v>
      </c>
      <c r="Z54">
        <v>54.933649495158463</v>
      </c>
      <c r="AA54">
        <v>65.506308425499199</v>
      </c>
      <c r="AB54">
        <v>61.888500693650336</v>
      </c>
      <c r="AC54">
        <v>54.708932409904179</v>
      </c>
      <c r="AD54">
        <v>70.961106470938944</v>
      </c>
      <c r="AE54">
        <v>80.626768353343934</v>
      </c>
      <c r="AF54">
        <v>57.291016016120267</v>
      </c>
      <c r="AG54">
        <v>63.756103927758076</v>
      </c>
      <c r="AH54">
        <v>61.68340313956211</v>
      </c>
      <c r="AI54">
        <v>59.267957755540955</v>
      </c>
      <c r="AJ54">
        <v>38.880033128247071</v>
      </c>
      <c r="AK54">
        <v>51.240919617192674</v>
      </c>
      <c r="AL54">
        <v>73.072730214169596</v>
      </c>
      <c r="AM54">
        <v>79.510214851594654</v>
      </c>
      <c r="AN54">
        <v>72.214549204179036</v>
      </c>
      <c r="AO54">
        <v>79.409466101299401</v>
      </c>
      <c r="AP54">
        <v>83.64839629750422</v>
      </c>
      <c r="AQ54">
        <v>60.331824153003559</v>
      </c>
      <c r="AR54">
        <v>43.852464203346521</v>
      </c>
      <c r="AS54">
        <v>44.276215741061755</v>
      </c>
      <c r="AT54">
        <v>45.421645697787191</v>
      </c>
      <c r="AU54">
        <v>49.93846804255751</v>
      </c>
      <c r="AV54">
        <v>113.21967300611747</v>
      </c>
      <c r="AW54">
        <v>72.762825206291566</v>
      </c>
      <c r="AX54">
        <v>26.72666666666667</v>
      </c>
      <c r="AY54">
        <v>68.762085723594055</v>
      </c>
      <c r="AZ54">
        <v>68.477259417364209</v>
      </c>
      <c r="BA54">
        <v>-62.437875200000001</v>
      </c>
      <c r="BB54">
        <v>1245.4582634000001</v>
      </c>
      <c r="BC54">
        <v>1183.0203882000001</v>
      </c>
    </row>
    <row r="55" spans="1:55">
      <c r="A55" t="s">
        <v>609</v>
      </c>
      <c r="B55">
        <v>109.69023947131139</v>
      </c>
      <c r="C55">
        <v>113.85680090776998</v>
      </c>
      <c r="D55">
        <v>71.96085704197877</v>
      </c>
      <c r="E55">
        <v>84.63864152916608</v>
      </c>
      <c r="F55">
        <v>-66.842069906172568</v>
      </c>
      <c r="G55">
        <v>-0.84326538659211958</v>
      </c>
      <c r="H55">
        <v>4.6185119729882169</v>
      </c>
      <c r="I55">
        <v>4.2564374439065835</v>
      </c>
      <c r="J55">
        <v>60.506853699679262</v>
      </c>
      <c r="K55">
        <v>48.994996317381286</v>
      </c>
      <c r="L55">
        <v>46.942047962721858</v>
      </c>
      <c r="M55">
        <v>50.951939174328842</v>
      </c>
      <c r="N55">
        <v>61.170154180948998</v>
      </c>
      <c r="O55">
        <v>91.292943211494574</v>
      </c>
      <c r="P55">
        <v>6.0040805328919795</v>
      </c>
      <c r="Q55">
        <v>72.368069333718935</v>
      </c>
      <c r="R55">
        <v>80.299068792185537</v>
      </c>
      <c r="S55">
        <v>68.256944544286114</v>
      </c>
      <c r="T55">
        <v>83.864219802205412</v>
      </c>
      <c r="U55">
        <v>72.019066492889081</v>
      </c>
      <c r="V55">
        <v>80.530171891991003</v>
      </c>
      <c r="W55">
        <v>72.056803665195474</v>
      </c>
      <c r="X55">
        <v>80.557535046488852</v>
      </c>
      <c r="Y55">
        <v>7926.5757813564214</v>
      </c>
      <c r="Z55">
        <v>53.896402278545743</v>
      </c>
      <c r="AA55">
        <v>64.218349709570205</v>
      </c>
      <c r="AB55">
        <v>60.638704433987911</v>
      </c>
      <c r="AC55">
        <v>55.056653884878848</v>
      </c>
      <c r="AD55">
        <v>71.062560715655309</v>
      </c>
      <c r="AE55">
        <v>80.527681746407524</v>
      </c>
      <c r="AF55">
        <v>56.028007681905599</v>
      </c>
      <c r="AG55">
        <v>62.159866783986352</v>
      </c>
      <c r="AH55">
        <v>60.323824443025906</v>
      </c>
      <c r="AI55">
        <v>55.356264087126419</v>
      </c>
      <c r="AJ55">
        <v>35.780440310606572</v>
      </c>
      <c r="AK55">
        <v>50.200456087685701</v>
      </c>
      <c r="AL55">
        <v>73.677939425930177</v>
      </c>
      <c r="AM55">
        <v>79.890280307737967</v>
      </c>
      <c r="AN55">
        <v>72.878254871476358</v>
      </c>
      <c r="AO55">
        <v>80.105302293671642</v>
      </c>
      <c r="AP55">
        <v>84.212566787672628</v>
      </c>
      <c r="AQ55">
        <v>61.56849965399195</v>
      </c>
      <c r="AR55">
        <v>39.78185756755957</v>
      </c>
      <c r="AS55">
        <v>44.797669141751612</v>
      </c>
      <c r="AT55">
        <v>45.700125182806993</v>
      </c>
      <c r="AU55">
        <v>48.968409948910953</v>
      </c>
      <c r="AV55">
        <v>87.253922118885612</v>
      </c>
      <c r="AW55">
        <v>64.596131169029235</v>
      </c>
      <c r="AX55">
        <v>25.213333333333335</v>
      </c>
      <c r="AY55">
        <v>64.347588167175147</v>
      </c>
      <c r="AZ55">
        <v>64.711912161095697</v>
      </c>
      <c r="BA55">
        <v>-55.626961299999998</v>
      </c>
      <c r="BB55">
        <v>1207.6674651999999</v>
      </c>
      <c r="BC55">
        <v>1152.0405039</v>
      </c>
    </row>
    <row r="56" spans="1:55">
      <c r="A56" t="s">
        <v>610</v>
      </c>
      <c r="B56">
        <v>104.35271484568558</v>
      </c>
      <c r="C56">
        <v>107.55339223835215</v>
      </c>
      <c r="D56">
        <v>71.468004304941374</v>
      </c>
      <c r="E56">
        <v>83.650177975081974</v>
      </c>
      <c r="F56">
        <v>-32.946032864651777</v>
      </c>
      <c r="G56">
        <v>-0.41452312729059848</v>
      </c>
      <c r="H56">
        <v>4.4484556028171065</v>
      </c>
      <c r="I56">
        <v>3.5381551219092313</v>
      </c>
      <c r="J56">
        <v>68.938215202341866</v>
      </c>
      <c r="K56">
        <v>49.787598302489386</v>
      </c>
      <c r="L56">
        <v>47.373830696507717</v>
      </c>
      <c r="M56">
        <v>56.590192026152216</v>
      </c>
      <c r="N56">
        <v>68.982226836555455</v>
      </c>
      <c r="O56">
        <v>91.351846444741724</v>
      </c>
      <c r="P56">
        <v>6.2025091633275977</v>
      </c>
      <c r="Q56">
        <v>72.936167133653456</v>
      </c>
      <c r="R56">
        <v>80.878817297850119</v>
      </c>
      <c r="S56">
        <v>67.931979220796904</v>
      </c>
      <c r="T56">
        <v>82.905692495477695</v>
      </c>
      <c r="U56">
        <v>72.305954310760271</v>
      </c>
      <c r="V56">
        <v>80.704555942647858</v>
      </c>
      <c r="W56">
        <v>72.341339082957106</v>
      </c>
      <c r="X56">
        <v>80.730377022923378</v>
      </c>
      <c r="Y56">
        <v>7947.9360005781282</v>
      </c>
      <c r="Z56">
        <v>53.142888245611353</v>
      </c>
      <c r="AA56">
        <v>63.242419814140263</v>
      </c>
      <c r="AB56">
        <v>59.99850748502876</v>
      </c>
      <c r="AC56">
        <v>55.571809271701682</v>
      </c>
      <c r="AD56">
        <v>71.195144300293634</v>
      </c>
      <c r="AE56">
        <v>80.568130568338816</v>
      </c>
      <c r="AF56">
        <v>55.836389353687522</v>
      </c>
      <c r="AG56">
        <v>61.549577844292848</v>
      </c>
      <c r="AH56">
        <v>60.372691244434598</v>
      </c>
      <c r="AI56">
        <v>48.821621293323368</v>
      </c>
      <c r="AJ56">
        <v>35.419674915343215</v>
      </c>
      <c r="AK56">
        <v>45.775042332178948</v>
      </c>
      <c r="AL56">
        <v>74.120634579869602</v>
      </c>
      <c r="AM56">
        <v>80.100015828199631</v>
      </c>
      <c r="AN56">
        <v>73.384720427857914</v>
      </c>
      <c r="AO56">
        <v>80.73569919273497</v>
      </c>
      <c r="AP56">
        <v>84.718117501944434</v>
      </c>
      <c r="AQ56">
        <v>58.128223712140901</v>
      </c>
      <c r="AR56">
        <v>38.315353024314383</v>
      </c>
      <c r="AS56">
        <v>42.155746018216895</v>
      </c>
      <c r="AT56">
        <v>43.227521077012973</v>
      </c>
      <c r="AU56">
        <v>46.713587818904529</v>
      </c>
      <c r="AV56">
        <v>75.412025273408105</v>
      </c>
      <c r="AW56">
        <v>51.870837616423877</v>
      </c>
      <c r="AX56">
        <v>19.313333333333333</v>
      </c>
      <c r="AY56">
        <v>49.296668569381616</v>
      </c>
      <c r="AZ56">
        <v>60.525059415069755</v>
      </c>
      <c r="BA56">
        <v>-39.173506500000002</v>
      </c>
      <c r="BB56">
        <v>1172.2545061000001</v>
      </c>
      <c r="BC56">
        <v>1133.0809996</v>
      </c>
    </row>
    <row r="57" spans="1:55">
      <c r="A57" t="s">
        <v>611</v>
      </c>
      <c r="B57">
        <v>106.91777926462719</v>
      </c>
      <c r="C57">
        <v>111.8127266537367</v>
      </c>
      <c r="D57">
        <v>72.410189137345711</v>
      </c>
      <c r="E57">
        <v>84.459179410609934</v>
      </c>
      <c r="F57">
        <v>-26.103011593369704</v>
      </c>
      <c r="G57">
        <v>-0.33007703354779561</v>
      </c>
      <c r="H57">
        <v>4.7390522207575438</v>
      </c>
      <c r="I57">
        <v>3.4830444562485599</v>
      </c>
      <c r="J57">
        <v>72.009074685539247</v>
      </c>
      <c r="K57">
        <v>50.535872114181593</v>
      </c>
      <c r="L57">
        <v>48.650578657880168</v>
      </c>
      <c r="M57">
        <v>57.230940963019009</v>
      </c>
      <c r="N57">
        <v>70.96351040687297</v>
      </c>
      <c r="O57">
        <v>91.653425802119145</v>
      </c>
      <c r="P57">
        <v>6.4200116770200957</v>
      </c>
      <c r="Q57">
        <v>73.429559764329184</v>
      </c>
      <c r="R57">
        <v>81.251392141848342</v>
      </c>
      <c r="S57">
        <v>68.020764377500541</v>
      </c>
      <c r="T57">
        <v>82.737808539808128</v>
      </c>
      <c r="U57">
        <v>72.867281512283384</v>
      </c>
      <c r="V57">
        <v>81.178151312836306</v>
      </c>
      <c r="W57">
        <v>72.899647169639863</v>
      </c>
      <c r="X57">
        <v>81.20205049173488</v>
      </c>
      <c r="Y57">
        <v>7908.1574724555794</v>
      </c>
      <c r="Z57">
        <v>54.250112817433916</v>
      </c>
      <c r="AA57">
        <v>64.377333954485294</v>
      </c>
      <c r="AB57">
        <v>61.340155415958584</v>
      </c>
      <c r="AC57">
        <v>56.524338317811072</v>
      </c>
      <c r="AD57">
        <v>71.671206839688679</v>
      </c>
      <c r="AE57">
        <v>80.973969222819932</v>
      </c>
      <c r="AF57">
        <v>57.507778190460648</v>
      </c>
      <c r="AG57">
        <v>63.091630529674248</v>
      </c>
      <c r="AH57">
        <v>61.792318008031309</v>
      </c>
      <c r="AI57">
        <v>50.684851889655363</v>
      </c>
      <c r="AJ57">
        <v>40.326839511244266</v>
      </c>
      <c r="AK57">
        <v>43.555841574761182</v>
      </c>
      <c r="AL57">
        <v>74.758721148524117</v>
      </c>
      <c r="AM57">
        <v>80.550698041845166</v>
      </c>
      <c r="AN57">
        <v>74.089156472973556</v>
      </c>
      <c r="AO57">
        <v>81.380119753774423</v>
      </c>
      <c r="AP57">
        <v>85.222676314393979</v>
      </c>
      <c r="AQ57">
        <v>60.320891868958562</v>
      </c>
      <c r="AR57">
        <v>40.991493056208313</v>
      </c>
      <c r="AS57">
        <v>47.408942541034172</v>
      </c>
      <c r="AT57">
        <v>48.117145920895382</v>
      </c>
      <c r="AU57">
        <v>48.746337344617125</v>
      </c>
      <c r="AV57">
        <v>71.524822103400879</v>
      </c>
      <c r="AW57">
        <v>53.488863431705433</v>
      </c>
      <c r="AX57">
        <v>20.923333333333332</v>
      </c>
      <c r="AY57">
        <v>54.315797833496021</v>
      </c>
      <c r="AZ57">
        <v>62.098341185605328</v>
      </c>
      <c r="BA57">
        <v>-36.130389200000003</v>
      </c>
      <c r="BB57">
        <v>1183.6928172999999</v>
      </c>
      <c r="BC57">
        <v>1147.5624281</v>
      </c>
    </row>
    <row r="58" spans="1:55">
      <c r="A58" t="s">
        <v>612</v>
      </c>
      <c r="B58">
        <v>107.99000664296619</v>
      </c>
      <c r="C58">
        <v>113.57284794778951</v>
      </c>
      <c r="D58">
        <v>73.763255969059188</v>
      </c>
      <c r="E58">
        <v>85.903750571301018</v>
      </c>
      <c r="F58">
        <v>-54.615725564994172</v>
      </c>
      <c r="G58">
        <v>-0.66923270174141603</v>
      </c>
      <c r="H58">
        <v>4.7884339895488175</v>
      </c>
      <c r="I58">
        <v>3.5469246569385482</v>
      </c>
      <c r="J58">
        <v>64.566884360442685</v>
      </c>
      <c r="K58">
        <v>51.187905507256303</v>
      </c>
      <c r="L58">
        <v>49.741732315845901</v>
      </c>
      <c r="M58">
        <v>52.765594884215552</v>
      </c>
      <c r="N58">
        <v>62.603720215293201</v>
      </c>
      <c r="O58">
        <v>92.336956263675006</v>
      </c>
      <c r="P58">
        <v>6.4860264877473428</v>
      </c>
      <c r="Q58">
        <v>74.091811249285172</v>
      </c>
      <c r="R58">
        <v>81.760640674797898</v>
      </c>
      <c r="S58">
        <v>68.603927806654013</v>
      </c>
      <c r="T58">
        <v>82.903699670876932</v>
      </c>
      <c r="U58">
        <v>73.630966191591938</v>
      </c>
      <c r="V58">
        <v>81.849870496731668</v>
      </c>
      <c r="W58">
        <v>73.659141991848458</v>
      </c>
      <c r="X58">
        <v>81.871216107639981</v>
      </c>
      <c r="Y58">
        <v>8160.9469206866506</v>
      </c>
      <c r="Z58">
        <v>55.888689436105565</v>
      </c>
      <c r="AA58">
        <v>66.155705498998856</v>
      </c>
      <c r="AB58">
        <v>63.275125530992327</v>
      </c>
      <c r="AC58">
        <v>57.351088724754959</v>
      </c>
      <c r="AD58">
        <v>72.39786103526508</v>
      </c>
      <c r="AE58">
        <v>81.662510765380631</v>
      </c>
      <c r="AF58">
        <v>59.19510332268414</v>
      </c>
      <c r="AG58">
        <v>64.988265709922061</v>
      </c>
      <c r="AH58">
        <v>63.480782908295083</v>
      </c>
      <c r="AI58">
        <v>55.551520849714926</v>
      </c>
      <c r="AJ58">
        <v>42.271664150852786</v>
      </c>
      <c r="AK58">
        <v>39.91661029887895</v>
      </c>
      <c r="AL58">
        <v>75.504692755101871</v>
      </c>
      <c r="AM58">
        <v>81.214526088987</v>
      </c>
      <c r="AN58">
        <v>74.895413647326265</v>
      </c>
      <c r="AO58">
        <v>81.925569218096996</v>
      </c>
      <c r="AP58">
        <v>85.656849677330754</v>
      </c>
      <c r="AQ58">
        <v>61.786999739685562</v>
      </c>
      <c r="AR58">
        <v>41.946017188612366</v>
      </c>
      <c r="AS58">
        <v>50.925133530881787</v>
      </c>
      <c r="AT58">
        <v>51.080689237149635</v>
      </c>
      <c r="AU58">
        <v>50.26079936246645</v>
      </c>
      <c r="AV58">
        <v>84.359910146457679</v>
      </c>
      <c r="AW58">
        <v>63.20441370728409</v>
      </c>
      <c r="AX58">
        <v>25.203333333333333</v>
      </c>
      <c r="AY58">
        <v>63.986089305930051</v>
      </c>
      <c r="AZ58">
        <v>64.298372435901058</v>
      </c>
      <c r="BA58">
        <v>-48.1923058</v>
      </c>
      <c r="BB58">
        <v>1267.0431627999999</v>
      </c>
      <c r="BC58">
        <v>1218.8508569999999</v>
      </c>
    </row>
    <row r="59" spans="1:55">
      <c r="A59" t="s">
        <v>613</v>
      </c>
      <c r="B59">
        <v>105.64958815518742</v>
      </c>
      <c r="C59">
        <v>109.94512216170482</v>
      </c>
      <c r="D59">
        <v>74.508309571958932</v>
      </c>
      <c r="E59">
        <v>86.563748827636843</v>
      </c>
      <c r="F59">
        <v>-29.143181324167589</v>
      </c>
      <c r="G59">
        <v>-0.34500409591084291</v>
      </c>
      <c r="H59">
        <v>4.2652559858725434</v>
      </c>
      <c r="I59">
        <v>3.584250452164063</v>
      </c>
      <c r="J59">
        <v>53.24566600726731</v>
      </c>
      <c r="K59">
        <v>52.260089502269146</v>
      </c>
      <c r="L59">
        <v>50.729186091204426</v>
      </c>
      <c r="M59">
        <v>42.893538950772076</v>
      </c>
      <c r="N59">
        <v>51.405839387889053</v>
      </c>
      <c r="O59">
        <v>92.661136646600426</v>
      </c>
      <c r="P59">
        <v>6.4913571810281141</v>
      </c>
      <c r="Q59">
        <v>74.685271389678093</v>
      </c>
      <c r="R59">
        <v>82.25616706554446</v>
      </c>
      <c r="S59">
        <v>69.490093490768771</v>
      </c>
      <c r="T59">
        <v>83.646099529868067</v>
      </c>
      <c r="U59">
        <v>74.281678746247692</v>
      </c>
      <c r="V59">
        <v>82.34779782059536</v>
      </c>
      <c r="W59">
        <v>74.301172548903835</v>
      </c>
      <c r="X59">
        <v>82.364248107617115</v>
      </c>
      <c r="Y59">
        <v>8447.1986476644215</v>
      </c>
      <c r="Z59">
        <v>57.305406599986917</v>
      </c>
      <c r="AA59">
        <v>67.308584252137393</v>
      </c>
      <c r="AB59">
        <v>64.397356644549376</v>
      </c>
      <c r="AC59">
        <v>57.993826943890475</v>
      </c>
      <c r="AD59">
        <v>73.118939496938623</v>
      </c>
      <c r="AE59">
        <v>82.189475186454075</v>
      </c>
      <c r="AF59">
        <v>60.51647161893294</v>
      </c>
      <c r="AG59">
        <v>65.933182682573658</v>
      </c>
      <c r="AH59">
        <v>64.501977152070893</v>
      </c>
      <c r="AI59">
        <v>57.346436407165868</v>
      </c>
      <c r="AJ59">
        <v>45.474618155488635</v>
      </c>
      <c r="AK59">
        <v>34.793947807819755</v>
      </c>
      <c r="AL59">
        <v>76.157258613953104</v>
      </c>
      <c r="AM59">
        <v>81.72682290355317</v>
      </c>
      <c r="AN59">
        <v>75.604377461339794</v>
      </c>
      <c r="AO59">
        <v>82.462727307659307</v>
      </c>
      <c r="AP59">
        <v>86.099132861284758</v>
      </c>
      <c r="AQ59">
        <v>63.225262390810634</v>
      </c>
      <c r="AR59">
        <v>40.706888075133243</v>
      </c>
      <c r="AS59">
        <v>49.050634390772053</v>
      </c>
      <c r="AT59">
        <v>49.360030988854255</v>
      </c>
      <c r="AU59">
        <v>51.476530587626087</v>
      </c>
      <c r="AV59">
        <v>84.528866857742145</v>
      </c>
      <c r="AW59">
        <v>65.837104538011317</v>
      </c>
      <c r="AX59">
        <v>26.936666666666667</v>
      </c>
      <c r="AY59">
        <v>65.961387974458603</v>
      </c>
      <c r="AZ59">
        <v>71.525682806143095</v>
      </c>
      <c r="BA59">
        <v>-47.070086099999997</v>
      </c>
      <c r="BB59">
        <v>1319.5023455999999</v>
      </c>
      <c r="BC59">
        <v>1272.4322595000001</v>
      </c>
    </row>
    <row r="60" spans="1:55">
      <c r="A60" t="s">
        <v>614</v>
      </c>
      <c r="B60">
        <v>103.04336570580473</v>
      </c>
      <c r="C60">
        <v>106.19379124385574</v>
      </c>
      <c r="D60">
        <v>74.863664420839015</v>
      </c>
      <c r="E60">
        <v>86.72878512513347</v>
      </c>
      <c r="F60">
        <v>-38.658273013030424</v>
      </c>
      <c r="G60">
        <v>-0.45350549419996056</v>
      </c>
      <c r="H60">
        <v>4.048650527813475</v>
      </c>
      <c r="I60">
        <v>3.3878896327955239</v>
      </c>
      <c r="J60">
        <v>56.418601279360558</v>
      </c>
      <c r="K60">
        <v>53.298221691737083</v>
      </c>
      <c r="L60">
        <v>52.040311835982408</v>
      </c>
      <c r="M60">
        <v>46.512469698048108</v>
      </c>
      <c r="N60">
        <v>54.296421884143534</v>
      </c>
      <c r="O60">
        <v>92.773661118324029</v>
      </c>
      <c r="P60">
        <v>6.5618348590059741</v>
      </c>
      <c r="Q60">
        <v>75.158461842198989</v>
      </c>
      <c r="R60">
        <v>82.642641867555895</v>
      </c>
      <c r="S60">
        <v>70.54294342211081</v>
      </c>
      <c r="T60">
        <v>84.473162261524593</v>
      </c>
      <c r="U60">
        <v>74.683935925303388</v>
      </c>
      <c r="V60">
        <v>82.660626717569471</v>
      </c>
      <c r="W60">
        <v>74.702112582478151</v>
      </c>
      <c r="X60">
        <v>82.676043337107586</v>
      </c>
      <c r="Y60">
        <v>8524.3229701612272</v>
      </c>
      <c r="Z60">
        <v>58.241376574487333</v>
      </c>
      <c r="AA60">
        <v>68.220158550989467</v>
      </c>
      <c r="AB60">
        <v>65.075118265351648</v>
      </c>
      <c r="AC60">
        <v>58.830618483421468</v>
      </c>
      <c r="AD60">
        <v>73.673678681055847</v>
      </c>
      <c r="AE60">
        <v>82.646100136717905</v>
      </c>
      <c r="AF60">
        <v>60.858111290341043</v>
      </c>
      <c r="AG60">
        <v>66.048321546408275</v>
      </c>
      <c r="AH60">
        <v>64.715630735833344</v>
      </c>
      <c r="AI60">
        <v>59.820646060984423</v>
      </c>
      <c r="AJ60">
        <v>50.192738028641116</v>
      </c>
      <c r="AK60">
        <v>39.713236977742532</v>
      </c>
      <c r="AL60">
        <v>76.866085809182351</v>
      </c>
      <c r="AM60">
        <v>82.262155256067516</v>
      </c>
      <c r="AN60">
        <v>76.378729498243857</v>
      </c>
      <c r="AO60">
        <v>83.005859621467764</v>
      </c>
      <c r="AP60">
        <v>86.520425616442708</v>
      </c>
      <c r="AQ60">
        <v>65.500825105832021</v>
      </c>
      <c r="AR60">
        <v>41.674854725504041</v>
      </c>
      <c r="AS60">
        <v>48.106844114102209</v>
      </c>
      <c r="AT60">
        <v>48.547434959121709</v>
      </c>
      <c r="AU60">
        <v>53.167822325243812</v>
      </c>
      <c r="AV60">
        <v>100.38527932497324</v>
      </c>
      <c r="AW60">
        <v>69.443784865895239</v>
      </c>
      <c r="AX60">
        <v>26.736666666666668</v>
      </c>
      <c r="AY60">
        <v>65.198741067661445</v>
      </c>
      <c r="AZ60">
        <v>73.663568688564069</v>
      </c>
      <c r="BA60">
        <v>-60.236406600000002</v>
      </c>
      <c r="BB60">
        <v>1345.2551919</v>
      </c>
      <c r="BC60">
        <v>1285.0187853</v>
      </c>
    </row>
    <row r="61" spans="1:55">
      <c r="A61" t="s">
        <v>615</v>
      </c>
      <c r="B61">
        <v>99.924883482981329</v>
      </c>
      <c r="C61">
        <v>102.19403070969759</v>
      </c>
      <c r="D61">
        <v>76.163415479353773</v>
      </c>
      <c r="E61">
        <v>87.573575843314316</v>
      </c>
      <c r="F61">
        <v>-55.009611450266711</v>
      </c>
      <c r="G61">
        <v>-0.6225498215386821</v>
      </c>
      <c r="H61">
        <v>3.8147984904178434</v>
      </c>
      <c r="I61">
        <v>3.2800437643652764</v>
      </c>
      <c r="J61">
        <v>52.834175612779191</v>
      </c>
      <c r="K61">
        <v>54.247238167659361</v>
      </c>
      <c r="L61">
        <v>53.155108434129616</v>
      </c>
      <c r="M61">
        <v>43.728375964168144</v>
      </c>
      <c r="N61">
        <v>50.540783376603393</v>
      </c>
      <c r="O61">
        <v>92.964920023545005</v>
      </c>
      <c r="P61">
        <v>6.651630591350707</v>
      </c>
      <c r="Q61">
        <v>75.763154703881526</v>
      </c>
      <c r="R61">
        <v>83.072711705750976</v>
      </c>
      <c r="S61">
        <v>71.025178420934708</v>
      </c>
      <c r="T61">
        <v>84.735176565340822</v>
      </c>
      <c r="U61">
        <v>75.152992054574412</v>
      </c>
      <c r="V61">
        <v>82.95476442154856</v>
      </c>
      <c r="W61">
        <v>75.17103065990392</v>
      </c>
      <c r="X61">
        <v>82.96937888403825</v>
      </c>
      <c r="Y61">
        <v>8836.1781735485874</v>
      </c>
      <c r="Z61">
        <v>59.638470327185779</v>
      </c>
      <c r="AA61">
        <v>69.130392888492537</v>
      </c>
      <c r="AB61">
        <v>66.143106153710605</v>
      </c>
      <c r="AC61">
        <v>60.003621217985945</v>
      </c>
      <c r="AD61">
        <v>74.272653103462019</v>
      </c>
      <c r="AE61">
        <v>83.07595869845936</v>
      </c>
      <c r="AF61">
        <v>61.274746815460269</v>
      </c>
      <c r="AG61">
        <v>66.275827190007035</v>
      </c>
      <c r="AH61">
        <v>65.152206024932696</v>
      </c>
      <c r="AI61">
        <v>67.170822794782339</v>
      </c>
      <c r="AJ61">
        <v>52.598724597676799</v>
      </c>
      <c r="AK61">
        <v>39.290379705676919</v>
      </c>
      <c r="AL61">
        <v>77.835211203783359</v>
      </c>
      <c r="AM61">
        <v>83.060008031519402</v>
      </c>
      <c r="AN61">
        <v>77.419825257674447</v>
      </c>
      <c r="AO61">
        <v>83.581420279709278</v>
      </c>
      <c r="AP61">
        <v>86.932182059616991</v>
      </c>
      <c r="AQ61">
        <v>66.085487150169911</v>
      </c>
      <c r="AR61">
        <v>45.206136057307582</v>
      </c>
      <c r="AS61">
        <v>47.594118603248432</v>
      </c>
      <c r="AT61">
        <v>48.235059607304159</v>
      </c>
      <c r="AU61">
        <v>55.143901128398689</v>
      </c>
      <c r="AV61">
        <v>133.60966779794566</v>
      </c>
      <c r="AW61">
        <v>84.567456342975262</v>
      </c>
      <c r="AX61">
        <v>31.323262019783755</v>
      </c>
      <c r="AY61">
        <v>74.168917637894978</v>
      </c>
      <c r="AZ61">
        <v>76.069713247358862</v>
      </c>
      <c r="BA61">
        <v>-76.135456700000006</v>
      </c>
      <c r="BB61">
        <v>1430.7253122</v>
      </c>
      <c r="BC61">
        <v>1354.5898555000001</v>
      </c>
    </row>
    <row r="62" spans="1:55">
      <c r="A62" t="s">
        <v>616</v>
      </c>
      <c r="B62">
        <v>102.72194805517763</v>
      </c>
      <c r="C62">
        <v>106.34206247128638</v>
      </c>
      <c r="D62">
        <v>76.194946437824925</v>
      </c>
      <c r="E62">
        <v>87.266905014571805</v>
      </c>
      <c r="F62">
        <v>-49.777356057594162</v>
      </c>
      <c r="G62">
        <v>-0.54457734069240582</v>
      </c>
      <c r="H62">
        <v>3.5506920383266078</v>
      </c>
      <c r="I62">
        <v>3.0357910062161846</v>
      </c>
      <c r="J62">
        <v>60.567044241818813</v>
      </c>
      <c r="K62">
        <v>55.460930282615237</v>
      </c>
      <c r="L62">
        <v>54.746077896155576</v>
      </c>
      <c r="M62">
        <v>51.974843771963108</v>
      </c>
      <c r="N62">
        <v>58.650758351457924</v>
      </c>
      <c r="O62">
        <v>93.124823880060333</v>
      </c>
      <c r="P62">
        <v>6.725638902323837</v>
      </c>
      <c r="Q62">
        <v>76.156992492303488</v>
      </c>
      <c r="R62">
        <v>83.495052735962233</v>
      </c>
      <c r="S62">
        <v>71.784802488907388</v>
      </c>
      <c r="T62">
        <v>85.371016482572159</v>
      </c>
      <c r="U62">
        <v>75.760377397191903</v>
      </c>
      <c r="V62">
        <v>83.480198020732715</v>
      </c>
      <c r="W62">
        <v>75.774553163984336</v>
      </c>
      <c r="X62">
        <v>83.492428425807191</v>
      </c>
      <c r="Y62">
        <v>9140.5485204919587</v>
      </c>
      <c r="Z62">
        <v>59.759061341225838</v>
      </c>
      <c r="AA62">
        <v>69.039082018714609</v>
      </c>
      <c r="AB62">
        <v>66.014173475223942</v>
      </c>
      <c r="AC62">
        <v>60.454484284631974</v>
      </c>
      <c r="AD62">
        <v>74.851773608540896</v>
      </c>
      <c r="AE62">
        <v>83.55622037680422</v>
      </c>
      <c r="AF62">
        <v>61.913418349280235</v>
      </c>
      <c r="AG62">
        <v>66.508147435267006</v>
      </c>
      <c r="AH62">
        <v>65.383970066446153</v>
      </c>
      <c r="AI62">
        <v>63.095528642088368</v>
      </c>
      <c r="AJ62">
        <v>47.656136551292057</v>
      </c>
      <c r="AK62">
        <v>37.19330179277582</v>
      </c>
      <c r="AL62">
        <v>78.204907973053508</v>
      </c>
      <c r="AM62">
        <v>83.187378731601726</v>
      </c>
      <c r="AN62">
        <v>77.818035198323486</v>
      </c>
      <c r="AO62">
        <v>84.067513748972445</v>
      </c>
      <c r="AP62">
        <v>87.253892034415387</v>
      </c>
      <c r="AQ62">
        <v>67.709059380336441</v>
      </c>
      <c r="AR62">
        <v>45.135143080881043</v>
      </c>
      <c r="AS62">
        <v>46.856698894464479</v>
      </c>
      <c r="AT62">
        <v>47.30395367003041</v>
      </c>
      <c r="AU62">
        <v>55.592169131576988</v>
      </c>
      <c r="AV62">
        <v>124.85701931123712</v>
      </c>
      <c r="AW62">
        <v>73.948945618235015</v>
      </c>
      <c r="AX62">
        <v>26.538422318422317</v>
      </c>
      <c r="AY62">
        <v>61.550264423914122</v>
      </c>
      <c r="AZ62">
        <v>76.24350827888064</v>
      </c>
      <c r="BA62">
        <v>-63.774677500000003</v>
      </c>
      <c r="BB62">
        <v>1438.8622891</v>
      </c>
      <c r="BC62">
        <v>1375.0876115999999</v>
      </c>
    </row>
    <row r="63" spans="1:55">
      <c r="A63" t="s">
        <v>617</v>
      </c>
      <c r="B63">
        <v>102.95341207882332</v>
      </c>
      <c r="C63">
        <v>105.88909621669859</v>
      </c>
      <c r="D63">
        <v>77.354560008369333</v>
      </c>
      <c r="E63">
        <v>88.158880104719245</v>
      </c>
      <c r="F63">
        <v>-29.185391335281555</v>
      </c>
      <c r="G63">
        <v>-0.31341861783504582</v>
      </c>
      <c r="H63">
        <v>3.9667025763612997</v>
      </c>
      <c r="I63">
        <v>2.6670001582596616</v>
      </c>
      <c r="J63">
        <v>63.838956033326646</v>
      </c>
      <c r="K63">
        <v>56.50175382764202</v>
      </c>
      <c r="L63">
        <v>55.995599903975922</v>
      </c>
      <c r="M63">
        <v>55.858272682186275</v>
      </c>
      <c r="N63">
        <v>62.111338569569085</v>
      </c>
      <c r="O63">
        <v>93.396768252382216</v>
      </c>
      <c r="P63">
        <v>6.760287332903804</v>
      </c>
      <c r="Q63">
        <v>77.154700758298617</v>
      </c>
      <c r="R63">
        <v>84.414773729349818</v>
      </c>
      <c r="S63">
        <v>73.56796485945452</v>
      </c>
      <c r="T63">
        <v>86.973013005294945</v>
      </c>
      <c r="U63">
        <v>76.939562575536641</v>
      </c>
      <c r="V63">
        <v>84.569959456597076</v>
      </c>
      <c r="W63">
        <v>76.953260298285286</v>
      </c>
      <c r="X63">
        <v>84.581320168826039</v>
      </c>
      <c r="Y63">
        <v>9311.9520266157288</v>
      </c>
      <c r="Z63">
        <v>61.261809367504824</v>
      </c>
      <c r="AA63">
        <v>70.427625388113029</v>
      </c>
      <c r="AB63">
        <v>67.580354209101415</v>
      </c>
      <c r="AC63">
        <v>61.803620692056292</v>
      </c>
      <c r="AD63">
        <v>76.06399628908143</v>
      </c>
      <c r="AE63">
        <v>84.577674184598607</v>
      </c>
      <c r="AF63">
        <v>63.339918605713841</v>
      </c>
      <c r="AG63">
        <v>68.192814512507766</v>
      </c>
      <c r="AH63">
        <v>67.165160072640887</v>
      </c>
      <c r="AI63">
        <v>64.073610845078278</v>
      </c>
      <c r="AJ63">
        <v>46.329572503226899</v>
      </c>
      <c r="AK63">
        <v>43.73547805129305</v>
      </c>
      <c r="AL63">
        <v>78.657515037201776</v>
      </c>
      <c r="AM63">
        <v>83.594961842870518</v>
      </c>
      <c r="AN63">
        <v>78.311862359217187</v>
      </c>
      <c r="AO63">
        <v>84.521131621123132</v>
      </c>
      <c r="AP63">
        <v>87.603980380815088</v>
      </c>
      <c r="AQ63">
        <v>67.105490628930511</v>
      </c>
      <c r="AR63">
        <v>47.932787961765456</v>
      </c>
      <c r="AS63">
        <v>49.644730559276184</v>
      </c>
      <c r="AT63">
        <v>49.707106016326144</v>
      </c>
      <c r="AU63">
        <v>56.226478989997531</v>
      </c>
      <c r="AV63">
        <v>114.31564131558893</v>
      </c>
      <c r="AW63">
        <v>75.424285695548022</v>
      </c>
      <c r="AX63">
        <v>28.398066168935731</v>
      </c>
      <c r="AY63">
        <v>66.092243372334579</v>
      </c>
      <c r="AZ63">
        <v>77.898803637054485</v>
      </c>
      <c r="BA63">
        <v>-48.559395000000002</v>
      </c>
      <c r="BB63">
        <v>1457.1666307999999</v>
      </c>
      <c r="BC63">
        <v>1408.6072357999999</v>
      </c>
    </row>
    <row r="64" spans="1:55">
      <c r="A64" t="s">
        <v>618</v>
      </c>
      <c r="B64">
        <v>105.45939023569406</v>
      </c>
      <c r="C64">
        <v>109.16793894375655</v>
      </c>
      <c r="D64">
        <v>79.00844181369861</v>
      </c>
      <c r="E64">
        <v>89.840196231008591</v>
      </c>
      <c r="F64">
        <v>-2.6084987058669737</v>
      </c>
      <c r="G64">
        <v>-2.6691178423101591E-2</v>
      </c>
      <c r="H64">
        <v>4.1022698023961768</v>
      </c>
      <c r="I64">
        <v>2.53956295150501</v>
      </c>
      <c r="J64">
        <v>71.686184421805706</v>
      </c>
      <c r="K64">
        <v>57.219737253975509</v>
      </c>
      <c r="L64">
        <v>57.29826683130711</v>
      </c>
      <c r="M64">
        <v>64.877491718362222</v>
      </c>
      <c r="N64">
        <v>70.061401273941868</v>
      </c>
      <c r="O64">
        <v>93.795998979633794</v>
      </c>
      <c r="P64">
        <v>6.6691658114754375</v>
      </c>
      <c r="Q64">
        <v>78.003202628227058</v>
      </c>
      <c r="R64">
        <v>85.139560761360642</v>
      </c>
      <c r="S64">
        <v>75.282758266208134</v>
      </c>
      <c r="T64">
        <v>88.634889173787016</v>
      </c>
      <c r="U64">
        <v>78.10457179845524</v>
      </c>
      <c r="V64">
        <v>85.614871664490678</v>
      </c>
      <c r="W64">
        <v>78.112998832597654</v>
      </c>
      <c r="X64">
        <v>85.622878089721794</v>
      </c>
      <c r="Y64">
        <v>9772.8869985346228</v>
      </c>
      <c r="Z64">
        <v>63.49825144133986</v>
      </c>
      <c r="AA64">
        <v>72.748853261791666</v>
      </c>
      <c r="AB64">
        <v>70.116519351101516</v>
      </c>
      <c r="AC64">
        <v>62.806663928833068</v>
      </c>
      <c r="AD64">
        <v>77.230762285408943</v>
      </c>
      <c r="AE64">
        <v>85.632504568534415</v>
      </c>
      <c r="AF64">
        <v>65.705160067746405</v>
      </c>
      <c r="AG64">
        <v>70.77718228221373</v>
      </c>
      <c r="AH64">
        <v>69.673681975856326</v>
      </c>
      <c r="AI64">
        <v>68.447641770053337</v>
      </c>
      <c r="AJ64">
        <v>45.698018751628297</v>
      </c>
      <c r="AK64">
        <v>52.932391230569259</v>
      </c>
      <c r="AL64">
        <v>79.285028089251227</v>
      </c>
      <c r="AM64">
        <v>84.022967645886794</v>
      </c>
      <c r="AN64">
        <v>79.000191458721659</v>
      </c>
      <c r="AO64">
        <v>84.97284563802782</v>
      </c>
      <c r="AP64">
        <v>87.90218939919923</v>
      </c>
      <c r="AQ64">
        <v>73.109608299512104</v>
      </c>
      <c r="AR64">
        <v>55.257658609759027</v>
      </c>
      <c r="AS64">
        <v>53.661324429668788</v>
      </c>
      <c r="AT64">
        <v>53.503676501955169</v>
      </c>
      <c r="AU64">
        <v>61.382890665132372</v>
      </c>
      <c r="AV64">
        <v>117.88924352834429</v>
      </c>
      <c r="AW64">
        <v>78.66662294335103</v>
      </c>
      <c r="AX64">
        <v>29.353429951690817</v>
      </c>
      <c r="AY64">
        <v>65.882442092971232</v>
      </c>
      <c r="AZ64">
        <v>82.654120861391917</v>
      </c>
      <c r="BA64">
        <v>-51.446444499999998</v>
      </c>
      <c r="BB64">
        <v>1572.189018</v>
      </c>
      <c r="BC64">
        <v>1520.7425734999999</v>
      </c>
    </row>
    <row r="65" spans="1:55">
      <c r="A65" t="s">
        <v>619</v>
      </c>
      <c r="B65">
        <v>106.40322807425981</v>
      </c>
      <c r="C65">
        <v>109.49771708468359</v>
      </c>
      <c r="D65">
        <v>80.369185548111474</v>
      </c>
      <c r="E65">
        <v>90.880887531543053</v>
      </c>
      <c r="F65">
        <v>-18.49862681075119</v>
      </c>
      <c r="G65">
        <v>-0.18187643369009893</v>
      </c>
      <c r="H65">
        <v>3.9620161463981827</v>
      </c>
      <c r="I65">
        <v>2.54527277270827</v>
      </c>
      <c r="J65">
        <v>74.600302789744461</v>
      </c>
      <c r="K65">
        <v>58.288877389911896</v>
      </c>
      <c r="L65">
        <v>58.834784822501838</v>
      </c>
      <c r="M65">
        <v>67.335977810931695</v>
      </c>
      <c r="N65">
        <v>72.657047693737965</v>
      </c>
      <c r="O65">
        <v>94.292671806017381</v>
      </c>
      <c r="P65">
        <v>6.6733305974999189</v>
      </c>
      <c r="Q65">
        <v>79.169366694407501</v>
      </c>
      <c r="R65">
        <v>85.981539436681331</v>
      </c>
      <c r="S65">
        <v>76.638694598765554</v>
      </c>
      <c r="T65">
        <v>89.371649035757798</v>
      </c>
      <c r="U65">
        <v>78.957000107984001</v>
      </c>
      <c r="V65">
        <v>86.340845327601627</v>
      </c>
      <c r="W65">
        <v>78.961122379357064</v>
      </c>
      <c r="X65">
        <v>86.346083465031981</v>
      </c>
      <c r="Y65">
        <v>10170.986111521839</v>
      </c>
      <c r="Z65">
        <v>66.10666631195798</v>
      </c>
      <c r="AA65">
        <v>74.945642008143523</v>
      </c>
      <c r="AB65">
        <v>72.303791309439674</v>
      </c>
      <c r="AC65">
        <v>64.742887613994611</v>
      </c>
      <c r="AD65">
        <v>78.14363642946293</v>
      </c>
      <c r="AE65">
        <v>86.35195984985144</v>
      </c>
      <c r="AF65">
        <v>67.609917731866801</v>
      </c>
      <c r="AG65">
        <v>72.710236426055729</v>
      </c>
      <c r="AH65">
        <v>71.580232686726816</v>
      </c>
      <c r="AI65">
        <v>73.845290757849497</v>
      </c>
      <c r="AJ65">
        <v>49.239782623904084</v>
      </c>
      <c r="AK65">
        <v>65.325677574533742</v>
      </c>
      <c r="AL65">
        <v>79.930426107382701</v>
      </c>
      <c r="AM65">
        <v>84.592974454999279</v>
      </c>
      <c r="AN65">
        <v>79.684999711751971</v>
      </c>
      <c r="AO65">
        <v>85.461238463854968</v>
      </c>
      <c r="AP65">
        <v>88.291579514666068</v>
      </c>
      <c r="AQ65">
        <v>75.343436538674069</v>
      </c>
      <c r="AR65">
        <v>66.542547583346163</v>
      </c>
      <c r="AS65">
        <v>54.66167895060233</v>
      </c>
      <c r="AT65">
        <v>54.573200458283715</v>
      </c>
      <c r="AU65">
        <v>65.367164531199663</v>
      </c>
      <c r="AV65">
        <v>124.74520738509499</v>
      </c>
      <c r="AW65">
        <v>86.108682773829898</v>
      </c>
      <c r="AX65">
        <v>32.0997261747914</v>
      </c>
      <c r="AY65">
        <v>69.984812456039393</v>
      </c>
      <c r="AZ65">
        <v>84.948526079910934</v>
      </c>
      <c r="BA65">
        <v>-72.875205300000005</v>
      </c>
      <c r="BB65">
        <v>1689.1778841</v>
      </c>
      <c r="BC65">
        <v>1616.3026788</v>
      </c>
    </row>
    <row r="66" spans="1:55">
      <c r="A66" t="s">
        <v>620</v>
      </c>
      <c r="B66">
        <v>106.80647173817795</v>
      </c>
      <c r="C66">
        <v>109.88487982668168</v>
      </c>
      <c r="D66">
        <v>81.559086898820098</v>
      </c>
      <c r="E66">
        <v>91.892924731255633</v>
      </c>
      <c r="F66">
        <v>-30.941000170505401</v>
      </c>
      <c r="G66">
        <v>-0.30474942418126572</v>
      </c>
      <c r="H66">
        <v>4.349990657020455</v>
      </c>
      <c r="I66">
        <v>2.5530815890344165</v>
      </c>
      <c r="J66">
        <v>73.665675427268368</v>
      </c>
      <c r="K66">
        <v>59.35508352166854</v>
      </c>
      <c r="L66">
        <v>59.771715002639212</v>
      </c>
      <c r="M66">
        <v>65.97703007363701</v>
      </c>
      <c r="N66">
        <v>72.246126974634379</v>
      </c>
      <c r="O66">
        <v>94.544209872063107</v>
      </c>
      <c r="P66">
        <v>6.6256505940821171</v>
      </c>
      <c r="Q66">
        <v>79.664451573444651</v>
      </c>
      <c r="R66">
        <v>86.463733802087518</v>
      </c>
      <c r="S66">
        <v>78.108510375604951</v>
      </c>
      <c r="T66">
        <v>90.689644722335146</v>
      </c>
      <c r="U66">
        <v>79.817514132254658</v>
      </c>
      <c r="V66">
        <v>87.013011199429968</v>
      </c>
      <c r="W66">
        <v>79.818192253363222</v>
      </c>
      <c r="X66">
        <v>87.015706327326072</v>
      </c>
      <c r="Y66">
        <v>10152.931462834074</v>
      </c>
      <c r="Z66">
        <v>67.671815199622813</v>
      </c>
      <c r="AA66">
        <v>77.112080806459517</v>
      </c>
      <c r="AB66">
        <v>74.546919310334019</v>
      </c>
      <c r="AC66">
        <v>65.930754428854527</v>
      </c>
      <c r="AD66">
        <v>78.789154932212909</v>
      </c>
      <c r="AE66">
        <v>86.969110886287098</v>
      </c>
      <c r="AF66">
        <v>70.30044785261839</v>
      </c>
      <c r="AG66">
        <v>74.897720233515614</v>
      </c>
      <c r="AH66">
        <v>74.111743818789279</v>
      </c>
      <c r="AI66">
        <v>78.202737945487058</v>
      </c>
      <c r="AJ66">
        <v>47.377510817830512</v>
      </c>
      <c r="AK66">
        <v>85.129551905299223</v>
      </c>
      <c r="AL66">
        <v>80.695557337901519</v>
      </c>
      <c r="AM66">
        <v>85.183094216371728</v>
      </c>
      <c r="AN66">
        <v>80.515259520812023</v>
      </c>
      <c r="AO66">
        <v>86.024557600702096</v>
      </c>
      <c r="AP66">
        <v>88.737049927054898</v>
      </c>
      <c r="AQ66">
        <v>79.694651019310797</v>
      </c>
      <c r="AR66">
        <v>64.68871935273917</v>
      </c>
      <c r="AS66">
        <v>55.49269694742258</v>
      </c>
      <c r="AT66">
        <v>55.411109867121262</v>
      </c>
      <c r="AU66">
        <v>66.777528253748144</v>
      </c>
      <c r="AV66">
        <v>133.47305101015175</v>
      </c>
      <c r="AW66">
        <v>94.72901056385767</v>
      </c>
      <c r="AX66">
        <v>35.58812650312651</v>
      </c>
      <c r="AY66">
        <v>79.070373127293166</v>
      </c>
      <c r="AZ66">
        <v>86.754892451401474</v>
      </c>
      <c r="BA66">
        <v>-80.953102100000024</v>
      </c>
      <c r="BB66">
        <v>1761.0570376999999</v>
      </c>
      <c r="BC66">
        <v>1680.1039356000001</v>
      </c>
    </row>
    <row r="67" spans="1:55">
      <c r="A67" t="s">
        <v>621</v>
      </c>
      <c r="B67">
        <v>107.39421549648232</v>
      </c>
      <c r="C67">
        <v>110.91887993390007</v>
      </c>
      <c r="D67">
        <v>82.403193620901845</v>
      </c>
      <c r="E67">
        <v>92.324456097395</v>
      </c>
      <c r="F67">
        <v>-47.712458495171553</v>
      </c>
      <c r="G67">
        <v>-0.46044469226962242</v>
      </c>
      <c r="H67">
        <v>4.1998132066881064</v>
      </c>
      <c r="I67">
        <v>2.7368202540170845</v>
      </c>
      <c r="J67">
        <v>72.945015222171236</v>
      </c>
      <c r="K67">
        <v>60.342274003265302</v>
      </c>
      <c r="L67">
        <v>60.944810122943593</v>
      </c>
      <c r="M67">
        <v>66.393211207219466</v>
      </c>
      <c r="N67">
        <v>72.1052908985355</v>
      </c>
      <c r="O67">
        <v>94.794881870240943</v>
      </c>
      <c r="P67">
        <v>6.4757371816534501</v>
      </c>
      <c r="Q67">
        <v>80.526144458939228</v>
      </c>
      <c r="R67">
        <v>87.19503869496404</v>
      </c>
      <c r="S67">
        <v>79.293167216958992</v>
      </c>
      <c r="T67">
        <v>91.715467422472614</v>
      </c>
      <c r="U67">
        <v>80.69380711359176</v>
      </c>
      <c r="V67">
        <v>87.713767570326368</v>
      </c>
      <c r="W67">
        <v>80.69904031562875</v>
      </c>
      <c r="X67">
        <v>87.717873045319379</v>
      </c>
      <c r="Y67">
        <v>10362.256161535377</v>
      </c>
      <c r="Z67">
        <v>69.566338848457875</v>
      </c>
      <c r="AA67">
        <v>78.573992876158798</v>
      </c>
      <c r="AB67">
        <v>75.86732963557597</v>
      </c>
      <c r="AC67">
        <v>67.148948476865812</v>
      </c>
      <c r="AD67">
        <v>79.794380382442654</v>
      </c>
      <c r="AE67">
        <v>87.850557907960692</v>
      </c>
      <c r="AF67">
        <v>71.838099220440583</v>
      </c>
      <c r="AG67">
        <v>75.712769976324097</v>
      </c>
      <c r="AH67">
        <v>74.923258835924727</v>
      </c>
      <c r="AI67">
        <v>80.425517912318256</v>
      </c>
      <c r="AJ67">
        <v>48.701217339273654</v>
      </c>
      <c r="AK67">
        <v>94.811670423339748</v>
      </c>
      <c r="AL67">
        <v>81.444246504906801</v>
      </c>
      <c r="AM67">
        <v>85.724421781592568</v>
      </c>
      <c r="AN67">
        <v>81.320092332071013</v>
      </c>
      <c r="AO67">
        <v>86.608775216339424</v>
      </c>
      <c r="AP67">
        <v>89.150153645814342</v>
      </c>
      <c r="AQ67">
        <v>72.704513783096459</v>
      </c>
      <c r="AR67">
        <v>67.331588630355128</v>
      </c>
      <c r="AS67">
        <v>54.066449958669203</v>
      </c>
      <c r="AT67">
        <v>54.07905184770798</v>
      </c>
      <c r="AU67">
        <v>64.301843801421285</v>
      </c>
      <c r="AV67">
        <v>129.76407335412841</v>
      </c>
      <c r="AW67">
        <v>103.74799873812894</v>
      </c>
      <c r="AX67">
        <v>40.500202020202018</v>
      </c>
      <c r="AY67">
        <v>89.413503472574902</v>
      </c>
      <c r="AZ67">
        <v>84.39382696519327</v>
      </c>
      <c r="BA67">
        <v>-88.776438900000002</v>
      </c>
      <c r="BB67">
        <v>1807.7181800000001</v>
      </c>
      <c r="BC67">
        <v>1718.9417410999999</v>
      </c>
    </row>
    <row r="68" spans="1:55">
      <c r="A68" t="s">
        <v>622</v>
      </c>
      <c r="B68">
        <v>107.35773278552757</v>
      </c>
      <c r="C68">
        <v>110.22766872433594</v>
      </c>
      <c r="D68">
        <v>83.355294146713831</v>
      </c>
      <c r="E68">
        <v>93.020185806556057</v>
      </c>
      <c r="F68">
        <v>-34.651274114667999</v>
      </c>
      <c r="G68">
        <v>-0.31890100071722544</v>
      </c>
      <c r="H68">
        <v>3.9745358171520024</v>
      </c>
      <c r="I68">
        <v>2.9569042603471352</v>
      </c>
      <c r="J68">
        <v>78.292809644703254</v>
      </c>
      <c r="K68">
        <v>61.429617966456583</v>
      </c>
      <c r="L68">
        <v>61.908240322623996</v>
      </c>
      <c r="M68">
        <v>75.20069436908841</v>
      </c>
      <c r="N68">
        <v>77.920874638687181</v>
      </c>
      <c r="O68">
        <v>94.971846131160234</v>
      </c>
      <c r="P68">
        <v>6.4055841236796454</v>
      </c>
      <c r="Q68">
        <v>81.292220044105306</v>
      </c>
      <c r="R68">
        <v>87.941958687006334</v>
      </c>
      <c r="S68">
        <v>80.581209448571627</v>
      </c>
      <c r="T68">
        <v>92.898147423005753</v>
      </c>
      <c r="U68">
        <v>81.453033175575982</v>
      </c>
      <c r="V68">
        <v>88.356433004069686</v>
      </c>
      <c r="W68">
        <v>81.457904662409703</v>
      </c>
      <c r="X68">
        <v>88.359773301041557</v>
      </c>
      <c r="Y68">
        <v>10865.840507472672</v>
      </c>
      <c r="Z68">
        <v>71.820157420517063</v>
      </c>
      <c r="AA68">
        <v>80.556778191118568</v>
      </c>
      <c r="AB68">
        <v>77.707579856790048</v>
      </c>
      <c r="AC68">
        <v>68.561121293363485</v>
      </c>
      <c r="AD68">
        <v>80.675705036938055</v>
      </c>
      <c r="AE68">
        <v>88.565468580777349</v>
      </c>
      <c r="AF68">
        <v>73.633623416952219</v>
      </c>
      <c r="AG68">
        <v>77.324864898765711</v>
      </c>
      <c r="AH68">
        <v>76.469933088675177</v>
      </c>
      <c r="AI68">
        <v>84.229078608011051</v>
      </c>
      <c r="AJ68">
        <v>50.778659459478547</v>
      </c>
      <c r="AK68">
        <v>86.407443317972266</v>
      </c>
      <c r="AL68">
        <v>82.176552955523462</v>
      </c>
      <c r="AM68">
        <v>86.409995776886106</v>
      </c>
      <c r="AN68">
        <v>82.080975146565649</v>
      </c>
      <c r="AO68">
        <v>87.200093597612906</v>
      </c>
      <c r="AP68">
        <v>89.588324791513614</v>
      </c>
      <c r="AQ68">
        <v>73.752702352747136</v>
      </c>
      <c r="AR68">
        <v>70.359781304293719</v>
      </c>
      <c r="AS68">
        <v>52.151754929407311</v>
      </c>
      <c r="AT68">
        <v>52.258977688217385</v>
      </c>
      <c r="AU68">
        <v>65.963490835956478</v>
      </c>
      <c r="AV68">
        <v>148.67257671960985</v>
      </c>
      <c r="AW68">
        <v>110.64978257758587</v>
      </c>
      <c r="AX68">
        <v>42.678458811719679</v>
      </c>
      <c r="AY68">
        <v>91.528720992030344</v>
      </c>
      <c r="AZ68">
        <v>81.143545805404358</v>
      </c>
      <c r="BA68">
        <v>-100.1117004</v>
      </c>
      <c r="BB68">
        <v>1925.7641328</v>
      </c>
      <c r="BC68">
        <v>1825.6524324</v>
      </c>
    </row>
    <row r="69" spans="1:55">
      <c r="A69" t="s">
        <v>623</v>
      </c>
      <c r="B69">
        <v>108.76903207523621</v>
      </c>
      <c r="C69">
        <v>111.7313597952558</v>
      </c>
      <c r="D69">
        <v>84.714258365577635</v>
      </c>
      <c r="E69">
        <v>94.17144325900064</v>
      </c>
      <c r="F69">
        <v>-46.836416526121674</v>
      </c>
      <c r="G69">
        <v>-0.42074568503283788</v>
      </c>
      <c r="H69">
        <v>3.9663958341931291</v>
      </c>
      <c r="I69">
        <v>3.1774015213312485</v>
      </c>
      <c r="J69">
        <v>79.269921656067737</v>
      </c>
      <c r="K69">
        <v>62.377257986590266</v>
      </c>
      <c r="L69">
        <v>63.082866523605411</v>
      </c>
      <c r="M69">
        <v>74.619861759076031</v>
      </c>
      <c r="N69">
        <v>78.863757833627602</v>
      </c>
      <c r="O69">
        <v>94.953423260879163</v>
      </c>
      <c r="P69">
        <v>6.390539347382564</v>
      </c>
      <c r="Q69">
        <v>82.262567009113738</v>
      </c>
      <c r="R69">
        <v>88.612146482842348</v>
      </c>
      <c r="S69">
        <v>81.933504147386401</v>
      </c>
      <c r="T69">
        <v>94.094818079242586</v>
      </c>
      <c r="U69">
        <v>82.466188394200486</v>
      </c>
      <c r="V69">
        <v>89.161507436546032</v>
      </c>
      <c r="W69">
        <v>82.466188394200486</v>
      </c>
      <c r="X69">
        <v>89.16150743654606</v>
      </c>
      <c r="Y69">
        <v>11131.763959139887</v>
      </c>
      <c r="Z69">
        <v>72.660335563326512</v>
      </c>
      <c r="AA69">
        <v>81.119984183472511</v>
      </c>
      <c r="AB69">
        <v>78.41781168578234</v>
      </c>
      <c r="AC69">
        <v>69.857143677376598</v>
      </c>
      <c r="AD69">
        <v>81.450006254293257</v>
      </c>
      <c r="AE69">
        <v>89.215092586961049</v>
      </c>
      <c r="AF69">
        <v>75.243095106715515</v>
      </c>
      <c r="AG69">
        <v>78.413570219467971</v>
      </c>
      <c r="AH69">
        <v>77.609625177213985</v>
      </c>
      <c r="AI69">
        <v>89.130608241442815</v>
      </c>
      <c r="AJ69">
        <v>62.033980846219471</v>
      </c>
      <c r="AK69">
        <v>76.292275206824158</v>
      </c>
      <c r="AL69">
        <v>82.770379270531066</v>
      </c>
      <c r="AM69">
        <v>86.817105067044793</v>
      </c>
      <c r="AN69">
        <v>82.730123693301749</v>
      </c>
      <c r="AO69">
        <v>87.778892789050545</v>
      </c>
      <c r="AP69">
        <v>89.992472683556215</v>
      </c>
      <c r="AQ69">
        <v>78.821996061301988</v>
      </c>
      <c r="AR69">
        <v>80.24620789091675</v>
      </c>
      <c r="AS69">
        <v>52.111487233304139</v>
      </c>
      <c r="AT69">
        <v>52.568443735984111</v>
      </c>
      <c r="AU69">
        <v>70.713342928379987</v>
      </c>
      <c r="AV69">
        <v>151.99553321977547</v>
      </c>
      <c r="AW69">
        <v>115.77070988164392</v>
      </c>
      <c r="AX69">
        <v>46.101754888428808</v>
      </c>
      <c r="AY69">
        <v>98.083531191872183</v>
      </c>
      <c r="AZ69">
        <v>83.735839699843908</v>
      </c>
      <c r="BA69">
        <v>-103.1303927</v>
      </c>
      <c r="BB69">
        <v>1971.3004314</v>
      </c>
      <c r="BC69">
        <v>1868.1700387000001</v>
      </c>
    </row>
    <row r="70" spans="1:55">
      <c r="A70" t="s">
        <v>624</v>
      </c>
      <c r="B70">
        <v>108.19954931208419</v>
      </c>
      <c r="C70">
        <v>111.09426224468216</v>
      </c>
      <c r="D70">
        <v>85.656834089611721</v>
      </c>
      <c r="E70">
        <v>94.956359997923812</v>
      </c>
      <c r="F70">
        <v>-41.014363462630065</v>
      </c>
      <c r="G70">
        <v>-0.36827902071384894</v>
      </c>
      <c r="H70">
        <v>3.7959351026791173</v>
      </c>
      <c r="I70">
        <v>3.3413111042172545</v>
      </c>
      <c r="J70">
        <v>79.909568289643261</v>
      </c>
      <c r="K70">
        <v>63.717583099866857</v>
      </c>
      <c r="L70">
        <v>65.032389803380667</v>
      </c>
      <c r="M70">
        <v>74.674886857307129</v>
      </c>
      <c r="N70">
        <v>80.944291503679253</v>
      </c>
      <c r="O70">
        <v>95.29969464798414</v>
      </c>
      <c r="P70">
        <v>6.3185440842406129</v>
      </c>
      <c r="Q70">
        <v>83.485769026226521</v>
      </c>
      <c r="R70">
        <v>89.545033333492597</v>
      </c>
      <c r="S70">
        <v>83.835322397382981</v>
      </c>
      <c r="T70">
        <v>95.89299999389192</v>
      </c>
      <c r="U70">
        <v>83.409383419230736</v>
      </c>
      <c r="V70">
        <v>89.920645898448925</v>
      </c>
      <c r="W70">
        <v>83.409383419230721</v>
      </c>
      <c r="X70">
        <v>89.920645898448953</v>
      </c>
      <c r="Y70">
        <v>11136.763474370709</v>
      </c>
      <c r="Z70">
        <v>75.35591338846244</v>
      </c>
      <c r="AA70">
        <v>83.308811829761666</v>
      </c>
      <c r="AB70">
        <v>80.893892644786504</v>
      </c>
      <c r="AC70">
        <v>71.26291538111424</v>
      </c>
      <c r="AD70">
        <v>82.763727868567571</v>
      </c>
      <c r="AE70">
        <v>90.155636970638042</v>
      </c>
      <c r="AF70">
        <v>76.944135392193573</v>
      </c>
      <c r="AG70">
        <v>80.240116335559321</v>
      </c>
      <c r="AH70">
        <v>79.599593529085553</v>
      </c>
      <c r="AI70">
        <v>93.715656644858129</v>
      </c>
      <c r="AJ70">
        <v>64.891544279570965</v>
      </c>
      <c r="AK70">
        <v>75.673179416584347</v>
      </c>
      <c r="AL70">
        <v>83.440487465653575</v>
      </c>
      <c r="AM70">
        <v>87.332418007116829</v>
      </c>
      <c r="AN70">
        <v>83.402139179477658</v>
      </c>
      <c r="AO70">
        <v>88.224276715000045</v>
      </c>
      <c r="AP70">
        <v>90.350303004708664</v>
      </c>
      <c r="AQ70">
        <v>77.989089419361534</v>
      </c>
      <c r="AR70">
        <v>81.718564914454262</v>
      </c>
      <c r="AS70">
        <v>50.223885636793149</v>
      </c>
      <c r="AT70">
        <v>51.087273564649799</v>
      </c>
      <c r="AU70">
        <v>71.109828049607827</v>
      </c>
      <c r="AV70">
        <v>166.15084621195163</v>
      </c>
      <c r="AW70">
        <v>126.41440758326678</v>
      </c>
      <c r="AX70">
        <v>50.803441558441556</v>
      </c>
      <c r="AY70">
        <v>110.47551672663651</v>
      </c>
      <c r="AZ70">
        <v>85.51291680387088</v>
      </c>
      <c r="BA70">
        <v>-113.0054956</v>
      </c>
      <c r="BB70">
        <v>2036.1175969999999</v>
      </c>
      <c r="BC70">
        <v>1923.1121014</v>
      </c>
    </row>
    <row r="71" spans="1:55">
      <c r="A71" t="s">
        <v>625</v>
      </c>
      <c r="B71">
        <v>107.45699670269966</v>
      </c>
      <c r="C71">
        <v>110.23182643755526</v>
      </c>
      <c r="D71">
        <v>86.298905790235878</v>
      </c>
      <c r="E71">
        <v>95.170731177251355</v>
      </c>
      <c r="F71">
        <v>-69.499720771339312</v>
      </c>
      <c r="G71">
        <v>-0.6206837003010085</v>
      </c>
      <c r="H71">
        <v>3.7501423420663276</v>
      </c>
      <c r="I71">
        <v>3.4909124931641915</v>
      </c>
      <c r="J71">
        <v>87.25259782717032</v>
      </c>
      <c r="K71">
        <v>65.27352205682827</v>
      </c>
      <c r="L71">
        <v>66.286552351311826</v>
      </c>
      <c r="M71">
        <v>82.086985433208753</v>
      </c>
      <c r="N71">
        <v>89.183465857819684</v>
      </c>
      <c r="O71">
        <v>95.676345715134559</v>
      </c>
      <c r="P71">
        <v>6.2780562701694942</v>
      </c>
      <c r="Q71">
        <v>84.527259385089593</v>
      </c>
      <c r="R71">
        <v>90.434304444960006</v>
      </c>
      <c r="S71">
        <v>85.367701637738435</v>
      </c>
      <c r="T71">
        <v>97.343494463170046</v>
      </c>
      <c r="U71">
        <v>84.417230933433501</v>
      </c>
      <c r="V71">
        <v>90.837665569411612</v>
      </c>
      <c r="W71">
        <v>84.417230933433487</v>
      </c>
      <c r="X71">
        <v>90.837665569411641</v>
      </c>
      <c r="Y71">
        <v>11197.284661677844</v>
      </c>
      <c r="Z71">
        <v>76.483429633276018</v>
      </c>
      <c r="AA71">
        <v>84.555134047860108</v>
      </c>
      <c r="AB71">
        <v>82.1248456690642</v>
      </c>
      <c r="AC71">
        <v>72.72217788845515</v>
      </c>
      <c r="AD71">
        <v>83.690579563536701</v>
      </c>
      <c r="AE71">
        <v>91.012754399465365</v>
      </c>
      <c r="AF71">
        <v>78.390752680220089</v>
      </c>
      <c r="AG71">
        <v>81.55285552755295</v>
      </c>
      <c r="AH71">
        <v>81.025941555148478</v>
      </c>
      <c r="AI71">
        <v>103.11322431166666</v>
      </c>
      <c r="AJ71">
        <v>59.842332649424385</v>
      </c>
      <c r="AK71">
        <v>74.20923504985501</v>
      </c>
      <c r="AL71">
        <v>84.274900288104448</v>
      </c>
      <c r="AM71">
        <v>88.124793855549839</v>
      </c>
      <c r="AN71">
        <v>84.236221685597243</v>
      </c>
      <c r="AO71">
        <v>88.591959919337341</v>
      </c>
      <c r="AP71">
        <v>90.661036257374803</v>
      </c>
      <c r="AQ71">
        <v>74.574440157667141</v>
      </c>
      <c r="AR71">
        <v>82.228837788578588</v>
      </c>
      <c r="AS71">
        <v>51.504345322850419</v>
      </c>
      <c r="AT71">
        <v>51.892211084177639</v>
      </c>
      <c r="AU71">
        <v>69.877784786475942</v>
      </c>
      <c r="AV71">
        <v>212.06416062983723</v>
      </c>
      <c r="AW71">
        <v>151.18743467664714</v>
      </c>
      <c r="AX71">
        <v>59.990477131564091</v>
      </c>
      <c r="AY71">
        <v>133.05834628219364</v>
      </c>
      <c r="AZ71">
        <v>88.544474631328342</v>
      </c>
      <c r="BA71">
        <v>-129.60351729999999</v>
      </c>
      <c r="BB71">
        <v>2084.3262331999999</v>
      </c>
      <c r="BC71">
        <v>1954.7227158999999</v>
      </c>
    </row>
    <row r="72" spans="1:55">
      <c r="A72" t="s">
        <v>626</v>
      </c>
      <c r="B72">
        <v>106.79722957459886</v>
      </c>
      <c r="C72">
        <v>109.5744798221876</v>
      </c>
      <c r="D72">
        <v>87.858480492025308</v>
      </c>
      <c r="E72">
        <v>96.573210707322957</v>
      </c>
      <c r="F72">
        <v>-75.142318777989075</v>
      </c>
      <c r="G72">
        <v>-0.66678340310281448</v>
      </c>
      <c r="H72">
        <v>3.9406163478954022</v>
      </c>
      <c r="I72">
        <v>3.6796956344285285</v>
      </c>
      <c r="J72">
        <v>92.011784325015682</v>
      </c>
      <c r="K72">
        <v>66.85043590362082</v>
      </c>
      <c r="L72">
        <v>67.096025154136697</v>
      </c>
      <c r="M72">
        <v>85.16419997595618</v>
      </c>
      <c r="N72">
        <v>93.742810545393283</v>
      </c>
      <c r="O72">
        <v>96.002574617287152</v>
      </c>
      <c r="P72">
        <v>6.2558457327963515</v>
      </c>
      <c r="Q72">
        <v>85.50700919525471</v>
      </c>
      <c r="R72">
        <v>91.04722355226113</v>
      </c>
      <c r="S72">
        <v>86.740365548274681</v>
      </c>
      <c r="T72">
        <v>98.26759449682865</v>
      </c>
      <c r="U72">
        <v>85.534615113867531</v>
      </c>
      <c r="V72">
        <v>91.6943198424879</v>
      </c>
      <c r="W72">
        <v>85.534615113867503</v>
      </c>
      <c r="X72">
        <v>91.694319842487928</v>
      </c>
      <c r="Y72">
        <v>11269.374496773809</v>
      </c>
      <c r="Z72">
        <v>79.051994036029669</v>
      </c>
      <c r="AA72">
        <v>86.902047142165557</v>
      </c>
      <c r="AB72">
        <v>84.505870165989577</v>
      </c>
      <c r="AC72">
        <v>74.473904376978169</v>
      </c>
      <c r="AD72">
        <v>84.802157401384704</v>
      </c>
      <c r="AE72">
        <v>91.871604715498975</v>
      </c>
      <c r="AF72">
        <v>80.581521205968755</v>
      </c>
      <c r="AG72">
        <v>83.785401516773788</v>
      </c>
      <c r="AH72">
        <v>83.20266618104371</v>
      </c>
      <c r="AI72">
        <v>104.85221195819697</v>
      </c>
      <c r="AJ72">
        <v>59.239810727694987</v>
      </c>
      <c r="AK72">
        <v>61.514720765428955</v>
      </c>
      <c r="AL72">
        <v>85.147711308178373</v>
      </c>
      <c r="AM72">
        <v>88.793280956747665</v>
      </c>
      <c r="AN72">
        <v>85.109284985057059</v>
      </c>
      <c r="AO72">
        <v>89.030323256207907</v>
      </c>
      <c r="AP72">
        <v>91.053714038562248</v>
      </c>
      <c r="AQ72">
        <v>73.850616117648499</v>
      </c>
      <c r="AR72">
        <v>87.169755096044085</v>
      </c>
      <c r="AS72">
        <v>53.07142172834714</v>
      </c>
      <c r="AT72">
        <v>52.982006004178025</v>
      </c>
      <c r="AU72">
        <v>71.442845174254444</v>
      </c>
      <c r="AV72">
        <v>252.83233104207648</v>
      </c>
      <c r="AW72">
        <v>153.17800363953418</v>
      </c>
      <c r="AX72">
        <v>56.54422077922078</v>
      </c>
      <c r="AY72">
        <v>127.7620120648084</v>
      </c>
      <c r="AZ72">
        <v>89.651256420477353</v>
      </c>
      <c r="BA72">
        <v>-144.03891469999999</v>
      </c>
      <c r="BB72">
        <v>2158.7717259000001</v>
      </c>
      <c r="BC72">
        <v>2014.7328112</v>
      </c>
    </row>
    <row r="73" spans="1:55">
      <c r="A73" t="s">
        <v>627</v>
      </c>
      <c r="B73">
        <v>108.98912580329529</v>
      </c>
      <c r="C73">
        <v>111.82738216418052</v>
      </c>
      <c r="D73">
        <v>89.265293336168227</v>
      </c>
      <c r="E73">
        <v>97.774181588283298</v>
      </c>
      <c r="F73">
        <v>-65.071740537870028</v>
      </c>
      <c r="G73">
        <v>-0.56193780825619699</v>
      </c>
      <c r="H73">
        <v>3.9988536560861134</v>
      </c>
      <c r="I73">
        <v>3.9787102530317173</v>
      </c>
      <c r="J73">
        <v>99.090546138576457</v>
      </c>
      <c r="K73">
        <v>68.24615794468383</v>
      </c>
      <c r="L73">
        <v>68.380780705024065</v>
      </c>
      <c r="M73">
        <v>92.949585812579599</v>
      </c>
      <c r="N73">
        <v>101.28185677836092</v>
      </c>
      <c r="O73">
        <v>96.35774204835873</v>
      </c>
      <c r="P73">
        <v>6.0591815850746009</v>
      </c>
      <c r="Q73">
        <v>86.25880924084845</v>
      </c>
      <c r="R73">
        <v>91.786448578725867</v>
      </c>
      <c r="S73">
        <v>88.598952667225788</v>
      </c>
      <c r="T73">
        <v>99.86962811507037</v>
      </c>
      <c r="U73">
        <v>86.866508274833436</v>
      </c>
      <c r="V73">
        <v>92.779482888844996</v>
      </c>
      <c r="W73">
        <v>86.866508274833393</v>
      </c>
      <c r="X73">
        <v>92.779482888844996</v>
      </c>
      <c r="Y73">
        <v>11579.882966017251</v>
      </c>
      <c r="Z73">
        <v>81.820596844931259</v>
      </c>
      <c r="AA73">
        <v>89.573985118899202</v>
      </c>
      <c r="AB73">
        <v>87.295292190067414</v>
      </c>
      <c r="AC73">
        <v>76.264163358809952</v>
      </c>
      <c r="AD73">
        <v>86.119463274364065</v>
      </c>
      <c r="AE73">
        <v>92.941169046474656</v>
      </c>
      <c r="AF73">
        <v>83.710755441336673</v>
      </c>
      <c r="AG73">
        <v>86.80130902694782</v>
      </c>
      <c r="AH73">
        <v>86.208608842535313</v>
      </c>
      <c r="AI73">
        <v>106.9474168647323</v>
      </c>
      <c r="AJ73">
        <v>67.588736333304311</v>
      </c>
      <c r="AK73">
        <v>73.700157193265923</v>
      </c>
      <c r="AL73">
        <v>85.801369868038918</v>
      </c>
      <c r="AM73">
        <v>89.306469202639121</v>
      </c>
      <c r="AN73">
        <v>85.765939617944426</v>
      </c>
      <c r="AO73">
        <v>89.620162550700186</v>
      </c>
      <c r="AP73">
        <v>91.462915631185808</v>
      </c>
      <c r="AQ73">
        <v>77.198712786873102</v>
      </c>
      <c r="AR73">
        <v>102.10361089671055</v>
      </c>
      <c r="AS73">
        <v>53.289164183658556</v>
      </c>
      <c r="AT73">
        <v>53.129776545703528</v>
      </c>
      <c r="AU73">
        <v>77.52345928813169</v>
      </c>
      <c r="AV73">
        <v>196.15161992579212</v>
      </c>
      <c r="AW73">
        <v>149.50841640366176</v>
      </c>
      <c r="AX73">
        <v>60.953930830039532</v>
      </c>
      <c r="AY73">
        <v>137.1917689935255</v>
      </c>
      <c r="AZ73">
        <v>94.984968044030026</v>
      </c>
      <c r="BA73">
        <v>-137.2352515</v>
      </c>
      <c r="BB73">
        <v>2260.8935756000001</v>
      </c>
      <c r="BC73">
        <v>2123.6583240999998</v>
      </c>
    </row>
    <row r="74" spans="1:55">
      <c r="A74" t="s">
        <v>628</v>
      </c>
      <c r="B74">
        <v>109.28746988405406</v>
      </c>
      <c r="C74">
        <v>112.06761569911282</v>
      </c>
      <c r="D74">
        <v>90.602663648116234</v>
      </c>
      <c r="E74">
        <v>98.958537123191078</v>
      </c>
      <c r="F74">
        <v>-60.884780264813443</v>
      </c>
      <c r="G74">
        <v>-0.50918786576429087</v>
      </c>
      <c r="H74">
        <v>4.4355017668384944</v>
      </c>
      <c r="I74">
        <v>4.1796127520144211</v>
      </c>
      <c r="J74">
        <v>97.133942397477554</v>
      </c>
      <c r="K74">
        <v>69.800449120555712</v>
      </c>
      <c r="L74">
        <v>69.510323039669714</v>
      </c>
      <c r="M74">
        <v>91.114378352809069</v>
      </c>
      <c r="N74">
        <v>97.139746093565364</v>
      </c>
      <c r="O74">
        <v>96.678347449954302</v>
      </c>
      <c r="P74">
        <v>6.0088688787229465</v>
      </c>
      <c r="Q74">
        <v>87.350837097010711</v>
      </c>
      <c r="R74">
        <v>92.556748665600892</v>
      </c>
      <c r="S74">
        <v>90.01204685247248</v>
      </c>
      <c r="T74">
        <v>101.04436951254607</v>
      </c>
      <c r="U74">
        <v>87.778691747539384</v>
      </c>
      <c r="V74">
        <v>93.486064041804752</v>
      </c>
      <c r="W74">
        <v>87.778691747539355</v>
      </c>
      <c r="X74">
        <v>93.486064041804767</v>
      </c>
      <c r="Y74">
        <v>11957.233146831848</v>
      </c>
      <c r="Z74">
        <v>83.838906832957619</v>
      </c>
      <c r="AA74">
        <v>91.259740517985904</v>
      </c>
      <c r="AB74">
        <v>88.978492023566886</v>
      </c>
      <c r="AC74">
        <v>77.791977670233607</v>
      </c>
      <c r="AD74">
        <v>87.117120462461216</v>
      </c>
      <c r="AE74">
        <v>93.666605733271865</v>
      </c>
      <c r="AF74">
        <v>85.367625631482241</v>
      </c>
      <c r="AG74">
        <v>88.45261818734636</v>
      </c>
      <c r="AH74">
        <v>87.765647722305047</v>
      </c>
      <c r="AI74">
        <v>117.60611345414416</v>
      </c>
      <c r="AJ74">
        <v>65.112999012808586</v>
      </c>
      <c r="AK74">
        <v>80.537619444831975</v>
      </c>
      <c r="AL74">
        <v>86.568332931179839</v>
      </c>
      <c r="AM74">
        <v>89.962726029744317</v>
      </c>
      <c r="AN74">
        <v>86.533753378887539</v>
      </c>
      <c r="AO74">
        <v>90.17404720293105</v>
      </c>
      <c r="AP74">
        <v>91.955348174052219</v>
      </c>
      <c r="AQ74">
        <v>84.973984683781921</v>
      </c>
      <c r="AR74">
        <v>127.64315698029806</v>
      </c>
      <c r="AS74">
        <v>53.676520264042068</v>
      </c>
      <c r="AT74">
        <v>53.828606497419607</v>
      </c>
      <c r="AU74">
        <v>87.54138309348302</v>
      </c>
      <c r="AV74">
        <v>187.09575454961751</v>
      </c>
      <c r="AW74">
        <v>161.09397438131353</v>
      </c>
      <c r="AX74">
        <v>68.331886253842768</v>
      </c>
      <c r="AY74">
        <v>150.44908692947419</v>
      </c>
      <c r="AZ74">
        <v>100.89741268836923</v>
      </c>
      <c r="BA74">
        <v>-140.18464760000001</v>
      </c>
      <c r="BB74">
        <v>2366.9457627000002</v>
      </c>
      <c r="BC74">
        <v>2226.7611151000001</v>
      </c>
    </row>
    <row r="75" spans="1:55">
      <c r="A75" t="s">
        <v>629</v>
      </c>
      <c r="B75">
        <v>108.57407385188309</v>
      </c>
      <c r="C75">
        <v>111.30197942023334</v>
      </c>
      <c r="D75">
        <v>91.631756017184941</v>
      </c>
      <c r="E75">
        <v>99.645746174209179</v>
      </c>
      <c r="F75">
        <v>-53.137235816347257</v>
      </c>
      <c r="G75">
        <v>-0.43625946074302202</v>
      </c>
      <c r="H75">
        <v>4.32272349433077</v>
      </c>
      <c r="I75">
        <v>4.4265867212619137</v>
      </c>
      <c r="J75">
        <v>102.61515555524004</v>
      </c>
      <c r="K75">
        <v>71.495864129070299</v>
      </c>
      <c r="L75">
        <v>70.328995271627434</v>
      </c>
      <c r="M75">
        <v>95.384179140320484</v>
      </c>
      <c r="N75">
        <v>102.21131711764941</v>
      </c>
      <c r="O75">
        <v>97.065690972819809</v>
      </c>
      <c r="P75">
        <v>5.9545588831041796</v>
      </c>
      <c r="Q75">
        <v>88.189994496737228</v>
      </c>
      <c r="R75">
        <v>93.08483231944362</v>
      </c>
      <c r="S75">
        <v>90.984170656729106</v>
      </c>
      <c r="T75">
        <v>101.59317285132043</v>
      </c>
      <c r="U75">
        <v>88.698828546625222</v>
      </c>
      <c r="V75">
        <v>94.042667651106868</v>
      </c>
      <c r="W75">
        <v>88.69882854662518</v>
      </c>
      <c r="X75">
        <v>94.042667651106896</v>
      </c>
      <c r="Y75">
        <v>12180.191055535106</v>
      </c>
      <c r="Z75">
        <v>85.074613772599406</v>
      </c>
      <c r="AA75">
        <v>91.754461438339447</v>
      </c>
      <c r="AB75">
        <v>89.584816672337283</v>
      </c>
      <c r="AC75">
        <v>78.733033912156557</v>
      </c>
      <c r="AD75">
        <v>87.873675049236653</v>
      </c>
      <c r="AE75">
        <v>94.105118490895947</v>
      </c>
      <c r="AF75">
        <v>87.061902234982895</v>
      </c>
      <c r="AG75">
        <v>89.18798370719837</v>
      </c>
      <c r="AH75">
        <v>88.800508599469978</v>
      </c>
      <c r="AI75">
        <v>118.91237646854638</v>
      </c>
      <c r="AJ75">
        <v>69.023070050535409</v>
      </c>
      <c r="AK75">
        <v>79.026171476821915</v>
      </c>
      <c r="AL75">
        <v>87.278926701446835</v>
      </c>
      <c r="AM75">
        <v>90.599745884871609</v>
      </c>
      <c r="AN75">
        <v>87.244168518274535</v>
      </c>
      <c r="AO75">
        <v>90.740427992444452</v>
      </c>
      <c r="AP75">
        <v>92.437491862422846</v>
      </c>
      <c r="AQ75">
        <v>83.367653271479639</v>
      </c>
      <c r="AR75">
        <v>141.12008862067594</v>
      </c>
      <c r="AS75">
        <v>53.328430501015674</v>
      </c>
      <c r="AT75">
        <v>53.561834699154929</v>
      </c>
      <c r="AU75">
        <v>89.413390003206189</v>
      </c>
      <c r="AV75">
        <v>183.86763920143176</v>
      </c>
      <c r="AW75">
        <v>161.58190336960033</v>
      </c>
      <c r="AX75">
        <v>68.818035426731072</v>
      </c>
      <c r="AY75">
        <v>150.57138450380725</v>
      </c>
      <c r="AZ75">
        <v>101.71774088791705</v>
      </c>
      <c r="BA75">
        <v>-148.3527134</v>
      </c>
      <c r="BB75">
        <v>2412.5597808000002</v>
      </c>
      <c r="BC75">
        <v>2264.2070674000001</v>
      </c>
    </row>
    <row r="76" spans="1:55">
      <c r="A76" t="s">
        <v>630</v>
      </c>
      <c r="B76">
        <v>109.63084882645023</v>
      </c>
      <c r="C76">
        <v>112.24283222967453</v>
      </c>
      <c r="D76">
        <v>93.174175289270295</v>
      </c>
      <c r="E76">
        <v>100.78882731550574</v>
      </c>
      <c r="F76">
        <v>-16.088699474699492</v>
      </c>
      <c r="G76">
        <v>-0.12867822281201219</v>
      </c>
      <c r="H76">
        <v>4.1453663656293793</v>
      </c>
      <c r="I76">
        <v>4.5593537270203415</v>
      </c>
      <c r="J76">
        <v>112.95206304329328</v>
      </c>
      <c r="K76">
        <v>73.213431895633008</v>
      </c>
      <c r="L76">
        <v>71.636893990301203</v>
      </c>
      <c r="M76">
        <v>105.80390505074175</v>
      </c>
      <c r="N76">
        <v>111.44892234981046</v>
      </c>
      <c r="O76">
        <v>97.434805759839946</v>
      </c>
      <c r="P76">
        <v>5.8176919018815125</v>
      </c>
      <c r="Q76">
        <v>89.311872769139967</v>
      </c>
      <c r="R76">
        <v>94.123720307239026</v>
      </c>
      <c r="S76">
        <v>92.568783971622636</v>
      </c>
      <c r="T76">
        <v>102.82636199983037</v>
      </c>
      <c r="U76">
        <v>90.081217756670085</v>
      </c>
      <c r="V76">
        <v>95.196403169410573</v>
      </c>
      <c r="W76">
        <v>90.081217756670057</v>
      </c>
      <c r="X76">
        <v>95.196403169410573</v>
      </c>
      <c r="Y76">
        <v>12503.047619956405</v>
      </c>
      <c r="Z76">
        <v>86.37030082455324</v>
      </c>
      <c r="AA76">
        <v>92.998120706413829</v>
      </c>
      <c r="AB76">
        <v>90.892867826927031</v>
      </c>
      <c r="AC76">
        <v>79.860776378571032</v>
      </c>
      <c r="AD76">
        <v>89.078394185038846</v>
      </c>
      <c r="AE76">
        <v>95.098156843751894</v>
      </c>
      <c r="AF76">
        <v>89.003700152944702</v>
      </c>
      <c r="AG76">
        <v>91.409690250300343</v>
      </c>
      <c r="AH76">
        <v>90.789801412367254</v>
      </c>
      <c r="AI76">
        <v>113.26465247370565</v>
      </c>
      <c r="AJ76">
        <v>72.080213404047456</v>
      </c>
      <c r="AK76">
        <v>74.262676652460769</v>
      </c>
      <c r="AL76">
        <v>87.716248209719993</v>
      </c>
      <c r="AM76">
        <v>90.770240928923116</v>
      </c>
      <c r="AN76">
        <v>87.682437365295328</v>
      </c>
      <c r="AO76">
        <v>91.237216349670504</v>
      </c>
      <c r="AP76">
        <v>92.879729927126107</v>
      </c>
      <c r="AQ76">
        <v>84.131449156451026</v>
      </c>
      <c r="AR76">
        <v>149.51505198125383</v>
      </c>
      <c r="AS76">
        <v>52.658341984730299</v>
      </c>
      <c r="AT76">
        <v>53.069763264278627</v>
      </c>
      <c r="AU76">
        <v>91.232924216692297</v>
      </c>
      <c r="AV76">
        <v>189.26793286563725</v>
      </c>
      <c r="AW76">
        <v>145.13298200576912</v>
      </c>
      <c r="AX76">
        <v>58.99563492063492</v>
      </c>
      <c r="AY76">
        <v>128.38650668028154</v>
      </c>
      <c r="AZ76">
        <v>98.469338404655403</v>
      </c>
      <c r="BA76">
        <v>-110.93161000000001</v>
      </c>
      <c r="BB76">
        <v>2466.7907829999999</v>
      </c>
      <c r="BC76">
        <v>2355.8591729999998</v>
      </c>
    </row>
    <row r="77" spans="1:55">
      <c r="A77" t="s">
        <v>631</v>
      </c>
      <c r="B77">
        <v>109.87066084367287</v>
      </c>
      <c r="C77">
        <v>112.64483814777276</v>
      </c>
      <c r="D77">
        <v>94.928576500721817</v>
      </c>
      <c r="E77">
        <v>102.01052735089208</v>
      </c>
      <c r="F77">
        <v>-22.048145411103942</v>
      </c>
      <c r="G77">
        <v>-0.17157196950106929</v>
      </c>
      <c r="H77">
        <v>4.2799306776814143</v>
      </c>
      <c r="I77">
        <v>4.7558643903005642</v>
      </c>
      <c r="J77">
        <v>116.303152709842</v>
      </c>
      <c r="K77">
        <v>75.147611214911819</v>
      </c>
      <c r="L77">
        <v>72.854328979148562</v>
      </c>
      <c r="M77">
        <v>108.32594448563162</v>
      </c>
      <c r="N77">
        <v>113.52593913263493</v>
      </c>
      <c r="O77">
        <v>97.865578008181046</v>
      </c>
      <c r="P77">
        <v>5.7306873659330329</v>
      </c>
      <c r="Q77">
        <v>90.483878112024428</v>
      </c>
      <c r="R77">
        <v>94.877568161957043</v>
      </c>
      <c r="S77">
        <v>94.51141600739858</v>
      </c>
      <c r="T77">
        <v>104.16826366715459</v>
      </c>
      <c r="U77">
        <v>91.461891998897187</v>
      </c>
      <c r="V77">
        <v>96.126810330997472</v>
      </c>
      <c r="W77">
        <v>91.461891998897173</v>
      </c>
      <c r="X77">
        <v>96.126810330997486</v>
      </c>
      <c r="Y77">
        <v>12850.668716585744</v>
      </c>
      <c r="Z77">
        <v>88.939558268913473</v>
      </c>
      <c r="AA77">
        <v>95.038399391055606</v>
      </c>
      <c r="AB77">
        <v>93.115837842929352</v>
      </c>
      <c r="AC77">
        <v>81.693263989392861</v>
      </c>
      <c r="AD77">
        <v>90.548500925433302</v>
      </c>
      <c r="AE77">
        <v>96.117444787014321</v>
      </c>
      <c r="AF77">
        <v>91.167249973221729</v>
      </c>
      <c r="AG77">
        <v>93.180508782295718</v>
      </c>
      <c r="AH77">
        <v>92.740083634299154</v>
      </c>
      <c r="AI77">
        <v>115.74218424556007</v>
      </c>
      <c r="AJ77">
        <v>74.595498323166467</v>
      </c>
      <c r="AK77">
        <v>80.340541641402268</v>
      </c>
      <c r="AL77">
        <v>88.48185728404853</v>
      </c>
      <c r="AM77">
        <v>91.427452981878218</v>
      </c>
      <c r="AN77">
        <v>88.454243051150314</v>
      </c>
      <c r="AO77">
        <v>91.689789896025175</v>
      </c>
      <c r="AP77">
        <v>93.330805110214428</v>
      </c>
      <c r="AQ77">
        <v>87.776746835984383</v>
      </c>
      <c r="AR77">
        <v>156.40005283969319</v>
      </c>
      <c r="AS77">
        <v>52.598556288527476</v>
      </c>
      <c r="AT77">
        <v>52.743214309116532</v>
      </c>
      <c r="AU77">
        <v>96.263699047416708</v>
      </c>
      <c r="AV77">
        <v>194.12549031705308</v>
      </c>
      <c r="AW77">
        <v>143.91731321585544</v>
      </c>
      <c r="AX77">
        <v>57.338152393500224</v>
      </c>
      <c r="AY77">
        <v>123.98439769407497</v>
      </c>
      <c r="AZ77">
        <v>104.47244931792834</v>
      </c>
      <c r="BA77">
        <v>-111.2716995</v>
      </c>
      <c r="BB77">
        <v>2535.0561287999999</v>
      </c>
      <c r="BC77">
        <v>2423.7844292999998</v>
      </c>
    </row>
    <row r="78" spans="1:55">
      <c r="A78" t="s">
        <v>632</v>
      </c>
      <c r="B78">
        <v>109.3772832730196</v>
      </c>
      <c r="C78">
        <v>112.01549097832446</v>
      </c>
      <c r="D78">
        <v>96.433643028482322</v>
      </c>
      <c r="E78">
        <v>103.13121367599761</v>
      </c>
      <c r="F78">
        <v>-6.1925120472123112</v>
      </c>
      <c r="G78">
        <v>-4.6575096962061045E-2</v>
      </c>
      <c r="H78">
        <v>4.4958216039367684</v>
      </c>
      <c r="I78">
        <v>4.8575476527795916</v>
      </c>
      <c r="J78">
        <v>126.08265707232394</v>
      </c>
      <c r="K78">
        <v>77.019517822636956</v>
      </c>
      <c r="L78">
        <v>73.965538399650455</v>
      </c>
      <c r="M78">
        <v>117.51136075929934</v>
      </c>
      <c r="N78">
        <v>121.8289992490994</v>
      </c>
      <c r="O78">
        <v>98.168556967730524</v>
      </c>
      <c r="P78">
        <v>5.607946209567225</v>
      </c>
      <c r="Q78">
        <v>91.577364730548823</v>
      </c>
      <c r="R78">
        <v>95.715142461639317</v>
      </c>
      <c r="S78">
        <v>96.115445368356774</v>
      </c>
      <c r="T78">
        <v>105.32118649153523</v>
      </c>
      <c r="U78">
        <v>92.562959922653405</v>
      </c>
      <c r="V78">
        <v>96.938428274753136</v>
      </c>
      <c r="W78">
        <v>92.562959922653391</v>
      </c>
      <c r="X78">
        <v>96.938428274753136</v>
      </c>
      <c r="Y78">
        <v>13295.75771416339</v>
      </c>
      <c r="Z78">
        <v>89.998274874610885</v>
      </c>
      <c r="AA78">
        <v>96.08757991182155</v>
      </c>
      <c r="AB78">
        <v>94.324859081632368</v>
      </c>
      <c r="AC78">
        <v>83.430843059432064</v>
      </c>
      <c r="AD78">
        <v>91.655687373990219</v>
      </c>
      <c r="AE78">
        <v>96.856927288466323</v>
      </c>
      <c r="AF78">
        <v>92.497016198423026</v>
      </c>
      <c r="AG78">
        <v>94.641292532281966</v>
      </c>
      <c r="AH78">
        <v>94.28846643180745</v>
      </c>
      <c r="AI78">
        <v>126.76084797997821</v>
      </c>
      <c r="AJ78">
        <v>76.824387656797001</v>
      </c>
      <c r="AK78">
        <v>83.807027510022337</v>
      </c>
      <c r="AL78">
        <v>89.365432619121847</v>
      </c>
      <c r="AM78">
        <v>92.17640755809451</v>
      </c>
      <c r="AN78">
        <v>89.338311372505942</v>
      </c>
      <c r="AO78">
        <v>92.235609479881603</v>
      </c>
      <c r="AP78">
        <v>93.790099509219374</v>
      </c>
      <c r="AQ78">
        <v>91.631436871344007</v>
      </c>
      <c r="AR78">
        <v>181.34783129559085</v>
      </c>
      <c r="AS78">
        <v>52.650402491848155</v>
      </c>
      <c r="AT78">
        <v>53.021508348403906</v>
      </c>
      <c r="AU78">
        <v>103.5343555948976</v>
      </c>
      <c r="AV78">
        <v>197.10683346991593</v>
      </c>
      <c r="AW78">
        <v>160.35737316252201</v>
      </c>
      <c r="AX78">
        <v>66.157950310559002</v>
      </c>
      <c r="AY78">
        <v>141.53068820304046</v>
      </c>
      <c r="AZ78">
        <v>105.51377912843031</v>
      </c>
      <c r="BA78">
        <v>-116.02575040000001</v>
      </c>
      <c r="BB78">
        <v>2631.6119238000001</v>
      </c>
      <c r="BC78">
        <v>2515.5861734</v>
      </c>
    </row>
    <row r="79" spans="1:55">
      <c r="A79" t="s">
        <v>633</v>
      </c>
      <c r="B79">
        <v>108.97491925428102</v>
      </c>
      <c r="C79">
        <v>111.47233908651712</v>
      </c>
      <c r="D79">
        <v>97.670720690248046</v>
      </c>
      <c r="E79">
        <v>104.14440089387465</v>
      </c>
      <c r="F79">
        <v>10.179019081533996</v>
      </c>
      <c r="G79">
        <v>7.429247623078987E-2</v>
      </c>
      <c r="H79">
        <v>4.4899874848592711</v>
      </c>
      <c r="I79">
        <v>4.9062134806138458</v>
      </c>
      <c r="J79">
        <v>130.03812348535476</v>
      </c>
      <c r="K79">
        <v>79.115457651397492</v>
      </c>
      <c r="L79">
        <v>74.944951910434582</v>
      </c>
      <c r="M79">
        <v>123.66407000960898</v>
      </c>
      <c r="N79">
        <v>124.6027012637321</v>
      </c>
      <c r="O79">
        <v>98.453908911518326</v>
      </c>
      <c r="P79">
        <v>5.5184940352649035</v>
      </c>
      <c r="Q79">
        <v>92.747401964015694</v>
      </c>
      <c r="R79">
        <v>96.440257955227182</v>
      </c>
      <c r="S79">
        <v>96.97709076506797</v>
      </c>
      <c r="T79">
        <v>105.39753929439048</v>
      </c>
      <c r="U79">
        <v>93.462531894034967</v>
      </c>
      <c r="V79">
        <v>97.576208447929048</v>
      </c>
      <c r="W79">
        <v>93.462531894034967</v>
      </c>
      <c r="X79">
        <v>97.576208447929048</v>
      </c>
      <c r="Y79">
        <v>13701.278511585526</v>
      </c>
      <c r="Z79">
        <v>91.940716747654562</v>
      </c>
      <c r="AA79">
        <v>97.548891151079999</v>
      </c>
      <c r="AB79">
        <v>95.927715700985004</v>
      </c>
      <c r="AC79">
        <v>84.837798220431679</v>
      </c>
      <c r="AD79">
        <v>92.65770095188148</v>
      </c>
      <c r="AE79">
        <v>97.486737387402897</v>
      </c>
      <c r="AF79">
        <v>94.086148328543089</v>
      </c>
      <c r="AG79">
        <v>96.44719683369442</v>
      </c>
      <c r="AH79">
        <v>95.851204569428134</v>
      </c>
      <c r="AI79">
        <v>128.98298486707091</v>
      </c>
      <c r="AJ79">
        <v>80.551982117035422</v>
      </c>
      <c r="AK79">
        <v>99.220493236604099</v>
      </c>
      <c r="AL79">
        <v>90.341726872074545</v>
      </c>
      <c r="AM79">
        <v>92.850252962023106</v>
      </c>
      <c r="AN79">
        <v>90.316319528289114</v>
      </c>
      <c r="AO79">
        <v>92.75393155701606</v>
      </c>
      <c r="AP79">
        <v>94.227940031698196</v>
      </c>
      <c r="AQ79">
        <v>94.234068169670607</v>
      </c>
      <c r="AR79">
        <v>156.8879556597914</v>
      </c>
      <c r="AS79">
        <v>52.10790025743281</v>
      </c>
      <c r="AT79">
        <v>52.761092579086473</v>
      </c>
      <c r="AU79">
        <v>100.09371911681319</v>
      </c>
      <c r="AV79">
        <v>180.11853432702932</v>
      </c>
      <c r="AW79">
        <v>170.77056640078453</v>
      </c>
      <c r="AX79">
        <v>73.450909749670615</v>
      </c>
      <c r="AY79">
        <v>155.23130827902185</v>
      </c>
      <c r="AZ79">
        <v>101.15737869497229</v>
      </c>
      <c r="BA79">
        <v>-126.8017609</v>
      </c>
      <c r="BB79">
        <v>2723.6715469999999</v>
      </c>
      <c r="BC79">
        <v>2596.8697861000001</v>
      </c>
    </row>
    <row r="80" spans="1:55">
      <c r="A80" t="s">
        <v>634</v>
      </c>
      <c r="B80">
        <v>106.56560759651444</v>
      </c>
      <c r="C80">
        <v>108.05308438144738</v>
      </c>
      <c r="D80">
        <v>99.199972449965955</v>
      </c>
      <c r="E80">
        <v>105.11872749154081</v>
      </c>
      <c r="F80">
        <v>-32.602356034578641</v>
      </c>
      <c r="G80">
        <v>-0.2262861097077622</v>
      </c>
      <c r="H80">
        <v>4.2195492878554361</v>
      </c>
      <c r="I80">
        <v>4.7400714556672492</v>
      </c>
      <c r="J80">
        <v>127.2558588064784</v>
      </c>
      <c r="K80">
        <v>80.838314150139439</v>
      </c>
      <c r="L80">
        <v>76.003477310295736</v>
      </c>
      <c r="M80">
        <v>122.87125755389876</v>
      </c>
      <c r="N80">
        <v>122.43356084211942</v>
      </c>
      <c r="O80">
        <v>98.794715487858014</v>
      </c>
      <c r="P80">
        <v>5.4198016603320935</v>
      </c>
      <c r="Q80">
        <v>94.00095235940725</v>
      </c>
      <c r="R80">
        <v>97.194644319429344</v>
      </c>
      <c r="S80">
        <v>99.300410607290985</v>
      </c>
      <c r="T80">
        <v>107.094269985685</v>
      </c>
      <c r="U80">
        <v>94.873637632877347</v>
      </c>
      <c r="V80">
        <v>98.546321423208795</v>
      </c>
      <c r="W80">
        <v>94.873637632877347</v>
      </c>
      <c r="X80">
        <v>98.546321423208809</v>
      </c>
      <c r="Y80">
        <v>14407.581656993018</v>
      </c>
      <c r="Z80">
        <v>94.2650443288872</v>
      </c>
      <c r="AA80">
        <v>98.815372952185569</v>
      </c>
      <c r="AB80">
        <v>97.775280640024917</v>
      </c>
      <c r="AC80">
        <v>87.330811179530073</v>
      </c>
      <c r="AD80">
        <v>94.228960579735244</v>
      </c>
      <c r="AE80">
        <v>98.466732417101994</v>
      </c>
      <c r="AF80">
        <v>96.42086516093849</v>
      </c>
      <c r="AG80">
        <v>98.478438044483468</v>
      </c>
      <c r="AH80">
        <v>97.673362943982383</v>
      </c>
      <c r="AI80">
        <v>144.89929191266199</v>
      </c>
      <c r="AJ80">
        <v>83.096741781141418</v>
      </c>
      <c r="AK80">
        <v>130.12216855308114</v>
      </c>
      <c r="AL80">
        <v>91.650936903016586</v>
      </c>
      <c r="AM80">
        <v>94.015334392757083</v>
      </c>
      <c r="AN80">
        <v>91.626587998542547</v>
      </c>
      <c r="AO80">
        <v>93.515134171119996</v>
      </c>
      <c r="AP80">
        <v>94.827366387119355</v>
      </c>
      <c r="AQ80">
        <v>102.03685047220563</v>
      </c>
      <c r="AR80">
        <v>148.02415229297733</v>
      </c>
      <c r="AS80">
        <v>51.590771363294344</v>
      </c>
      <c r="AT80">
        <v>52.617164017191818</v>
      </c>
      <c r="AU80">
        <v>104.99092292825917</v>
      </c>
      <c r="AV80">
        <v>202.2800454465623</v>
      </c>
      <c r="AW80">
        <v>202.62572349558954</v>
      </c>
      <c r="AX80">
        <v>87.697537591233242</v>
      </c>
      <c r="AY80">
        <v>180.68670607364734</v>
      </c>
      <c r="AZ80">
        <v>105.69339517241254</v>
      </c>
      <c r="BA80">
        <v>-141.7601536</v>
      </c>
      <c r="BB80">
        <v>2929.5049346999999</v>
      </c>
      <c r="BC80">
        <v>2787.7447811000002</v>
      </c>
    </row>
    <row r="81" spans="1:55">
      <c r="A81" t="s">
        <v>635</v>
      </c>
      <c r="B81">
        <v>103.44159124746534</v>
      </c>
      <c r="C81">
        <v>104.03660342049194</v>
      </c>
      <c r="D81">
        <v>100.4876466920645</v>
      </c>
      <c r="E81">
        <v>105.81616667413907</v>
      </c>
      <c r="F81">
        <v>-83.704824723155966</v>
      </c>
      <c r="G81">
        <v>-0.56108283123817426</v>
      </c>
      <c r="H81">
        <v>3.9227566612646894</v>
      </c>
      <c r="I81">
        <v>4.375374041127114</v>
      </c>
      <c r="J81">
        <v>110.68574200586905</v>
      </c>
      <c r="K81">
        <v>83.007891456276013</v>
      </c>
      <c r="L81">
        <v>76.682012253375021</v>
      </c>
      <c r="M81">
        <v>110.15121691727691</v>
      </c>
      <c r="N81">
        <v>106.13234426450566</v>
      </c>
      <c r="O81">
        <v>99.039479411630381</v>
      </c>
      <c r="P81">
        <v>5.4258045995035014</v>
      </c>
      <c r="Q81">
        <v>94.99423446529272</v>
      </c>
      <c r="R81">
        <v>97.702736187367591</v>
      </c>
      <c r="S81">
        <v>100.26734637284645</v>
      </c>
      <c r="T81">
        <v>107.03583212363144</v>
      </c>
      <c r="U81">
        <v>95.659948039860055</v>
      </c>
      <c r="V81">
        <v>98.958675847879761</v>
      </c>
      <c r="W81">
        <v>95.659948039860055</v>
      </c>
      <c r="X81">
        <v>98.958675847879789</v>
      </c>
      <c r="Y81">
        <v>14918.443420990023</v>
      </c>
      <c r="Z81">
        <v>96.865256072034825</v>
      </c>
      <c r="AA81">
        <v>100.35841239962826</v>
      </c>
      <c r="AB81">
        <v>99.764386859675199</v>
      </c>
      <c r="AC81">
        <v>89.513753032420638</v>
      </c>
      <c r="AD81">
        <v>95.285261226396813</v>
      </c>
      <c r="AE81">
        <v>98.928141444148849</v>
      </c>
      <c r="AF81">
        <v>97.937703901212345</v>
      </c>
      <c r="AG81">
        <v>99.842216777899012</v>
      </c>
      <c r="AH81">
        <v>99.425294617988428</v>
      </c>
      <c r="AI81">
        <v>162.398785324681</v>
      </c>
      <c r="AJ81">
        <v>98.012840525516211</v>
      </c>
      <c r="AK81">
        <v>174.28554022037551</v>
      </c>
      <c r="AL81">
        <v>93.078535289008755</v>
      </c>
      <c r="AM81">
        <v>95.145559646796059</v>
      </c>
      <c r="AN81">
        <v>93.059659418600006</v>
      </c>
      <c r="AO81">
        <v>94.321929554299075</v>
      </c>
      <c r="AP81">
        <v>95.467495664768151</v>
      </c>
      <c r="AQ81">
        <v>114.03910062659547</v>
      </c>
      <c r="AR81">
        <v>165.61101703434335</v>
      </c>
      <c r="AS81">
        <v>50.578223876324351</v>
      </c>
      <c r="AT81">
        <v>51.541282851362404</v>
      </c>
      <c r="AU81">
        <v>118.83323389383649</v>
      </c>
      <c r="AV81">
        <v>241.89172575968382</v>
      </c>
      <c r="AW81">
        <v>225.41523746353027</v>
      </c>
      <c r="AX81">
        <v>95.223706004140809</v>
      </c>
      <c r="AY81">
        <v>192.83862538609478</v>
      </c>
      <c r="AZ81">
        <v>112.92418686463169</v>
      </c>
      <c r="BA81">
        <v>-175.9629821</v>
      </c>
      <c r="BB81">
        <v>3155.3321495</v>
      </c>
      <c r="BC81">
        <v>2979.3691674000002</v>
      </c>
    </row>
    <row r="82" spans="1:55">
      <c r="A82" t="s">
        <v>636</v>
      </c>
      <c r="B82">
        <v>98.695064308981429</v>
      </c>
      <c r="C82">
        <v>98.743888340095225</v>
      </c>
      <c r="D82">
        <v>100.24783375084814</v>
      </c>
      <c r="E82">
        <v>105.05740306311507</v>
      </c>
      <c r="F82">
        <v>-79.103433077406962</v>
      </c>
      <c r="G82">
        <v>-0.51412720502863352</v>
      </c>
      <c r="H82">
        <v>4.2110622909936248</v>
      </c>
      <c r="I82">
        <v>4.195216276414893</v>
      </c>
      <c r="J82">
        <v>105.11435416963188</v>
      </c>
      <c r="K82">
        <v>84.669782602317071</v>
      </c>
      <c r="L82">
        <v>77.396720385499833</v>
      </c>
      <c r="M82">
        <v>106.85671138100639</v>
      </c>
      <c r="N82">
        <v>103.49001763610019</v>
      </c>
      <c r="O82">
        <v>99.315925234888255</v>
      </c>
      <c r="P82">
        <v>5.420143513091003</v>
      </c>
      <c r="Q82">
        <v>95.216172933375958</v>
      </c>
      <c r="R82">
        <v>97.718597627356885</v>
      </c>
      <c r="S82">
        <v>100.70426012980272</v>
      </c>
      <c r="T82">
        <v>106.91418462060389</v>
      </c>
      <c r="U82">
        <v>96.203084502853699</v>
      </c>
      <c r="V82">
        <v>99.202512004662026</v>
      </c>
      <c r="W82">
        <v>96.203084502853713</v>
      </c>
      <c r="X82">
        <v>99.20251200466204</v>
      </c>
      <c r="Y82">
        <v>15385.965244340925</v>
      </c>
      <c r="Z82">
        <v>97.522145063506372</v>
      </c>
      <c r="AA82">
        <v>100.22090540096642</v>
      </c>
      <c r="AB82">
        <v>99.698187887285954</v>
      </c>
      <c r="AC82">
        <v>91.427716322961643</v>
      </c>
      <c r="AD82">
        <v>95.734721140046744</v>
      </c>
      <c r="AE82">
        <v>99.027344438289717</v>
      </c>
      <c r="AF82">
        <v>99.23383200734169</v>
      </c>
      <c r="AG82">
        <v>100.7749270990296</v>
      </c>
      <c r="AH82">
        <v>99.886455028079936</v>
      </c>
      <c r="AI82">
        <v>189.09775247599933</v>
      </c>
      <c r="AJ82">
        <v>99.474404280473664</v>
      </c>
      <c r="AK82">
        <v>199.145716999477</v>
      </c>
      <c r="AL82">
        <v>94.617666302728367</v>
      </c>
      <c r="AM82">
        <v>96.406205332169009</v>
      </c>
      <c r="AN82">
        <v>94.601278000169032</v>
      </c>
      <c r="AO82">
        <v>95.191619819561538</v>
      </c>
      <c r="AP82">
        <v>96.142050077950742</v>
      </c>
      <c r="AQ82">
        <v>122.23336787155621</v>
      </c>
      <c r="AR82">
        <v>163.79060873923592</v>
      </c>
      <c r="AS82">
        <v>48.947903139866575</v>
      </c>
      <c r="AT82">
        <v>50.281500713623757</v>
      </c>
      <c r="AU82">
        <v>124.90547527892431</v>
      </c>
      <c r="AV82">
        <v>298.66847324212648</v>
      </c>
      <c r="AW82">
        <v>281.95023410002926</v>
      </c>
      <c r="AX82">
        <v>120.99309764309766</v>
      </c>
      <c r="AY82">
        <v>241.36237687264068</v>
      </c>
      <c r="AZ82">
        <v>116.42979249065014</v>
      </c>
      <c r="BA82">
        <v>-193.34262519999999</v>
      </c>
      <c r="BB82">
        <v>3315.7277697999998</v>
      </c>
      <c r="BC82">
        <v>3122.3851445999999</v>
      </c>
    </row>
    <row r="83" spans="1:55">
      <c r="A83" t="s">
        <v>637</v>
      </c>
      <c r="B83">
        <v>97.744237692925466</v>
      </c>
      <c r="C83">
        <v>97.662453569247006</v>
      </c>
      <c r="D83">
        <v>98.727643239222644</v>
      </c>
      <c r="E83">
        <v>102.88112704297582</v>
      </c>
      <c r="F83">
        <v>-108.62140800527122</v>
      </c>
      <c r="G83">
        <v>-0.71755572835363224</v>
      </c>
      <c r="H83">
        <v>4.2376288407854554</v>
      </c>
      <c r="I83">
        <v>4.370243906261698</v>
      </c>
      <c r="J83">
        <v>92.716615249632056</v>
      </c>
      <c r="K83">
        <v>86.611219515979869</v>
      </c>
      <c r="L83">
        <v>79.025325266361207</v>
      </c>
      <c r="M83">
        <v>86.530671707941735</v>
      </c>
      <c r="N83">
        <v>88.804949890413013</v>
      </c>
      <c r="O83">
        <v>99.384415338797012</v>
      </c>
      <c r="P83">
        <v>5.5585950704163061</v>
      </c>
      <c r="Q83">
        <v>95.199742424012541</v>
      </c>
      <c r="R83">
        <v>97.41160478438735</v>
      </c>
      <c r="S83">
        <v>99.776386455263264</v>
      </c>
      <c r="T83">
        <v>105.45778678496293</v>
      </c>
      <c r="U83">
        <v>96.152460156787242</v>
      </c>
      <c r="V83">
        <v>98.844235441763374</v>
      </c>
      <c r="W83">
        <v>96.152460156787242</v>
      </c>
      <c r="X83">
        <v>98.844235441763402</v>
      </c>
      <c r="Y83">
        <v>15137.69644825962</v>
      </c>
      <c r="Z83">
        <v>98.272597924450153</v>
      </c>
      <c r="AA83">
        <v>100.08726145485912</v>
      </c>
      <c r="AB83">
        <v>99.710665001508644</v>
      </c>
      <c r="AC83">
        <v>92.732430083324047</v>
      </c>
      <c r="AD83">
        <v>95.797930142618071</v>
      </c>
      <c r="AE83">
        <v>98.649557161396501</v>
      </c>
      <c r="AF83">
        <v>99.470569752406945</v>
      </c>
      <c r="AG83">
        <v>100.514890021783</v>
      </c>
      <c r="AH83">
        <v>99.825926023824934</v>
      </c>
      <c r="AI83">
        <v>183.27194592126727</v>
      </c>
      <c r="AJ83">
        <v>101.8962742461545</v>
      </c>
      <c r="AK83">
        <v>249.70018572050694</v>
      </c>
      <c r="AL83">
        <v>95.936304156301006</v>
      </c>
      <c r="AM83">
        <v>97.626193010263265</v>
      </c>
      <c r="AN83">
        <v>95.921495730048051</v>
      </c>
      <c r="AO83">
        <v>96.088573088445742</v>
      </c>
      <c r="AP83">
        <v>96.854057432198445</v>
      </c>
      <c r="AQ83">
        <v>115.34424405255925</v>
      </c>
      <c r="AR83">
        <v>146.67502205515135</v>
      </c>
      <c r="AS83">
        <v>46.903785499598825</v>
      </c>
      <c r="AT83">
        <v>48.118009320717526</v>
      </c>
      <c r="AU83">
        <v>119.44476616719466</v>
      </c>
      <c r="AV83">
        <v>290.60135119227738</v>
      </c>
      <c r="AW83">
        <v>275.59632346334837</v>
      </c>
      <c r="AX83">
        <v>115.80177949264906</v>
      </c>
      <c r="AY83">
        <v>235.78519941543189</v>
      </c>
      <c r="AZ83">
        <v>116.38655966481615</v>
      </c>
      <c r="BA83">
        <v>-223.9155816</v>
      </c>
      <c r="BB83">
        <v>3336.3200701000001</v>
      </c>
      <c r="BC83">
        <v>3112.4044884999998</v>
      </c>
    </row>
    <row r="84" spans="1:55">
      <c r="A84" t="s">
        <v>638</v>
      </c>
      <c r="B84">
        <v>93.548544755195564</v>
      </c>
      <c r="C84">
        <v>93.286244212547658</v>
      </c>
      <c r="D84">
        <v>93.511795921581879</v>
      </c>
      <c r="E84">
        <v>97.060993308254979</v>
      </c>
      <c r="F84">
        <v>-126.1675820555628</v>
      </c>
      <c r="G84">
        <v>-0.92013586956896309</v>
      </c>
      <c r="H84">
        <v>3.7402568132955381</v>
      </c>
      <c r="I84">
        <v>3.4277825919976657</v>
      </c>
      <c r="J84">
        <v>73.850236144769084</v>
      </c>
      <c r="K84">
        <v>89.116934155344126</v>
      </c>
      <c r="L84">
        <v>82.348008618358321</v>
      </c>
      <c r="M84">
        <v>66.34208595786663</v>
      </c>
      <c r="N84">
        <v>69.896991731310393</v>
      </c>
      <c r="O84">
        <v>99.380617831919722</v>
      </c>
      <c r="P84">
        <v>5.8230292060733833</v>
      </c>
      <c r="Q84">
        <v>93.947664894192258</v>
      </c>
      <c r="R84">
        <v>96.249224299784103</v>
      </c>
      <c r="S84">
        <v>96.560073202024284</v>
      </c>
      <c r="T84">
        <v>101.68148834475032</v>
      </c>
      <c r="U84">
        <v>94.632770507768456</v>
      </c>
      <c r="V84">
        <v>97.026038702953926</v>
      </c>
      <c r="W84">
        <v>94.63277050776847</v>
      </c>
      <c r="X84">
        <v>97.026038702953969</v>
      </c>
      <c r="Y84">
        <v>13711.842590667173</v>
      </c>
      <c r="Z84">
        <v>90.669086922242855</v>
      </c>
      <c r="AA84">
        <v>94.459288719364835</v>
      </c>
      <c r="AB84">
        <v>93.14649760837284</v>
      </c>
      <c r="AC84">
        <v>91.047618541837394</v>
      </c>
      <c r="AD84">
        <v>94.05296884249293</v>
      </c>
      <c r="AE84">
        <v>96.994828085895492</v>
      </c>
      <c r="AF84">
        <v>93.320849105286115</v>
      </c>
      <c r="AG84">
        <v>94.21684113910041</v>
      </c>
      <c r="AH84">
        <v>93.544659473884536</v>
      </c>
      <c r="AI84">
        <v>117.74398857972973</v>
      </c>
      <c r="AJ84">
        <v>82.272409043785771</v>
      </c>
      <c r="AK84">
        <v>145.62517791699227</v>
      </c>
      <c r="AL84">
        <v>95.711664908561445</v>
      </c>
      <c r="AM84">
        <v>97.025424632667026</v>
      </c>
      <c r="AN84">
        <v>95.703549187029907</v>
      </c>
      <c r="AO84">
        <v>96.723982462912616</v>
      </c>
      <c r="AP84">
        <v>97.330040859273581</v>
      </c>
      <c r="AQ84">
        <v>90.04592910431181</v>
      </c>
      <c r="AR84">
        <v>101.0600318445709</v>
      </c>
      <c r="AS84">
        <v>37.399917922145825</v>
      </c>
      <c r="AT84">
        <v>38.80178371223397</v>
      </c>
      <c r="AU84">
        <v>91.168463854654291</v>
      </c>
      <c r="AV84">
        <v>252.821698489401</v>
      </c>
      <c r="AW84">
        <v>156.18480309715673</v>
      </c>
      <c r="AX84">
        <v>55.840376811594204</v>
      </c>
      <c r="AY84">
        <v>120.27869227512254</v>
      </c>
      <c r="AZ84">
        <v>95.38609712708849</v>
      </c>
      <c r="BA84">
        <v>-157.5283302</v>
      </c>
      <c r="BB84">
        <v>2686.0917577999999</v>
      </c>
      <c r="BC84">
        <v>2528.5634276000001</v>
      </c>
    </row>
    <row r="85" spans="1:55">
      <c r="A85" t="s">
        <v>639</v>
      </c>
      <c r="B85">
        <v>91.277374073714398</v>
      </c>
      <c r="C85">
        <v>90.89173535636877</v>
      </c>
      <c r="D85">
        <v>88.197611880784464</v>
      </c>
      <c r="E85">
        <v>90.159008980363183</v>
      </c>
      <c r="F85">
        <v>1.6274053867538605</v>
      </c>
      <c r="G85">
        <v>1.2351291436867064E-2</v>
      </c>
      <c r="H85">
        <v>3.4166852172357149</v>
      </c>
      <c r="I85">
        <v>2.5868672050406039</v>
      </c>
      <c r="J85">
        <v>69.2317854099946</v>
      </c>
      <c r="K85">
        <v>90.887023305413223</v>
      </c>
      <c r="L85">
        <v>83.948272139114195</v>
      </c>
      <c r="M85">
        <v>59.390378597882474</v>
      </c>
      <c r="N85">
        <v>64.308841414941512</v>
      </c>
      <c r="O85">
        <v>99.134037604507498</v>
      </c>
      <c r="P85">
        <v>6.2638484611126417</v>
      </c>
      <c r="Q85">
        <v>95.480321407709624</v>
      </c>
      <c r="R85">
        <v>96.632455118727961</v>
      </c>
      <c r="S85">
        <v>93.475428306107077</v>
      </c>
      <c r="T85">
        <v>96.814055763902473</v>
      </c>
      <c r="U85">
        <v>93.143927400397004</v>
      </c>
      <c r="V85">
        <v>95.076177824489633</v>
      </c>
      <c r="W85">
        <v>93.143927400397004</v>
      </c>
      <c r="X85">
        <v>95.076177824489662</v>
      </c>
      <c r="Y85">
        <v>13175.993741806289</v>
      </c>
      <c r="Z85">
        <v>82.188958480058943</v>
      </c>
      <c r="AA85">
        <v>85.534136631610778</v>
      </c>
      <c r="AB85">
        <v>84.331235228186259</v>
      </c>
      <c r="AC85">
        <v>90.264942767102866</v>
      </c>
      <c r="AD85">
        <v>92.722483980755825</v>
      </c>
      <c r="AE85">
        <v>95.042518592394487</v>
      </c>
      <c r="AF85">
        <v>83.300664865209328</v>
      </c>
      <c r="AG85">
        <v>84.945975855138258</v>
      </c>
      <c r="AH85">
        <v>84.371263737188215</v>
      </c>
      <c r="AI85">
        <v>102.88817953404833</v>
      </c>
      <c r="AJ85">
        <v>85.181623409516135</v>
      </c>
      <c r="AK85">
        <v>108.66546644643552</v>
      </c>
      <c r="AL85">
        <v>95.694400713986923</v>
      </c>
      <c r="AM85">
        <v>96.822674040307447</v>
      </c>
      <c r="AN85">
        <v>95.680834667886842</v>
      </c>
      <c r="AO85">
        <v>97.174031921648137</v>
      </c>
      <c r="AP85">
        <v>97.738885162432084</v>
      </c>
      <c r="AQ85">
        <v>86.822005793027657</v>
      </c>
      <c r="AR85">
        <v>95.860004049520512</v>
      </c>
      <c r="AS85">
        <v>35.989565544562481</v>
      </c>
      <c r="AT85">
        <v>38.055363240801917</v>
      </c>
      <c r="AU85">
        <v>89.36803249603075</v>
      </c>
      <c r="AV85">
        <v>195.20417087459143</v>
      </c>
      <c r="AW85">
        <v>122.44472526224551</v>
      </c>
      <c r="AX85">
        <v>44.088373737373736</v>
      </c>
      <c r="AY85">
        <v>95.86626110437345</v>
      </c>
      <c r="AZ85">
        <v>89.025107877798916</v>
      </c>
      <c r="BA85">
        <v>-63.386014600000003</v>
      </c>
      <c r="BB85">
        <v>2175.9420798000001</v>
      </c>
      <c r="BC85">
        <v>2112.5560651999999</v>
      </c>
    </row>
    <row r="86" spans="1:55">
      <c r="A86" t="s">
        <v>640</v>
      </c>
      <c r="B86">
        <v>95.333975355549299</v>
      </c>
      <c r="C86">
        <v>95.716479345299618</v>
      </c>
      <c r="D86">
        <v>89.668560564518373</v>
      </c>
      <c r="E86">
        <v>90.571703216274841</v>
      </c>
      <c r="F86">
        <v>15.605798458915054</v>
      </c>
      <c r="G86">
        <v>0.11428194794092883</v>
      </c>
      <c r="H86">
        <v>3.6951406045217756</v>
      </c>
      <c r="I86">
        <v>2.0918509834931367</v>
      </c>
      <c r="J86">
        <v>81.954958716812101</v>
      </c>
      <c r="K86">
        <v>92.192916158733297</v>
      </c>
      <c r="L86">
        <v>87.032807465058625</v>
      </c>
      <c r="M86">
        <v>74.308091323941682</v>
      </c>
      <c r="N86">
        <v>76.736500023794747</v>
      </c>
      <c r="O86">
        <v>99.128956285862571</v>
      </c>
      <c r="P86">
        <v>6.4914193661223658</v>
      </c>
      <c r="Q86">
        <v>95.285287057271702</v>
      </c>
      <c r="R86">
        <v>96.615783134762808</v>
      </c>
      <c r="S86">
        <v>93.079983517596659</v>
      </c>
      <c r="T86">
        <v>95.451103960242676</v>
      </c>
      <c r="U86">
        <v>94.22090275651</v>
      </c>
      <c r="V86">
        <v>95.619353509242103</v>
      </c>
      <c r="W86">
        <v>94.220902756510014</v>
      </c>
      <c r="X86">
        <v>95.619353509242131</v>
      </c>
      <c r="Y86">
        <v>13655.523676391596</v>
      </c>
      <c r="Z86">
        <v>83.058720867252703</v>
      </c>
      <c r="AA86">
        <v>84.610442643449801</v>
      </c>
      <c r="AB86">
        <v>84.332736614256802</v>
      </c>
      <c r="AC86">
        <v>91.300209749055895</v>
      </c>
      <c r="AD86">
        <v>93.262957237812557</v>
      </c>
      <c r="AE86">
        <v>95.051489925168482</v>
      </c>
      <c r="AF86">
        <v>86.992630030479049</v>
      </c>
      <c r="AG86">
        <v>86.852805692361073</v>
      </c>
      <c r="AH86">
        <v>87.024505669611827</v>
      </c>
      <c r="AI86">
        <v>112.60973336538309</v>
      </c>
      <c r="AJ86">
        <v>86.689587473539461</v>
      </c>
      <c r="AK86">
        <v>96.440552664010454</v>
      </c>
      <c r="AL86">
        <v>96.297474775659452</v>
      </c>
      <c r="AM86">
        <v>97.247614492063235</v>
      </c>
      <c r="AN86">
        <v>96.285192073010535</v>
      </c>
      <c r="AO86">
        <v>97.712899401452987</v>
      </c>
      <c r="AP86">
        <v>98.201386824596966</v>
      </c>
      <c r="AQ86">
        <v>96.573605493897034</v>
      </c>
      <c r="AR86">
        <v>106.0733094947708</v>
      </c>
      <c r="AS86">
        <v>43.056395213698607</v>
      </c>
      <c r="AT86">
        <v>45.016018626373189</v>
      </c>
      <c r="AU86">
        <v>95.645275418398384</v>
      </c>
      <c r="AV86">
        <v>145.66674989211842</v>
      </c>
      <c r="AW86">
        <v>137.1483864333849</v>
      </c>
      <c r="AX86">
        <v>59.240264550264534</v>
      </c>
      <c r="AY86">
        <v>126.33463851183392</v>
      </c>
      <c r="AZ86">
        <v>92.026524791298996</v>
      </c>
      <c r="BA86">
        <v>-45.820945399999999</v>
      </c>
      <c r="BB86">
        <v>2218.9469054000001</v>
      </c>
      <c r="BC86">
        <v>2173.1259599999998</v>
      </c>
    </row>
    <row r="87" spans="1:55">
      <c r="A87" t="s">
        <v>641</v>
      </c>
      <c r="B87">
        <v>97.482127371637603</v>
      </c>
      <c r="C87">
        <v>97.955422671886865</v>
      </c>
      <c r="D87">
        <v>92.458151288825533</v>
      </c>
      <c r="E87">
        <v>92.963450161265484</v>
      </c>
      <c r="F87">
        <v>14.047273320490616</v>
      </c>
      <c r="G87">
        <v>9.8228711391090712E-2</v>
      </c>
      <c r="H87">
        <v>3.7299958442656922</v>
      </c>
      <c r="I87">
        <v>1.9143809251049586</v>
      </c>
      <c r="J87">
        <v>94.693534608728598</v>
      </c>
      <c r="K87">
        <v>93.141510941389924</v>
      </c>
      <c r="L87">
        <v>89.054615089988758</v>
      </c>
      <c r="M87">
        <v>88.216198453534872</v>
      </c>
      <c r="N87">
        <v>88.539072693339506</v>
      </c>
      <c r="O87">
        <v>99.205847393063266</v>
      </c>
      <c r="P87">
        <v>6.5631024453832465</v>
      </c>
      <c r="Q87">
        <v>96.148866241097991</v>
      </c>
      <c r="R87">
        <v>97.280088576521209</v>
      </c>
      <c r="S87">
        <v>94.879266749776775</v>
      </c>
      <c r="T87">
        <v>96.300418797120528</v>
      </c>
      <c r="U87">
        <v>95.536421982837609</v>
      </c>
      <c r="V87">
        <v>96.462126071420144</v>
      </c>
      <c r="W87">
        <v>95.536421982837609</v>
      </c>
      <c r="X87">
        <v>96.462126071420158</v>
      </c>
      <c r="Y87">
        <v>14300.577826540331</v>
      </c>
      <c r="Z87">
        <v>87.565066626131028</v>
      </c>
      <c r="AA87">
        <v>88.539289050904813</v>
      </c>
      <c r="AB87">
        <v>88.565653417193531</v>
      </c>
      <c r="AC87">
        <v>92.830549120976229</v>
      </c>
      <c r="AD87">
        <v>94.787819294965701</v>
      </c>
      <c r="AE87">
        <v>96.063660102805528</v>
      </c>
      <c r="AF87">
        <v>90.629093090263396</v>
      </c>
      <c r="AG87">
        <v>90.216708262282324</v>
      </c>
      <c r="AH87">
        <v>90.462877925926151</v>
      </c>
      <c r="AI87">
        <v>120.26367377278223</v>
      </c>
      <c r="AJ87">
        <v>92.298273448364782</v>
      </c>
      <c r="AK87">
        <v>102.57071809415027</v>
      </c>
      <c r="AL87">
        <v>97.145931925184868</v>
      </c>
      <c r="AM87">
        <v>97.899544469567672</v>
      </c>
      <c r="AN87">
        <v>97.135680067650412</v>
      </c>
      <c r="AO87">
        <v>98.33856916730349</v>
      </c>
      <c r="AP87">
        <v>98.668181283550837</v>
      </c>
      <c r="AQ87">
        <v>92.314780886117319</v>
      </c>
      <c r="AR87">
        <v>135.34513683126181</v>
      </c>
      <c r="AS87">
        <v>49.969535961650443</v>
      </c>
      <c r="AT87">
        <v>50.832658201289483</v>
      </c>
      <c r="AU87">
        <v>99.667321072122135</v>
      </c>
      <c r="AV87">
        <v>128.71722832755583</v>
      </c>
      <c r="AW87">
        <v>150.05576939806755</v>
      </c>
      <c r="AX87">
        <v>68.219624087667555</v>
      </c>
      <c r="AY87">
        <v>141.60654368389331</v>
      </c>
      <c r="AZ87">
        <v>96.600498485803826</v>
      </c>
      <c r="BA87">
        <v>-65.965907799999997</v>
      </c>
      <c r="BB87">
        <v>2438.8282267999998</v>
      </c>
      <c r="BC87">
        <v>2372.8623189999998</v>
      </c>
    </row>
    <row r="88" spans="1:55">
      <c r="A88" t="s">
        <v>642</v>
      </c>
      <c r="B88">
        <v>98.362605379733552</v>
      </c>
      <c r="C88">
        <v>98.695604450825002</v>
      </c>
      <c r="D88">
        <v>94.906712924053934</v>
      </c>
      <c r="E88">
        <v>95.200052615291909</v>
      </c>
      <c r="F88">
        <v>29.287316885132995</v>
      </c>
      <c r="G88">
        <v>0.19656211613746125</v>
      </c>
      <c r="H88">
        <v>3.6754025834195954</v>
      </c>
      <c r="I88">
        <v>1.8495406968652162</v>
      </c>
      <c r="J88">
        <v>100.91491789346058</v>
      </c>
      <c r="K88">
        <v>94.142629496737868</v>
      </c>
      <c r="L88">
        <v>91.312827053599861</v>
      </c>
      <c r="M88">
        <v>92.143351768236599</v>
      </c>
      <c r="N88">
        <v>92.905909527518816</v>
      </c>
      <c r="O88">
        <v>99.379989412698592</v>
      </c>
      <c r="P88">
        <v>6.5436989626521589</v>
      </c>
      <c r="Q88">
        <v>96.985610598291345</v>
      </c>
      <c r="R88">
        <v>97.845584714087451</v>
      </c>
      <c r="S88">
        <v>95.865001673697762</v>
      </c>
      <c r="T88">
        <v>96.960788212570975</v>
      </c>
      <c r="U88">
        <v>96.827711413267352</v>
      </c>
      <c r="V88">
        <v>97.532929759671333</v>
      </c>
      <c r="W88">
        <v>96.827711413267352</v>
      </c>
      <c r="X88">
        <v>97.532929759671347</v>
      </c>
      <c r="Y88">
        <v>14899.776956334545</v>
      </c>
      <c r="Z88">
        <v>90.572474376000017</v>
      </c>
      <c r="AA88">
        <v>91.540552304990612</v>
      </c>
      <c r="AB88">
        <v>91.627965318981907</v>
      </c>
      <c r="AC88">
        <v>94.65606559385138</v>
      </c>
      <c r="AD88">
        <v>96.448458985783958</v>
      </c>
      <c r="AE88">
        <v>97.217824069624214</v>
      </c>
      <c r="AF88">
        <v>92.895515854369037</v>
      </c>
      <c r="AG88">
        <v>93.271061540826409</v>
      </c>
      <c r="AH88">
        <v>93.123970214332786</v>
      </c>
      <c r="AI88">
        <v>131.7032915874473</v>
      </c>
      <c r="AJ88">
        <v>98.531714470111169</v>
      </c>
      <c r="AK88">
        <v>110.1038785228066</v>
      </c>
      <c r="AL88">
        <v>97.992308267676222</v>
      </c>
      <c r="AM88">
        <v>98.539722499136701</v>
      </c>
      <c r="AN88">
        <v>97.983310884780451</v>
      </c>
      <c r="AO88">
        <v>98.829052931873662</v>
      </c>
      <c r="AP88">
        <v>99.109929956005388</v>
      </c>
      <c r="AQ88">
        <v>95.766213751712883</v>
      </c>
      <c r="AR88">
        <v>148.4680677495671</v>
      </c>
      <c r="AS88">
        <v>53.38744495839429</v>
      </c>
      <c r="AT88">
        <v>53.685447328558837</v>
      </c>
      <c r="AU88">
        <v>106.82612537343375</v>
      </c>
      <c r="AV88">
        <v>146.96475909844264</v>
      </c>
      <c r="AW88">
        <v>167.68747410293972</v>
      </c>
      <c r="AX88">
        <v>75.513751594621141</v>
      </c>
      <c r="AY88">
        <v>154.0591931731615</v>
      </c>
      <c r="AZ88">
        <v>106.71646465152617</v>
      </c>
      <c r="BA88">
        <v>-61.742000900000001</v>
      </c>
      <c r="BB88">
        <v>2669.807996</v>
      </c>
      <c r="BC88">
        <v>2608.0659950999998</v>
      </c>
    </row>
    <row r="89" spans="1:55">
      <c r="A89" t="s">
        <v>643</v>
      </c>
      <c r="B89">
        <v>99.234732367823099</v>
      </c>
      <c r="C89">
        <v>99.302514922766321</v>
      </c>
      <c r="D89">
        <v>97.423467278819885</v>
      </c>
      <c r="E89">
        <v>97.570715192820401</v>
      </c>
      <c r="F89">
        <v>2.0840320544326936</v>
      </c>
      <c r="G89">
        <v>1.3998794869986791E-2</v>
      </c>
      <c r="H89">
        <v>3.8167441574045982</v>
      </c>
      <c r="I89">
        <v>1.9151569955441163</v>
      </c>
      <c r="J89">
        <v>103.94039125727024</v>
      </c>
      <c r="K89">
        <v>95.694462016188766</v>
      </c>
      <c r="L89">
        <v>93.667534929574614</v>
      </c>
      <c r="M89">
        <v>93.666292834873673</v>
      </c>
      <c r="N89">
        <v>95.721791982507938</v>
      </c>
      <c r="O89">
        <v>99.598902976938078</v>
      </c>
      <c r="P89">
        <v>6.4325047154173234</v>
      </c>
      <c r="Q89">
        <v>98.470056645336157</v>
      </c>
      <c r="R89">
        <v>98.787969239648618</v>
      </c>
      <c r="S89">
        <v>97.509269947790656</v>
      </c>
      <c r="T89">
        <v>97.696630435881971</v>
      </c>
      <c r="U89">
        <v>98.041655758873887</v>
      </c>
      <c r="V89">
        <v>98.415524779069301</v>
      </c>
      <c r="W89">
        <v>98.041655758873873</v>
      </c>
      <c r="X89">
        <v>98.415524779069301</v>
      </c>
      <c r="Y89">
        <v>14887.224748901974</v>
      </c>
      <c r="Z89">
        <v>94.895317624721713</v>
      </c>
      <c r="AA89">
        <v>95.01629109249437</v>
      </c>
      <c r="AB89">
        <v>95.179080896504459</v>
      </c>
      <c r="AC89">
        <v>97.342245916936236</v>
      </c>
      <c r="AD89">
        <v>97.915563029947748</v>
      </c>
      <c r="AE89">
        <v>98.289574788775639</v>
      </c>
      <c r="AF89">
        <v>95.46850639287176</v>
      </c>
      <c r="AG89">
        <v>95.78499801192369</v>
      </c>
      <c r="AH89">
        <v>95.633057330704091</v>
      </c>
      <c r="AI89">
        <v>140.18921107726746</v>
      </c>
      <c r="AJ89">
        <v>97.049173826776766</v>
      </c>
      <c r="AK89">
        <v>136.15698094421711</v>
      </c>
      <c r="AL89">
        <v>98.834742053723232</v>
      </c>
      <c r="AM89">
        <v>99.165885897309423</v>
      </c>
      <c r="AN89">
        <v>98.833104022043898</v>
      </c>
      <c r="AO89">
        <v>99.319234600975008</v>
      </c>
      <c r="AP89">
        <v>99.4640532539661</v>
      </c>
      <c r="AQ89">
        <v>99.372793529947231</v>
      </c>
      <c r="AR89">
        <v>174.02311093845171</v>
      </c>
      <c r="AS89">
        <v>54.605882671616904</v>
      </c>
      <c r="AT89">
        <v>55.037828672048143</v>
      </c>
      <c r="AU89">
        <v>114.53968905469293</v>
      </c>
      <c r="AV89">
        <v>168.00931663090708</v>
      </c>
      <c r="AW89">
        <v>177.29058644917549</v>
      </c>
      <c r="AX89">
        <v>77.06332493673797</v>
      </c>
      <c r="AY89">
        <v>162.02588433076451</v>
      </c>
      <c r="AZ89">
        <v>116.8164998766357</v>
      </c>
      <c r="BA89">
        <v>-96.570320699999996</v>
      </c>
      <c r="BB89">
        <v>2785.6357806000001</v>
      </c>
      <c r="BC89">
        <v>2689.0654599</v>
      </c>
    </row>
    <row r="90" spans="1:55">
      <c r="A90" t="s">
        <v>644</v>
      </c>
      <c r="B90">
        <v>100.62491703986878</v>
      </c>
      <c r="C90">
        <v>100.65643556132913</v>
      </c>
      <c r="D90">
        <v>99.515845624679969</v>
      </c>
      <c r="E90">
        <v>99.680828272314741</v>
      </c>
      <c r="F90">
        <v>-3.6367315446879731</v>
      </c>
      <c r="G90">
        <v>-2.4576706257103249E-2</v>
      </c>
      <c r="H90">
        <v>3.6476948545934973</v>
      </c>
      <c r="I90">
        <v>1.9465605466105478</v>
      </c>
      <c r="J90">
        <v>92.505235477220481</v>
      </c>
      <c r="K90">
        <v>96.882142387162233</v>
      </c>
      <c r="L90">
        <v>95.739966433363065</v>
      </c>
      <c r="M90">
        <v>81.536582011318103</v>
      </c>
      <c r="N90">
        <v>86.085837283191296</v>
      </c>
      <c r="O90">
        <v>99.85940361012338</v>
      </c>
      <c r="P90">
        <v>6.361545127027969</v>
      </c>
      <c r="Q90">
        <v>99.366574041278938</v>
      </c>
      <c r="R90">
        <v>99.551369847875293</v>
      </c>
      <c r="S90">
        <v>99.084960094930963</v>
      </c>
      <c r="T90">
        <v>99.595968168336128</v>
      </c>
      <c r="U90">
        <v>99.487041686038509</v>
      </c>
      <c r="V90">
        <v>99.630047937267065</v>
      </c>
      <c r="W90">
        <v>99.487041686038509</v>
      </c>
      <c r="X90">
        <v>99.630047937267065</v>
      </c>
      <c r="Y90">
        <v>14797.47329297583</v>
      </c>
      <c r="Z90">
        <v>99.061742073912001</v>
      </c>
      <c r="AA90">
        <v>99.282194870117408</v>
      </c>
      <c r="AB90">
        <v>99.46187287991269</v>
      </c>
      <c r="AC90">
        <v>99.031501896346867</v>
      </c>
      <c r="AD90">
        <v>99.460338891193601</v>
      </c>
      <c r="AE90">
        <v>99.638491635146124</v>
      </c>
      <c r="AF90">
        <v>99.142363127782417</v>
      </c>
      <c r="AG90">
        <v>99.276819657141758</v>
      </c>
      <c r="AH90">
        <v>99.551948645192553</v>
      </c>
      <c r="AI90">
        <v>143.19061624664951</v>
      </c>
      <c r="AJ90">
        <v>100.49090205973023</v>
      </c>
      <c r="AK90">
        <v>146.10083971551774</v>
      </c>
      <c r="AL90">
        <v>99.44259024605401</v>
      </c>
      <c r="AM90">
        <v>99.58677601992683</v>
      </c>
      <c r="AN90">
        <v>99.44176579204229</v>
      </c>
      <c r="AO90">
        <v>99.5647332418974</v>
      </c>
      <c r="AP90">
        <v>99.71039957502451</v>
      </c>
      <c r="AQ90">
        <v>100.11210388494908</v>
      </c>
      <c r="AR90">
        <v>188.39073505163185</v>
      </c>
      <c r="AS90">
        <v>55.769190413997194</v>
      </c>
      <c r="AT90">
        <v>55.336004882338614</v>
      </c>
      <c r="AU90">
        <v>119.45067078088262</v>
      </c>
      <c r="AV90">
        <v>162.60760309554715</v>
      </c>
      <c r="AW90">
        <v>177.52983813385868</v>
      </c>
      <c r="AX90">
        <v>78.132840307840311</v>
      </c>
      <c r="AY90">
        <v>170.25190050252584</v>
      </c>
      <c r="AZ90">
        <v>126.29851323629639</v>
      </c>
      <c r="BA90">
        <v>-103.1540226</v>
      </c>
      <c r="BB90">
        <v>2890.0904171000002</v>
      </c>
      <c r="BC90">
        <v>2786.9363945</v>
      </c>
    </row>
    <row r="91" spans="1:55">
      <c r="A91" t="s">
        <v>645</v>
      </c>
      <c r="B91">
        <v>99.813291761830627</v>
      </c>
      <c r="C91">
        <v>99.573029398672688</v>
      </c>
      <c r="D91">
        <v>100.59866250265081</v>
      </c>
      <c r="E91">
        <v>100.65881691789548</v>
      </c>
      <c r="F91">
        <v>-2.8292194687358396</v>
      </c>
      <c r="G91">
        <v>-1.8508390031671665E-2</v>
      </c>
      <c r="H91">
        <v>3.2216675887131441</v>
      </c>
      <c r="I91">
        <v>2.0093015957043305</v>
      </c>
      <c r="J91">
        <v>101.2521207894129</v>
      </c>
      <c r="K91">
        <v>98.417665358240711</v>
      </c>
      <c r="L91">
        <v>97.460823866931733</v>
      </c>
      <c r="M91">
        <v>93.771793274386212</v>
      </c>
      <c r="N91">
        <v>93.964328505151883</v>
      </c>
      <c r="O91">
        <v>100.18206288315487</v>
      </c>
      <c r="P91">
        <v>6.2270577046116919</v>
      </c>
      <c r="Q91">
        <v>100.82468798818888</v>
      </c>
      <c r="R91">
        <v>100.59170094255883</v>
      </c>
      <c r="S91">
        <v>100.76806681058056</v>
      </c>
      <c r="T91">
        <v>100.70876095137771</v>
      </c>
      <c r="U91">
        <v>100.64886715347872</v>
      </c>
      <c r="V91">
        <v>100.57094438842317</v>
      </c>
      <c r="W91">
        <v>100.64886715347872</v>
      </c>
      <c r="X91">
        <v>100.5709443884232</v>
      </c>
      <c r="Y91">
        <v>15286.145709564489</v>
      </c>
      <c r="Z91">
        <v>101.426285844059</v>
      </c>
      <c r="AA91">
        <v>101.6813674793803</v>
      </c>
      <c r="AB91">
        <v>101.48060182951436</v>
      </c>
      <c r="AC91">
        <v>100.78852134823767</v>
      </c>
      <c r="AD91">
        <v>100.94195789228088</v>
      </c>
      <c r="AE91">
        <v>100.76990225745746</v>
      </c>
      <c r="AF91">
        <v>100.1426304359089</v>
      </c>
      <c r="AG91">
        <v>100.66658902872419</v>
      </c>
      <c r="AH91">
        <v>100.49773782088414</v>
      </c>
      <c r="AI91">
        <v>141.97032190811615</v>
      </c>
      <c r="AJ91">
        <v>109.6563271286708</v>
      </c>
      <c r="AK91">
        <v>139.66744556769271</v>
      </c>
      <c r="AL91">
        <v>100.2327033592818</v>
      </c>
      <c r="AM91">
        <v>100.13053746125338</v>
      </c>
      <c r="AN91">
        <v>100.23365599650434</v>
      </c>
      <c r="AO91">
        <v>100.12803646124659</v>
      </c>
      <c r="AP91">
        <v>100.11959835651817</v>
      </c>
      <c r="AQ91">
        <v>105.39979067329402</v>
      </c>
      <c r="AR91">
        <v>177.06147166475526</v>
      </c>
      <c r="AS91">
        <v>53.683809507445652</v>
      </c>
      <c r="AT91">
        <v>53.410675547241546</v>
      </c>
      <c r="AU91">
        <v>120.7730326807166</v>
      </c>
      <c r="AV91">
        <v>162.62364668104237</v>
      </c>
      <c r="AW91">
        <v>172.63165679772874</v>
      </c>
      <c r="AX91">
        <v>75.502222222222215</v>
      </c>
      <c r="AY91">
        <v>161.53943302983433</v>
      </c>
      <c r="AZ91">
        <v>125.12649973455309</v>
      </c>
      <c r="BA91">
        <v>-109.7451355</v>
      </c>
      <c r="BB91">
        <v>2998.7149798999999</v>
      </c>
      <c r="BC91">
        <v>2888.9698444000001</v>
      </c>
    </row>
    <row r="92" spans="1:55">
      <c r="A92" t="s">
        <v>646</v>
      </c>
      <c r="B92">
        <v>100.32705883047741</v>
      </c>
      <c r="C92">
        <v>100.46802011723186</v>
      </c>
      <c r="D92">
        <v>102.46202459384943</v>
      </c>
      <c r="E92">
        <v>102.08963961696945</v>
      </c>
      <c r="F92">
        <v>5.7123719128458559</v>
      </c>
      <c r="G92">
        <v>3.5708358827703256E-2</v>
      </c>
      <c r="H92">
        <v>3.2931528835507304</v>
      </c>
      <c r="I92">
        <v>2.051182086502386</v>
      </c>
      <c r="J92">
        <v>107.7445539065875</v>
      </c>
      <c r="K92">
        <v>100</v>
      </c>
      <c r="L92">
        <v>100</v>
      </c>
      <c r="M92">
        <v>100</v>
      </c>
      <c r="N92">
        <v>100</v>
      </c>
      <c r="O92">
        <v>100.35963052978362</v>
      </c>
      <c r="P92">
        <v>6.1848663843438381</v>
      </c>
      <c r="Q92">
        <v>101.33868132519599</v>
      </c>
      <c r="R92">
        <v>101.06895996991723</v>
      </c>
      <c r="S92">
        <v>102.6377031466978</v>
      </c>
      <c r="T92">
        <v>101.99864044440427</v>
      </c>
      <c r="U92">
        <v>101.82243540160884</v>
      </c>
      <c r="V92">
        <v>101.38348289524043</v>
      </c>
      <c r="W92">
        <v>101.82243540160883</v>
      </c>
      <c r="X92">
        <v>101.38348289524046</v>
      </c>
      <c r="Y92">
        <v>15997.296152446199</v>
      </c>
      <c r="Z92">
        <v>104.61665445730731</v>
      </c>
      <c r="AA92">
        <v>104.02014655800788</v>
      </c>
      <c r="AB92">
        <v>103.87844439406851</v>
      </c>
      <c r="AC92">
        <v>102.8377308384792</v>
      </c>
      <c r="AD92">
        <v>101.68214018657775</v>
      </c>
      <c r="AE92">
        <v>101.30203131862076</v>
      </c>
      <c r="AF92">
        <v>105.24650004343694</v>
      </c>
      <c r="AG92">
        <v>104.27159330221036</v>
      </c>
      <c r="AH92">
        <v>104.31725620321922</v>
      </c>
      <c r="AI92">
        <v>159.10785580496619</v>
      </c>
      <c r="AJ92">
        <v>114.91540853473816</v>
      </c>
      <c r="AK92">
        <v>161.14905609073693</v>
      </c>
      <c r="AL92">
        <v>101.48996434094094</v>
      </c>
      <c r="AM92">
        <v>101.11680062151039</v>
      </c>
      <c r="AN92">
        <v>101.49147418940947</v>
      </c>
      <c r="AO92">
        <v>100.98799569588101</v>
      </c>
      <c r="AP92">
        <v>100.70594881449124</v>
      </c>
      <c r="AQ92">
        <v>116.68679475670967</v>
      </c>
      <c r="AR92">
        <v>203.87526663334782</v>
      </c>
      <c r="AS92">
        <v>53.532308222858177</v>
      </c>
      <c r="AT92">
        <v>53.784351397471454</v>
      </c>
      <c r="AU92">
        <v>136.64127947070588</v>
      </c>
      <c r="AV92">
        <v>161.37369474294732</v>
      </c>
      <c r="AW92">
        <v>191.60518192142953</v>
      </c>
      <c r="AX92">
        <v>85.440723801158583</v>
      </c>
      <c r="AY92">
        <v>178.26069735086966</v>
      </c>
      <c r="AZ92">
        <v>150.04990715533026</v>
      </c>
      <c r="BA92">
        <v>-98.162089600000002</v>
      </c>
      <c r="BB92">
        <v>3193.2392841000001</v>
      </c>
      <c r="BC92">
        <v>3095.0771945000001</v>
      </c>
    </row>
    <row r="93" spans="1:55">
      <c r="A93" t="s">
        <v>647</v>
      </c>
      <c r="B93">
        <v>101.1135922981055</v>
      </c>
      <c r="C93">
        <v>101.64322005398942</v>
      </c>
      <c r="D93">
        <v>104.09087888603113</v>
      </c>
      <c r="E93">
        <v>103.04375342088726</v>
      </c>
      <c r="F93">
        <v>-59.192802614970766</v>
      </c>
      <c r="G93">
        <v>-0.36066168076070321</v>
      </c>
      <c r="H93">
        <v>3.7143883638757003</v>
      </c>
      <c r="I93">
        <v>2.2584412289728886</v>
      </c>
      <c r="J93">
        <v>111.66979221971995</v>
      </c>
      <c r="K93">
        <v>101.63174252150726</v>
      </c>
      <c r="L93">
        <v>101.85530666381237</v>
      </c>
      <c r="M93">
        <v>104.51514565193081</v>
      </c>
      <c r="N93">
        <v>102.48424993579752</v>
      </c>
      <c r="O93">
        <v>100.65719496576396</v>
      </c>
      <c r="P93">
        <v>6.0969291457780015</v>
      </c>
      <c r="Q93">
        <v>102.73785449684905</v>
      </c>
      <c r="R93">
        <v>101.73247696539846</v>
      </c>
      <c r="S93">
        <v>103.70675823519323</v>
      </c>
      <c r="T93">
        <v>102.78636218787354</v>
      </c>
      <c r="U93">
        <v>102.85673006904649</v>
      </c>
      <c r="V93">
        <v>101.9884691594095</v>
      </c>
      <c r="W93">
        <v>102.85673006904648</v>
      </c>
      <c r="X93">
        <v>101.98846915940953</v>
      </c>
      <c r="Y93">
        <v>16412.27936666907</v>
      </c>
      <c r="Z93">
        <v>107.82667671804373</v>
      </c>
      <c r="AA93">
        <v>106.2970694817737</v>
      </c>
      <c r="AB93">
        <v>106.76018434337884</v>
      </c>
      <c r="AC93">
        <v>105.11548697061765</v>
      </c>
      <c r="AD93">
        <v>102.86070912559167</v>
      </c>
      <c r="AE93">
        <v>101.97541107984716</v>
      </c>
      <c r="AF93">
        <v>107.4427471880833</v>
      </c>
      <c r="AG93">
        <v>105.98058663121952</v>
      </c>
      <c r="AH93">
        <v>106.76374845308658</v>
      </c>
      <c r="AI93">
        <v>179.30775177614191</v>
      </c>
      <c r="AJ93">
        <v>135.65820921117222</v>
      </c>
      <c r="AK93">
        <v>191.48078322031208</v>
      </c>
      <c r="AL93">
        <v>102.80919901339307</v>
      </c>
      <c r="AM93">
        <v>102.20941748390953</v>
      </c>
      <c r="AN93">
        <v>102.81403500827113</v>
      </c>
      <c r="AO93">
        <v>102.40718150358379</v>
      </c>
      <c r="AP93">
        <v>101.54810666892944</v>
      </c>
      <c r="AQ93">
        <v>127.8889331631231</v>
      </c>
      <c r="AR93">
        <v>227.04549360447854</v>
      </c>
      <c r="AS93">
        <v>55.003349321678996</v>
      </c>
      <c r="AT93">
        <v>54.865671396921506</v>
      </c>
      <c r="AU93">
        <v>150.36927974948762</v>
      </c>
      <c r="AV93">
        <v>178.13434783896523</v>
      </c>
      <c r="AW93">
        <v>221.16650892590164</v>
      </c>
      <c r="AX93">
        <v>99.680342305037968</v>
      </c>
      <c r="AY93">
        <v>206.79640182909009</v>
      </c>
      <c r="AZ93">
        <v>181.08629254086364</v>
      </c>
      <c r="BA93">
        <v>-157.34724309999999</v>
      </c>
      <c r="BB93">
        <v>3447.6563104000002</v>
      </c>
      <c r="BC93">
        <v>3290.3090673000002</v>
      </c>
    </row>
    <row r="94" spans="1:55">
      <c r="A94" t="s">
        <v>648</v>
      </c>
      <c r="B94">
        <v>100.18848106644357</v>
      </c>
      <c r="C94">
        <v>100.24350699754835</v>
      </c>
      <c r="D94">
        <v>104.53187829469512</v>
      </c>
      <c r="E94">
        <v>103.16608263226061</v>
      </c>
      <c r="F94">
        <v>-49.486409146768175</v>
      </c>
      <c r="G94">
        <v>-0.29046761075651617</v>
      </c>
      <c r="H94">
        <v>3.6921528761459066</v>
      </c>
      <c r="I94">
        <v>2.4163830299542717</v>
      </c>
      <c r="J94">
        <v>109.70080101021549</v>
      </c>
      <c r="K94">
        <v>103.48261163044232</v>
      </c>
      <c r="L94">
        <v>103.44737568010716</v>
      </c>
      <c r="M94">
        <v>103.6248839757296</v>
      </c>
      <c r="N94">
        <v>100.31826729866469</v>
      </c>
      <c r="O94">
        <v>100.80859903532728</v>
      </c>
      <c r="P94">
        <v>6.0729271300052963</v>
      </c>
      <c r="Q94">
        <v>103.57966926927659</v>
      </c>
      <c r="R94">
        <v>102.24296631689811</v>
      </c>
      <c r="S94">
        <v>105.21448941602556</v>
      </c>
      <c r="T94">
        <v>103.85837085281257</v>
      </c>
      <c r="U94">
        <v>103.72093889518963</v>
      </c>
      <c r="V94">
        <v>102.57241220542565</v>
      </c>
      <c r="W94">
        <v>103.72093889518959</v>
      </c>
      <c r="X94">
        <v>102.57241220542568</v>
      </c>
      <c r="Y94">
        <v>17036.807999997647</v>
      </c>
      <c r="Z94">
        <v>109.02555994003265</v>
      </c>
      <c r="AA94">
        <v>106.97611824849722</v>
      </c>
      <c r="AB94">
        <v>107.3410071222123</v>
      </c>
      <c r="AC94">
        <v>107.8525171711055</v>
      </c>
      <c r="AD94">
        <v>104.01557505919001</v>
      </c>
      <c r="AE94">
        <v>102.74126341060503</v>
      </c>
      <c r="AF94">
        <v>107.93294678898584</v>
      </c>
      <c r="AG94">
        <v>106.09633812863757</v>
      </c>
      <c r="AH94">
        <v>106.71842088070068</v>
      </c>
      <c r="AI94">
        <v>189.51640308416697</v>
      </c>
      <c r="AJ94">
        <v>137.18899283704644</v>
      </c>
      <c r="AK94">
        <v>186.15202097686679</v>
      </c>
      <c r="AL94">
        <v>103.9383704260833</v>
      </c>
      <c r="AM94">
        <v>103.21629792165913</v>
      </c>
      <c r="AN94">
        <v>103.9435421234721</v>
      </c>
      <c r="AO94">
        <v>103.29740054231631</v>
      </c>
      <c r="AP94">
        <v>102.21918804387072</v>
      </c>
      <c r="AQ94">
        <v>130.14973965584784</v>
      </c>
      <c r="AR94">
        <v>219.90154728444017</v>
      </c>
      <c r="AS94">
        <v>52.826745608389757</v>
      </c>
      <c r="AT94">
        <v>52.762981358152466</v>
      </c>
      <c r="AU94">
        <v>152.0335707780593</v>
      </c>
      <c r="AV94">
        <v>204.41591625846414</v>
      </c>
      <c r="AW94">
        <v>243.7343581075485</v>
      </c>
      <c r="AX94">
        <v>110.11515632515632</v>
      </c>
      <c r="AY94">
        <v>223.51139219151534</v>
      </c>
      <c r="AZ94">
        <v>173.99656966649306</v>
      </c>
      <c r="BA94">
        <v>-176.53422549999999</v>
      </c>
      <c r="BB94">
        <v>3595.2191859</v>
      </c>
      <c r="BC94">
        <v>3418.6849603999999</v>
      </c>
    </row>
    <row r="95" spans="1:55">
      <c r="A95" t="s">
        <v>649</v>
      </c>
      <c r="B95">
        <v>98.644957204939075</v>
      </c>
      <c r="C95">
        <v>98.124160008561645</v>
      </c>
      <c r="D95">
        <v>105.81703243423947</v>
      </c>
      <c r="E95">
        <v>104.562183279796</v>
      </c>
      <c r="F95">
        <v>-51.736246647359891</v>
      </c>
      <c r="G95">
        <v>-0.301692600164852</v>
      </c>
      <c r="H95">
        <v>3.2350632617506783</v>
      </c>
      <c r="I95">
        <v>2.5386878414501903</v>
      </c>
      <c r="J95">
        <v>92.838428725674021</v>
      </c>
      <c r="K95">
        <v>106.34174282418607</v>
      </c>
      <c r="L95">
        <v>106.90067606583271</v>
      </c>
      <c r="M95">
        <v>82.425630113796927</v>
      </c>
      <c r="N95">
        <v>83.375022705907597</v>
      </c>
      <c r="O95">
        <v>101.02651126451394</v>
      </c>
      <c r="P95">
        <v>6.0717682658332484</v>
      </c>
      <c r="Q95">
        <v>104.77871267270721</v>
      </c>
      <c r="R95">
        <v>103.0804965421996</v>
      </c>
      <c r="S95">
        <v>107.00294138006188</v>
      </c>
      <c r="T95">
        <v>105.59062693951633</v>
      </c>
      <c r="U95">
        <v>104.61914976828342</v>
      </c>
      <c r="V95">
        <v>103.30900085616864</v>
      </c>
      <c r="W95">
        <v>104.61914976828336</v>
      </c>
      <c r="X95">
        <v>103.30900085616865</v>
      </c>
      <c r="Y95">
        <v>17148.662784267821</v>
      </c>
      <c r="Z95">
        <v>110.46089184494465</v>
      </c>
      <c r="AA95">
        <v>108.39276057161757</v>
      </c>
      <c r="AB95">
        <v>108.57888743394987</v>
      </c>
      <c r="AC95">
        <v>109.75623344538985</v>
      </c>
      <c r="AD95">
        <v>104.90570218248595</v>
      </c>
      <c r="AE95">
        <v>103.36604826798288</v>
      </c>
      <c r="AF95">
        <v>109.19492268326363</v>
      </c>
      <c r="AG95">
        <v>107.94834497678383</v>
      </c>
      <c r="AH95">
        <v>108.16516461164179</v>
      </c>
      <c r="AI95">
        <v>184.90434674123915</v>
      </c>
      <c r="AJ95">
        <v>132.03876091318591</v>
      </c>
      <c r="AK95">
        <v>182.56271988601634</v>
      </c>
      <c r="AL95">
        <v>104.8412080821217</v>
      </c>
      <c r="AM95">
        <v>103.90960798680078</v>
      </c>
      <c r="AN95">
        <v>104.84756855896462</v>
      </c>
      <c r="AO95">
        <v>104.07018501929024</v>
      </c>
      <c r="AP95">
        <v>102.81129498062516</v>
      </c>
      <c r="AQ95">
        <v>124.71957262995996</v>
      </c>
      <c r="AR95">
        <v>212.85762607538595</v>
      </c>
      <c r="AS95">
        <v>50.773976783450117</v>
      </c>
      <c r="AT95">
        <v>50.635163132254185</v>
      </c>
      <c r="AU95">
        <v>150.17278916014098</v>
      </c>
      <c r="AV95">
        <v>217.7521220200174</v>
      </c>
      <c r="AW95">
        <v>235.14265347979187</v>
      </c>
      <c r="AX95">
        <v>103.22976640107073</v>
      </c>
      <c r="AY95">
        <v>210.48147134375856</v>
      </c>
      <c r="AZ95">
        <v>154.8879452696209</v>
      </c>
      <c r="BA95">
        <v>-152.91727030000001</v>
      </c>
      <c r="BB95">
        <v>3638.9993678000001</v>
      </c>
      <c r="BC95">
        <v>3486.0820975000001</v>
      </c>
    </row>
    <row r="96" spans="1:55">
      <c r="A96" t="s">
        <v>650</v>
      </c>
      <c r="B96">
        <v>98.49348114422888</v>
      </c>
      <c r="C96">
        <v>98.357530036631786</v>
      </c>
      <c r="D96">
        <v>106.23351385016385</v>
      </c>
      <c r="E96">
        <v>104.89190987543373</v>
      </c>
      <c r="F96">
        <v>-52.754509481070542</v>
      </c>
      <c r="G96">
        <v>-0.31263264558090298</v>
      </c>
      <c r="H96">
        <v>3.0484608495616246</v>
      </c>
      <c r="I96">
        <v>2.4398964677910029</v>
      </c>
      <c r="J96">
        <v>97.541977480457902</v>
      </c>
      <c r="K96">
        <v>108.39659627538609</v>
      </c>
      <c r="L96">
        <v>108.76062168586245</v>
      </c>
      <c r="M96">
        <v>86.333142596030712</v>
      </c>
      <c r="N96">
        <v>88.092210283023761</v>
      </c>
      <c r="O96">
        <v>101.42110505044009</v>
      </c>
      <c r="P96">
        <v>5.9988481821612334</v>
      </c>
      <c r="Q96">
        <v>105.94118044722987</v>
      </c>
      <c r="R96">
        <v>103.71677617120285</v>
      </c>
      <c r="S96">
        <v>108.53516388178086</v>
      </c>
      <c r="T96">
        <v>106.86367293486474</v>
      </c>
      <c r="U96">
        <v>105.43272471852696</v>
      </c>
      <c r="V96">
        <v>103.88077027294027</v>
      </c>
      <c r="W96">
        <v>105.43272471852691</v>
      </c>
      <c r="X96">
        <v>103.88077027294027</v>
      </c>
      <c r="Y96">
        <v>16874.28047798634</v>
      </c>
      <c r="Z96">
        <v>112.7116463011242</v>
      </c>
      <c r="AA96">
        <v>109.7135447571592</v>
      </c>
      <c r="AB96">
        <v>109.88271107686234</v>
      </c>
      <c r="AC96">
        <v>111.28464454518083</v>
      </c>
      <c r="AD96">
        <v>106.14325697364426</v>
      </c>
      <c r="AE96">
        <v>104.13558368151567</v>
      </c>
      <c r="AF96">
        <v>109.30858216924264</v>
      </c>
      <c r="AG96">
        <v>107.99090791462267</v>
      </c>
      <c r="AH96">
        <v>107.97356445730222</v>
      </c>
      <c r="AI96">
        <v>176.16192473660647</v>
      </c>
      <c r="AJ96">
        <v>119.14328582821764</v>
      </c>
      <c r="AK96">
        <v>170.35915237016917</v>
      </c>
      <c r="AL96">
        <v>105.74393387742623</v>
      </c>
      <c r="AM96">
        <v>104.63274217806308</v>
      </c>
      <c r="AN96">
        <v>105.75056037491031</v>
      </c>
      <c r="AO96">
        <v>104.85026610702234</v>
      </c>
      <c r="AP96">
        <v>103.42945528305522</v>
      </c>
      <c r="AQ96">
        <v>117.12733313601079</v>
      </c>
      <c r="AR96">
        <v>177.62220572214309</v>
      </c>
      <c r="AS96">
        <v>49.989965750684895</v>
      </c>
      <c r="AT96">
        <v>50.143038875836545</v>
      </c>
      <c r="AU96">
        <v>136.6404510917902</v>
      </c>
      <c r="AV96">
        <v>217.00215304194327</v>
      </c>
      <c r="AW96">
        <v>233.3287221395673</v>
      </c>
      <c r="AX96">
        <v>103.1819672919673</v>
      </c>
      <c r="AY96">
        <v>214.45460885013316</v>
      </c>
      <c r="AZ96">
        <v>134.15040922602984</v>
      </c>
      <c r="BA96">
        <v>-191.05247589999999</v>
      </c>
      <c r="BB96">
        <v>3588.8902935000001</v>
      </c>
      <c r="BC96">
        <v>3397.8378176000001</v>
      </c>
    </row>
    <row r="97" spans="1:55">
      <c r="A97" t="s">
        <v>651</v>
      </c>
      <c r="B97">
        <v>101.17678837672679</v>
      </c>
      <c r="C97">
        <v>101.29582249399375</v>
      </c>
      <c r="D97">
        <v>107.63397113601974</v>
      </c>
      <c r="E97">
        <v>105.68881002049125</v>
      </c>
      <c r="F97">
        <v>-68.511977613710229</v>
      </c>
      <c r="G97">
        <v>-0.3999718718063755</v>
      </c>
      <c r="H97">
        <v>2.7852759741812725</v>
      </c>
      <c r="I97">
        <v>2.465546978809702</v>
      </c>
      <c r="J97">
        <v>107.4520151825149</v>
      </c>
      <c r="K97">
        <v>110.53889216811727</v>
      </c>
      <c r="L97">
        <v>110.33606200273813</v>
      </c>
      <c r="M97">
        <v>96.544462626641845</v>
      </c>
      <c r="N97">
        <v>97.377225596138473</v>
      </c>
      <c r="O97">
        <v>101.64947634814452</v>
      </c>
      <c r="P97">
        <v>5.9731185880393936</v>
      </c>
      <c r="Q97">
        <v>106.79590453332541</v>
      </c>
      <c r="R97">
        <v>104.38307636680952</v>
      </c>
      <c r="S97">
        <v>109.97569752127647</v>
      </c>
      <c r="T97">
        <v>108.00508064613237</v>
      </c>
      <c r="U97">
        <v>106.5482650658482</v>
      </c>
      <c r="V97">
        <v>104.67628377843808</v>
      </c>
      <c r="W97">
        <v>106.54826506584816</v>
      </c>
      <c r="X97">
        <v>104.67628377843808</v>
      </c>
      <c r="Y97">
        <v>17129.198936988389</v>
      </c>
      <c r="Z97">
        <v>113.25494262376313</v>
      </c>
      <c r="AA97">
        <v>110.23533169883915</v>
      </c>
      <c r="AB97">
        <v>110.65213266874355</v>
      </c>
      <c r="AC97">
        <v>113.58522473208433</v>
      </c>
      <c r="AD97">
        <v>107.07589683224586</v>
      </c>
      <c r="AE97">
        <v>104.76705791592606</v>
      </c>
      <c r="AF97">
        <v>111.08517281712109</v>
      </c>
      <c r="AG97">
        <v>109.49545457367759</v>
      </c>
      <c r="AH97">
        <v>109.72481086643242</v>
      </c>
      <c r="AI97">
        <v>182.66023954473579</v>
      </c>
      <c r="AJ97">
        <v>113.52933467096973</v>
      </c>
      <c r="AK97">
        <v>167.57347251062501</v>
      </c>
      <c r="AL97">
        <v>106.59343982744922</v>
      </c>
      <c r="AM97">
        <v>105.34977023522954</v>
      </c>
      <c r="AN97">
        <v>106.60097990571317</v>
      </c>
      <c r="AO97">
        <v>105.51829068593861</v>
      </c>
      <c r="AP97">
        <v>103.98593315929526</v>
      </c>
      <c r="AQ97">
        <v>120.51241957129527</v>
      </c>
      <c r="AR97">
        <v>186.06337472593748</v>
      </c>
      <c r="AS97">
        <v>51.218469979456017</v>
      </c>
      <c r="AT97">
        <v>51.305003363424554</v>
      </c>
      <c r="AU97">
        <v>139.71229195842122</v>
      </c>
      <c r="AV97">
        <v>205.88505686591961</v>
      </c>
      <c r="AW97">
        <v>244.78334357180054</v>
      </c>
      <c r="AX97">
        <v>112.46061327561328</v>
      </c>
      <c r="AY97">
        <v>236.72431250922139</v>
      </c>
      <c r="AZ97">
        <v>135.48549803268997</v>
      </c>
      <c r="BA97">
        <v>-205.6373456</v>
      </c>
      <c r="BB97">
        <v>3646.2112213999999</v>
      </c>
      <c r="BC97">
        <v>3440.5738758000002</v>
      </c>
    </row>
    <row r="98" spans="1:55">
      <c r="A98" t="s">
        <v>652</v>
      </c>
      <c r="B98">
        <v>100.52745570953637</v>
      </c>
      <c r="C98">
        <v>100.73627343476687</v>
      </c>
      <c r="D98">
        <v>107.91280387955233</v>
      </c>
      <c r="E98">
        <v>105.75475372354406</v>
      </c>
      <c r="F98">
        <v>-36.154900057308581</v>
      </c>
      <c r="G98">
        <v>-0.21313562420879237</v>
      </c>
      <c r="H98">
        <v>2.6532467319288382</v>
      </c>
      <c r="I98">
        <v>2.3773039080172382</v>
      </c>
      <c r="J98">
        <v>101.56033419175901</v>
      </c>
      <c r="K98">
        <v>112.44112203022539</v>
      </c>
      <c r="L98">
        <v>112.64079847414298</v>
      </c>
      <c r="M98">
        <v>88.380594696857457</v>
      </c>
      <c r="N98">
        <v>91.052695577424515</v>
      </c>
      <c r="O98">
        <v>102.01377050555423</v>
      </c>
      <c r="P98">
        <v>5.9282592466016757</v>
      </c>
      <c r="Q98">
        <v>106.98060922269576</v>
      </c>
      <c r="R98">
        <v>104.54405667241042</v>
      </c>
      <c r="S98">
        <v>110.9722012204917</v>
      </c>
      <c r="T98">
        <v>108.6358149104236</v>
      </c>
      <c r="U98">
        <v>107.12373759892384</v>
      </c>
      <c r="V98">
        <v>105.00499061525007</v>
      </c>
      <c r="W98">
        <v>107.1237375989238</v>
      </c>
      <c r="X98">
        <v>105.00499061525008</v>
      </c>
      <c r="Y98">
        <v>16963.330363717349</v>
      </c>
      <c r="Z98">
        <v>114.507975630518</v>
      </c>
      <c r="AA98">
        <v>111.19052436870093</v>
      </c>
      <c r="AB98">
        <v>111.53714223677207</v>
      </c>
      <c r="AC98">
        <v>114.80011342300952</v>
      </c>
      <c r="AD98">
        <v>107.56841405859802</v>
      </c>
      <c r="AE98">
        <v>104.99760842456729</v>
      </c>
      <c r="AF98">
        <v>112.17516267682078</v>
      </c>
      <c r="AG98">
        <v>110.2969577153893</v>
      </c>
      <c r="AH98">
        <v>110.66879936612655</v>
      </c>
      <c r="AI98">
        <v>173.21931029794703</v>
      </c>
      <c r="AJ98">
        <v>106.13088668887355</v>
      </c>
      <c r="AK98">
        <v>145.43636495370455</v>
      </c>
      <c r="AL98">
        <v>107.37930452343527</v>
      </c>
      <c r="AM98">
        <v>105.89820303689315</v>
      </c>
      <c r="AN98">
        <v>107.38931553338438</v>
      </c>
      <c r="AO98">
        <v>106.25460371971378</v>
      </c>
      <c r="AP98">
        <v>104.55334584039157</v>
      </c>
      <c r="AQ98">
        <v>118.4869964672004</v>
      </c>
      <c r="AR98">
        <v>177.43568885476176</v>
      </c>
      <c r="AS98">
        <v>49.836298267058545</v>
      </c>
      <c r="AT98">
        <v>50.206498275640605</v>
      </c>
      <c r="AU98">
        <v>136.29259912129967</v>
      </c>
      <c r="AV98">
        <v>212.26899749745976</v>
      </c>
      <c r="AW98">
        <v>226.6328503790854</v>
      </c>
      <c r="AX98">
        <v>102.87905452035885</v>
      </c>
      <c r="AY98">
        <v>218.15576265653331</v>
      </c>
      <c r="AZ98">
        <v>130.88056635516628</v>
      </c>
      <c r="BA98">
        <v>-163.3644572</v>
      </c>
      <c r="BB98">
        <v>3600.7325037999999</v>
      </c>
      <c r="BC98">
        <v>3437.3680466000001</v>
      </c>
    </row>
    <row r="99" spans="1:55">
      <c r="A99" t="s">
        <v>653</v>
      </c>
      <c r="B99">
        <v>100.13301936976897</v>
      </c>
      <c r="C99">
        <v>100.36246783212489</v>
      </c>
      <c r="D99">
        <v>108.23744401071656</v>
      </c>
      <c r="E99">
        <v>105.74290441154547</v>
      </c>
      <c r="F99">
        <v>-23.289449013735275</v>
      </c>
      <c r="G99">
        <v>-0.13636654995142974</v>
      </c>
      <c r="H99">
        <v>2.3351978088592258</v>
      </c>
      <c r="I99">
        <v>2.2228252920676961</v>
      </c>
      <c r="J99">
        <v>106.05142836231376</v>
      </c>
      <c r="K99">
        <v>114.53195202804427</v>
      </c>
      <c r="L99">
        <v>115.84831685342279</v>
      </c>
      <c r="M99">
        <v>94.114343042501076</v>
      </c>
      <c r="N99">
        <v>95.681332524307678</v>
      </c>
      <c r="O99">
        <v>102.22438070224587</v>
      </c>
      <c r="P99">
        <v>5.9151687045801564</v>
      </c>
      <c r="Q99">
        <v>108.2632859459507</v>
      </c>
      <c r="R99">
        <v>105.21207318495468</v>
      </c>
      <c r="S99">
        <v>111.19595704214376</v>
      </c>
      <c r="T99">
        <v>108.50889646746234</v>
      </c>
      <c r="U99">
        <v>107.92627838439898</v>
      </c>
      <c r="V99">
        <v>105.48588294125089</v>
      </c>
      <c r="W99">
        <v>107.92627838439894</v>
      </c>
      <c r="X99">
        <v>105.48588294125092</v>
      </c>
      <c r="Y99">
        <v>17078.56437083022</v>
      </c>
      <c r="Z99">
        <v>115.04879207915755</v>
      </c>
      <c r="AA99">
        <v>111.50782700960879</v>
      </c>
      <c r="AB99">
        <v>111.89767521500175</v>
      </c>
      <c r="AC99">
        <v>116.48865834771873</v>
      </c>
      <c r="AD99">
        <v>107.97261908013714</v>
      </c>
      <c r="AE99">
        <v>105.24276546110288</v>
      </c>
      <c r="AF99">
        <v>114.21257576530783</v>
      </c>
      <c r="AG99">
        <v>111.27346819595756</v>
      </c>
      <c r="AH99">
        <v>111.67030248294849</v>
      </c>
      <c r="AI99">
        <v>170.99852738161982</v>
      </c>
      <c r="AJ99">
        <v>107.87462949756802</v>
      </c>
      <c r="AK99">
        <v>134.0052856295838</v>
      </c>
      <c r="AL99">
        <v>108.13713874532603</v>
      </c>
      <c r="AM99">
        <v>106.46429526472839</v>
      </c>
      <c r="AN99">
        <v>108.14857853736441</v>
      </c>
      <c r="AO99">
        <v>106.957157469108</v>
      </c>
      <c r="AP99">
        <v>105.07080159229652</v>
      </c>
      <c r="AQ99">
        <v>123.59173989506819</v>
      </c>
      <c r="AR99">
        <v>159.1644800872912</v>
      </c>
      <c r="AS99">
        <v>48.771345393363937</v>
      </c>
      <c r="AT99">
        <v>49.214135656701451</v>
      </c>
      <c r="AU99">
        <v>133.98032484989082</v>
      </c>
      <c r="AV99">
        <v>209.74931607084022</v>
      </c>
      <c r="AW99">
        <v>224.54440735997662</v>
      </c>
      <c r="AX99">
        <v>102.7828519982433</v>
      </c>
      <c r="AY99">
        <v>219.5734122379574</v>
      </c>
      <c r="AZ99">
        <v>121.94094883814019</v>
      </c>
      <c r="BA99">
        <v>-153.93723320000001</v>
      </c>
      <c r="BB99">
        <v>3549.0213935000002</v>
      </c>
      <c r="BC99">
        <v>3395.0841602999999</v>
      </c>
    </row>
    <row r="100" spans="1:55">
      <c r="A100" t="s">
        <v>654</v>
      </c>
      <c r="B100">
        <v>101.40488818700351</v>
      </c>
      <c r="C100">
        <v>101.55139005252943</v>
      </c>
      <c r="D100">
        <v>108.80474190864201</v>
      </c>
      <c r="E100">
        <v>105.63705983043285</v>
      </c>
      <c r="F100">
        <v>-65.059717231356927</v>
      </c>
      <c r="G100">
        <v>-0.37405595959066873</v>
      </c>
      <c r="H100">
        <v>2.1648526292638457</v>
      </c>
      <c r="I100">
        <v>2.1875623708127745</v>
      </c>
      <c r="J100">
        <v>111.49638588709792</v>
      </c>
      <c r="K100">
        <v>116.6533074292164</v>
      </c>
      <c r="L100">
        <v>118.8292377817292</v>
      </c>
      <c r="M100">
        <v>98.787778779240369</v>
      </c>
      <c r="N100">
        <v>100.80971648943799</v>
      </c>
      <c r="O100">
        <v>102.3118909340775</v>
      </c>
      <c r="P100">
        <v>5.9140693254187546</v>
      </c>
      <c r="Q100">
        <v>109.35487704167417</v>
      </c>
      <c r="R100">
        <v>105.91340814835522</v>
      </c>
      <c r="S100">
        <v>112.30705932523009</v>
      </c>
      <c r="T100">
        <v>109.46589227451508</v>
      </c>
      <c r="U100">
        <v>108.6246369526371</v>
      </c>
      <c r="V100">
        <v>105.85603037225735</v>
      </c>
      <c r="W100">
        <v>108.62463695263706</v>
      </c>
      <c r="X100">
        <v>105.85603037225737</v>
      </c>
      <c r="Y100">
        <v>17393.043891762107</v>
      </c>
      <c r="Z100">
        <v>115.66660825566166</v>
      </c>
      <c r="AA100">
        <v>111.46155733502749</v>
      </c>
      <c r="AB100">
        <v>111.98393564669873</v>
      </c>
      <c r="AC100">
        <v>117.65188061735923</v>
      </c>
      <c r="AD100">
        <v>109.04031304086719</v>
      </c>
      <c r="AE100">
        <v>105.71127921536684</v>
      </c>
      <c r="AF100">
        <v>113.40722904668732</v>
      </c>
      <c r="AG100">
        <v>110.7533311915771</v>
      </c>
      <c r="AH100">
        <v>111.55132019096344</v>
      </c>
      <c r="AI100">
        <v>170.79541454717287</v>
      </c>
      <c r="AJ100">
        <v>101.58604596090004</v>
      </c>
      <c r="AK100">
        <v>130.98504699697261</v>
      </c>
      <c r="AL100">
        <v>109.05613670899781</v>
      </c>
      <c r="AM100">
        <v>107.23067020230303</v>
      </c>
      <c r="AN100">
        <v>109.06643525564257</v>
      </c>
      <c r="AO100">
        <v>107.73235671930233</v>
      </c>
      <c r="AP100">
        <v>105.67091166190585</v>
      </c>
      <c r="AQ100">
        <v>120.90166887463441</v>
      </c>
      <c r="AR100">
        <v>165.72666488684743</v>
      </c>
      <c r="AS100">
        <v>49.595854040037032</v>
      </c>
      <c r="AT100">
        <v>50.216562938229352</v>
      </c>
      <c r="AU100">
        <v>134.56458516146418</v>
      </c>
      <c r="AV100">
        <v>211.50596326089354</v>
      </c>
      <c r="AW100">
        <v>223.20237947586315</v>
      </c>
      <c r="AX100">
        <v>101.90713658322352</v>
      </c>
      <c r="AY100">
        <v>215.35037732575395</v>
      </c>
      <c r="AZ100">
        <v>123.44749029846021</v>
      </c>
      <c r="BA100">
        <v>-169.4834463</v>
      </c>
      <c r="BB100">
        <v>3606.6657248000001</v>
      </c>
      <c r="BC100">
        <v>3437.1822784999999</v>
      </c>
    </row>
    <row r="101" spans="1:55">
      <c r="A101" t="s">
        <v>655</v>
      </c>
      <c r="B101">
        <v>100.66769350051506</v>
      </c>
      <c r="C101">
        <v>100.72065493671909</v>
      </c>
      <c r="D101">
        <v>109.64250970800337</v>
      </c>
      <c r="E101">
        <v>106.2455318050163</v>
      </c>
      <c r="F101">
        <v>-14.145443127654588</v>
      </c>
      <c r="G101">
        <v>-8.0826482803765656E-2</v>
      </c>
      <c r="H101">
        <v>2.4267032418279451</v>
      </c>
      <c r="I101">
        <v>2.2752619219844883</v>
      </c>
      <c r="J101">
        <v>118.41654452156311</v>
      </c>
      <c r="K101">
        <v>118.74660613645915</v>
      </c>
      <c r="L101">
        <v>120.96313262597209</v>
      </c>
      <c r="M101">
        <v>101.85371229748385</v>
      </c>
      <c r="N101">
        <v>105.821656065361</v>
      </c>
      <c r="O101">
        <v>102.48489529985012</v>
      </c>
      <c r="P101">
        <v>5.9586703441902245</v>
      </c>
      <c r="Q101">
        <v>109.869616598007</v>
      </c>
      <c r="R101">
        <v>106.4310291252342</v>
      </c>
      <c r="S101">
        <v>112.96458301637438</v>
      </c>
      <c r="T101">
        <v>109.55883519426266</v>
      </c>
      <c r="U101">
        <v>109.62711710943634</v>
      </c>
      <c r="V101">
        <v>106.62614357316862</v>
      </c>
      <c r="W101">
        <v>109.62711710943628</v>
      </c>
      <c r="X101">
        <v>106.62614357316865</v>
      </c>
      <c r="Y101">
        <v>17501.000460452498</v>
      </c>
      <c r="Z101">
        <v>116.94076424711857</v>
      </c>
      <c r="AA101">
        <v>112.47780682953092</v>
      </c>
      <c r="AB101">
        <v>113.31013785759359</v>
      </c>
      <c r="AC101">
        <v>119.5675295872681</v>
      </c>
      <c r="AD101">
        <v>109.92317545093884</v>
      </c>
      <c r="AE101">
        <v>106.45173468038782</v>
      </c>
      <c r="AF101">
        <v>115.25469715406105</v>
      </c>
      <c r="AG101">
        <v>112.14718175712397</v>
      </c>
      <c r="AH101">
        <v>112.93132274481093</v>
      </c>
      <c r="AI101">
        <v>174.15318588381987</v>
      </c>
      <c r="AJ101">
        <v>97.814884544796243</v>
      </c>
      <c r="AK101">
        <v>135.7971539377491</v>
      </c>
      <c r="AL101">
        <v>109.99779186800238</v>
      </c>
      <c r="AM101">
        <v>107.89779754869176</v>
      </c>
      <c r="AN101">
        <v>110.01770785303766</v>
      </c>
      <c r="AO101">
        <v>108.39907423884132</v>
      </c>
      <c r="AP101">
        <v>106.20931557775025</v>
      </c>
      <c r="AQ101">
        <v>121.67708520775115</v>
      </c>
      <c r="AR101">
        <v>180.59289760070644</v>
      </c>
      <c r="AS101">
        <v>50.638164079476475</v>
      </c>
      <c r="AT101">
        <v>51.037921988874132</v>
      </c>
      <c r="AU101">
        <v>136.20105339169254</v>
      </c>
      <c r="AV101">
        <v>214.12967954540764</v>
      </c>
      <c r="AW101">
        <v>229.04997158281017</v>
      </c>
      <c r="AX101">
        <v>105.10398044628481</v>
      </c>
      <c r="AY101">
        <v>224.12239291640739</v>
      </c>
      <c r="AZ101">
        <v>125.22171986866208</v>
      </c>
      <c r="BA101">
        <v>-151.39579069999999</v>
      </c>
      <c r="BB101">
        <v>3662.5474171999999</v>
      </c>
      <c r="BC101">
        <v>3511.1516265</v>
      </c>
    </row>
    <row r="102" spans="1:55">
      <c r="A102" t="s">
        <v>656</v>
      </c>
      <c r="B102">
        <v>101.72778253693654</v>
      </c>
      <c r="C102">
        <v>102.38653380185656</v>
      </c>
      <c r="D102">
        <v>110.86962165060163</v>
      </c>
      <c r="E102">
        <v>107.41050174187785</v>
      </c>
      <c r="F102">
        <v>10.410702596309449</v>
      </c>
      <c r="G102">
        <v>5.9670012675764189E-2</v>
      </c>
      <c r="H102">
        <v>2.4738482518214551</v>
      </c>
      <c r="I102">
        <v>2.2218952069956863</v>
      </c>
      <c r="J102">
        <v>115.90314044016625</v>
      </c>
      <c r="K102">
        <v>120.51226594612685</v>
      </c>
      <c r="L102">
        <v>123.36634038411766</v>
      </c>
      <c r="M102">
        <v>98.387572591517269</v>
      </c>
      <c r="N102">
        <v>104.1175236897105</v>
      </c>
      <c r="O102">
        <v>102.78077466996517</v>
      </c>
      <c r="P102">
        <v>5.9379703821202865</v>
      </c>
      <c r="Q102">
        <v>110.92752212869352</v>
      </c>
      <c r="R102">
        <v>107.20771459903445</v>
      </c>
      <c r="S102">
        <v>114.6493323437453</v>
      </c>
      <c r="T102">
        <v>111.22402485328873</v>
      </c>
      <c r="U102">
        <v>110.60917276971121</v>
      </c>
      <c r="V102">
        <v>107.41274362574748</v>
      </c>
      <c r="W102">
        <v>110.60917276971114</v>
      </c>
      <c r="X102">
        <v>107.41274362574751</v>
      </c>
      <c r="Y102">
        <v>17447.126503691696</v>
      </c>
      <c r="Z102">
        <v>118.27906600574532</v>
      </c>
      <c r="AA102">
        <v>114.3152768730984</v>
      </c>
      <c r="AB102">
        <v>115.20586545597462</v>
      </c>
      <c r="AC102">
        <v>122.97343848973885</v>
      </c>
      <c r="AD102">
        <v>110.78486093654949</v>
      </c>
      <c r="AE102">
        <v>107.13092339942285</v>
      </c>
      <c r="AF102">
        <v>116.73042835464329</v>
      </c>
      <c r="AG102">
        <v>114.00245678344905</v>
      </c>
      <c r="AH102">
        <v>115.19805395097748</v>
      </c>
      <c r="AI102">
        <v>166.72963522038614</v>
      </c>
      <c r="AJ102">
        <v>93.62265372200936</v>
      </c>
      <c r="AK102">
        <v>128.02544286723452</v>
      </c>
      <c r="AL102">
        <v>110.54319184553107</v>
      </c>
      <c r="AM102">
        <v>108.25076012818288</v>
      </c>
      <c r="AN102">
        <v>110.56502405214313</v>
      </c>
      <c r="AO102">
        <v>109.00369324657642</v>
      </c>
      <c r="AP102">
        <v>106.69392966085273</v>
      </c>
      <c r="AQ102">
        <v>125.08612856548946</v>
      </c>
      <c r="AR102">
        <v>159.4049120287128</v>
      </c>
      <c r="AS102">
        <v>50.243133328284586</v>
      </c>
      <c r="AT102">
        <v>50.22212788994517</v>
      </c>
      <c r="AU102">
        <v>129.60469196473449</v>
      </c>
      <c r="AV102">
        <v>219.54763184811989</v>
      </c>
      <c r="AW102">
        <v>220.42991291665103</v>
      </c>
      <c r="AX102">
        <v>99.314299077733878</v>
      </c>
      <c r="AY102">
        <v>214.03451264489092</v>
      </c>
      <c r="AZ102">
        <v>124.96033422764189</v>
      </c>
      <c r="BA102">
        <v>-138.94460309999999</v>
      </c>
      <c r="BB102">
        <v>3599.8464594000002</v>
      </c>
      <c r="BC102">
        <v>3460.9018563</v>
      </c>
    </row>
    <row r="103" spans="1:55">
      <c r="A103" t="s">
        <v>657</v>
      </c>
      <c r="B103">
        <v>102.14467490142511</v>
      </c>
      <c r="C103">
        <v>103.22093266914624</v>
      </c>
      <c r="D103">
        <v>112.12103012317436</v>
      </c>
      <c r="E103">
        <v>108.31633647998989</v>
      </c>
      <c r="F103">
        <v>-30.42174041822766</v>
      </c>
      <c r="G103">
        <v>-0.17326341260257744</v>
      </c>
      <c r="H103">
        <v>2.9567930436310408</v>
      </c>
      <c r="I103">
        <v>2.2330913702951762</v>
      </c>
      <c r="J103">
        <v>123.95273237675899</v>
      </c>
      <c r="K103">
        <v>122.69290799785395</v>
      </c>
      <c r="L103">
        <v>125.73063063950354</v>
      </c>
      <c r="M103">
        <v>106.47114607145278</v>
      </c>
      <c r="N103">
        <v>111.25387962331368</v>
      </c>
      <c r="O103">
        <v>102.87988436068581</v>
      </c>
      <c r="P103">
        <v>5.8736447455191296</v>
      </c>
      <c r="Q103">
        <v>112.25123918421282</v>
      </c>
      <c r="R103">
        <v>108.12992860989714</v>
      </c>
      <c r="S103">
        <v>115.83533308008515</v>
      </c>
      <c r="T103">
        <v>112.56425985334444</v>
      </c>
      <c r="U103">
        <v>111.76418387492728</v>
      </c>
      <c r="V103">
        <v>108.34287144430293</v>
      </c>
      <c r="W103">
        <v>111.76418387492724</v>
      </c>
      <c r="X103">
        <v>108.34287144430294</v>
      </c>
      <c r="Y103">
        <v>17558.086823562375</v>
      </c>
      <c r="Z103">
        <v>119.22547378104906</v>
      </c>
      <c r="AA103">
        <v>115.22599899575788</v>
      </c>
      <c r="AB103">
        <v>116.11723150715261</v>
      </c>
      <c r="AC103">
        <v>126.45341015391023</v>
      </c>
      <c r="AD103">
        <v>111.7870100786545</v>
      </c>
      <c r="AE103">
        <v>108.12686257674555</v>
      </c>
      <c r="AF103">
        <v>118.18951042438104</v>
      </c>
      <c r="AG103">
        <v>114.7232355102288</v>
      </c>
      <c r="AH103">
        <v>115.90658355097128</v>
      </c>
      <c r="AI103">
        <v>168.21987528183385</v>
      </c>
      <c r="AJ103">
        <v>90.626265991050971</v>
      </c>
      <c r="AK103">
        <v>115.58627175818974</v>
      </c>
      <c r="AL103">
        <v>111.59700020216833</v>
      </c>
      <c r="AM103">
        <v>109.04706078222836</v>
      </c>
      <c r="AN103">
        <v>111.62096454935568</v>
      </c>
      <c r="AO103">
        <v>109.81807024363701</v>
      </c>
      <c r="AP103">
        <v>107.32878398235091</v>
      </c>
      <c r="AQ103">
        <v>119.16672873455134</v>
      </c>
      <c r="AR103">
        <v>160.04660345541319</v>
      </c>
      <c r="AS103">
        <v>51.561483187561613</v>
      </c>
      <c r="AT103">
        <v>51.046049088415351</v>
      </c>
      <c r="AU103">
        <v>124.68111351100924</v>
      </c>
      <c r="AV103">
        <v>207.69435525209622</v>
      </c>
      <c r="AW103">
        <v>231.19757686495703</v>
      </c>
      <c r="AX103">
        <v>107.3488208168643</v>
      </c>
      <c r="AY103">
        <v>229.83601301200534</v>
      </c>
      <c r="AZ103">
        <v>119.3579127724981</v>
      </c>
      <c r="BA103">
        <v>-138.12264210000001</v>
      </c>
      <c r="BB103">
        <v>3617.5898133999999</v>
      </c>
      <c r="BC103">
        <v>3479.4671712999998</v>
      </c>
    </row>
    <row r="104" spans="1:55">
      <c r="A104" t="s">
        <v>658</v>
      </c>
      <c r="B104">
        <v>101.48209270231227</v>
      </c>
      <c r="C104">
        <v>102.27291590906481</v>
      </c>
      <c r="D104">
        <v>113.22894533647262</v>
      </c>
      <c r="E104">
        <v>109.31885389938628</v>
      </c>
      <c r="F104">
        <v>-4.7111797081278075</v>
      </c>
      <c r="G104">
        <v>-2.6315465341171192E-2</v>
      </c>
      <c r="H104">
        <v>2.9705681361469769</v>
      </c>
      <c r="I104">
        <v>2.238627849752302</v>
      </c>
      <c r="J104">
        <v>131.53050517434082</v>
      </c>
      <c r="K104">
        <v>124.51770758144696</v>
      </c>
      <c r="L104">
        <v>128.73804331784783</v>
      </c>
      <c r="M104">
        <v>112.30600357890697</v>
      </c>
      <c r="N104">
        <v>118.16423410252999</v>
      </c>
      <c r="O104">
        <v>103.2324678745169</v>
      </c>
      <c r="P104">
        <v>5.7963155486694973</v>
      </c>
      <c r="Q104">
        <v>113.30927616022799</v>
      </c>
      <c r="R104">
        <v>108.85564548741749</v>
      </c>
      <c r="S104">
        <v>116.5981873364166</v>
      </c>
      <c r="T104">
        <v>113.38102933006363</v>
      </c>
      <c r="U104">
        <v>112.75226359875685</v>
      </c>
      <c r="V104">
        <v>109.08318539381617</v>
      </c>
      <c r="W104">
        <v>112.75226359875678</v>
      </c>
      <c r="X104">
        <v>109.08318539381621</v>
      </c>
      <c r="Y104">
        <v>17902.703399118887</v>
      </c>
      <c r="Z104">
        <v>119.20039395004554</v>
      </c>
      <c r="AA104">
        <v>115.74563067619985</v>
      </c>
      <c r="AB104">
        <v>116.40330843087405</v>
      </c>
      <c r="AC104">
        <v>126.59221103589566</v>
      </c>
      <c r="AD104">
        <v>112.3920455137991</v>
      </c>
      <c r="AE104">
        <v>108.64912007101728</v>
      </c>
      <c r="AF104">
        <v>120.28847678621482</v>
      </c>
      <c r="AG104">
        <v>116.53664228576328</v>
      </c>
      <c r="AH104">
        <v>117.25301811783828</v>
      </c>
      <c r="AI104">
        <v>166.06461570334079</v>
      </c>
      <c r="AJ104">
        <v>88.417168157135208</v>
      </c>
      <c r="AK104">
        <v>127.19706625369675</v>
      </c>
      <c r="AL104">
        <v>112.50531479953435</v>
      </c>
      <c r="AM104">
        <v>109.70569234978909</v>
      </c>
      <c r="AN104">
        <v>112.5277900240458</v>
      </c>
      <c r="AO104">
        <v>110.6815886990323</v>
      </c>
      <c r="AP104">
        <v>108.0267075440117</v>
      </c>
      <c r="AQ104">
        <v>116.02610115958352</v>
      </c>
      <c r="AR104">
        <v>161.63332714483218</v>
      </c>
      <c r="AS104">
        <v>52.952205168328412</v>
      </c>
      <c r="AT104">
        <v>52.390938489384887</v>
      </c>
      <c r="AU104">
        <v>122.25255556999173</v>
      </c>
      <c r="AV104">
        <v>211.41657678298949</v>
      </c>
      <c r="AW104">
        <v>229.43763635430551</v>
      </c>
      <c r="AX104">
        <v>104.51065123282517</v>
      </c>
      <c r="AY104">
        <v>220.83097595974081</v>
      </c>
      <c r="AZ104">
        <v>119.51987718218852</v>
      </c>
      <c r="BA104">
        <v>-104.04531709999996</v>
      </c>
      <c r="BB104">
        <v>3658.0556704000001</v>
      </c>
      <c r="BC104">
        <v>3554.0103533000001</v>
      </c>
    </row>
    <row r="105" spans="1:55">
      <c r="A105" t="s">
        <v>659</v>
      </c>
      <c r="B105">
        <v>102.41492277792493</v>
      </c>
      <c r="C105">
        <v>103.18075022064959</v>
      </c>
      <c r="D105">
        <v>114.35310299978266</v>
      </c>
      <c r="E105">
        <v>110.2875094694835</v>
      </c>
      <c r="F105">
        <v>1.276512535433197</v>
      </c>
      <c r="G105">
        <v>7.1306992386015863E-3</v>
      </c>
      <c r="H105">
        <v>3.1841136636601868</v>
      </c>
      <c r="I105">
        <v>2.4019140616498564</v>
      </c>
      <c r="J105">
        <v>130.78581259294387</v>
      </c>
      <c r="K105">
        <v>126.44222682726014</v>
      </c>
      <c r="L105">
        <v>131.03246345011451</v>
      </c>
      <c r="M105">
        <v>112.25739496052979</v>
      </c>
      <c r="N105">
        <v>117.75243155852128</v>
      </c>
      <c r="O105">
        <v>103.18256236610846</v>
      </c>
      <c r="P105">
        <v>5.7725586986564226</v>
      </c>
      <c r="Q105">
        <v>114.16968637537271</v>
      </c>
      <c r="R105">
        <v>109.61499903334241</v>
      </c>
      <c r="S105">
        <v>117.45162266364811</v>
      </c>
      <c r="T105">
        <v>114.17388257078819</v>
      </c>
      <c r="U105">
        <v>113.46246041731709</v>
      </c>
      <c r="V105">
        <v>109.62108030818571</v>
      </c>
      <c r="W105">
        <v>113.46246041731702</v>
      </c>
      <c r="X105">
        <v>109.62108030818574</v>
      </c>
      <c r="Y105">
        <v>17901.646005806524</v>
      </c>
      <c r="Z105">
        <v>121.84014938300534</v>
      </c>
      <c r="AA105">
        <v>117.77804128230662</v>
      </c>
      <c r="AB105">
        <v>118.16173073474022</v>
      </c>
      <c r="AC105">
        <v>129.67679758109239</v>
      </c>
      <c r="AD105">
        <v>113.32767432833457</v>
      </c>
      <c r="AE105">
        <v>109.32896715647932</v>
      </c>
      <c r="AF105">
        <v>121.38780516141085</v>
      </c>
      <c r="AG105">
        <v>117.57160426517923</v>
      </c>
      <c r="AH105">
        <v>118.35414967157246</v>
      </c>
      <c r="AI105">
        <v>169.17014779610824</v>
      </c>
      <c r="AJ105">
        <v>104.05519895690399</v>
      </c>
      <c r="AK105">
        <v>120.43406105812328</v>
      </c>
      <c r="AL105">
        <v>113.2498499207977</v>
      </c>
      <c r="AM105">
        <v>110.37779403599374</v>
      </c>
      <c r="AN105">
        <v>113.2737741160108</v>
      </c>
      <c r="AO105">
        <v>111.43528753580408</v>
      </c>
      <c r="AP105">
        <v>108.63506071615511</v>
      </c>
      <c r="AQ105">
        <v>122.30409468735449</v>
      </c>
      <c r="AR105">
        <v>154.19160501396087</v>
      </c>
      <c r="AS105">
        <v>52.629003037120242</v>
      </c>
      <c r="AT105">
        <v>51.971276516888707</v>
      </c>
      <c r="AU105">
        <v>125.51823772272421</v>
      </c>
      <c r="AV105">
        <v>232.09940080817515</v>
      </c>
      <c r="AW105">
        <v>232.31151549520237</v>
      </c>
      <c r="AX105">
        <v>103.70469151138717</v>
      </c>
      <c r="AY105">
        <v>218.38189567718072</v>
      </c>
      <c r="AZ105">
        <v>119.47768838102458</v>
      </c>
      <c r="BA105">
        <v>-165.94401279999997</v>
      </c>
      <c r="BB105">
        <v>3709.0024941000001</v>
      </c>
      <c r="BC105">
        <v>3543.0584813</v>
      </c>
    </row>
    <row r="106" spans="1:55">
      <c r="A106" t="s">
        <v>660</v>
      </c>
      <c r="B106">
        <v>102.81761205768355</v>
      </c>
      <c r="C106">
        <v>103.62069579574386</v>
      </c>
      <c r="D106">
        <v>115.45054081877178</v>
      </c>
      <c r="E106">
        <v>111.03187707134725</v>
      </c>
      <c r="F106">
        <v>50.905412207019438</v>
      </c>
      <c r="G106">
        <v>0.27883978984924346</v>
      </c>
      <c r="H106">
        <v>2.9157384760099148</v>
      </c>
      <c r="I106">
        <v>2.4761633822334725</v>
      </c>
      <c r="J106">
        <v>134.72460954801582</v>
      </c>
      <c r="K106">
        <v>128.81355374581821</v>
      </c>
      <c r="L106">
        <v>133.82665104632238</v>
      </c>
      <c r="M106">
        <v>117.4596563800183</v>
      </c>
      <c r="N106">
        <v>122.61787684085503</v>
      </c>
      <c r="O106">
        <v>103.55659768179005</v>
      </c>
      <c r="P106">
        <v>5.6682802237111227</v>
      </c>
      <c r="Q106">
        <v>114.5609208797803</v>
      </c>
      <c r="R106">
        <v>109.73524972432232</v>
      </c>
      <c r="S106">
        <v>118.12623084512988</v>
      </c>
      <c r="T106">
        <v>114.53356113794931</v>
      </c>
      <c r="U106">
        <v>114.46791603493757</v>
      </c>
      <c r="V106">
        <v>110.30751423674674</v>
      </c>
      <c r="W106">
        <v>114.46791603493752</v>
      </c>
      <c r="X106">
        <v>110.30751423674678</v>
      </c>
      <c r="Y106">
        <v>18256.150685862223</v>
      </c>
      <c r="Z106">
        <v>122.3232279164836</v>
      </c>
      <c r="AA106">
        <v>118.403979929199</v>
      </c>
      <c r="AB106">
        <v>118.72344149029909</v>
      </c>
      <c r="AC106">
        <v>129.48053167412004</v>
      </c>
      <c r="AD106">
        <v>113.97456789719097</v>
      </c>
      <c r="AE106">
        <v>109.75247243117059</v>
      </c>
      <c r="AF106">
        <v>123.16986825073364</v>
      </c>
      <c r="AG106">
        <v>119.28609982498114</v>
      </c>
      <c r="AH106">
        <v>119.90439622277916</v>
      </c>
      <c r="AI106">
        <v>169.61114621353781</v>
      </c>
      <c r="AJ106">
        <v>113.7791781680816</v>
      </c>
      <c r="AK106">
        <v>114.14747449228219</v>
      </c>
      <c r="AL106">
        <v>114.1934750647189</v>
      </c>
      <c r="AM106">
        <v>111.21385516468854</v>
      </c>
      <c r="AN106">
        <v>114.22085046295143</v>
      </c>
      <c r="AO106">
        <v>112.34082407721256</v>
      </c>
      <c r="AP106">
        <v>109.43452355217336</v>
      </c>
      <c r="AQ106">
        <v>126.17678453163863</v>
      </c>
      <c r="AR106">
        <v>149.0443804784494</v>
      </c>
      <c r="AS106">
        <v>52.31892860043672</v>
      </c>
      <c r="AT106">
        <v>51.808863400983562</v>
      </c>
      <c r="AU106">
        <v>126.17108449550346</v>
      </c>
      <c r="AV106">
        <v>221.88749805935109</v>
      </c>
      <c r="AW106">
        <v>232.44608070320098</v>
      </c>
      <c r="AX106">
        <v>106.34923280423281</v>
      </c>
      <c r="AY106">
        <v>223.27067501361435</v>
      </c>
      <c r="AZ106">
        <v>117.51548350809485</v>
      </c>
      <c r="BA106">
        <v>-95.594132599999995</v>
      </c>
      <c r="BB106">
        <v>3698.5588054</v>
      </c>
      <c r="BC106">
        <v>3602.9646727999998</v>
      </c>
    </row>
    <row r="107" spans="1:55">
      <c r="A107" t="s">
        <v>661</v>
      </c>
      <c r="B107">
        <v>104.05664987112557</v>
      </c>
      <c r="C107">
        <v>105.04156957346866</v>
      </c>
      <c r="D107">
        <v>116.15392719651641</v>
      </c>
      <c r="E107">
        <v>111.45360026609332</v>
      </c>
      <c r="F107">
        <v>44.535756102897579</v>
      </c>
      <c r="G107">
        <v>0.24412812099411429</v>
      </c>
      <c r="H107">
        <v>2.7090294449587518</v>
      </c>
      <c r="I107">
        <v>2.4533446445474674</v>
      </c>
      <c r="J107">
        <v>138.85848212144026</v>
      </c>
      <c r="K107">
        <v>130.81168419612496</v>
      </c>
      <c r="L107">
        <v>135.93261903524927</v>
      </c>
      <c r="M107">
        <v>113.17804879671081</v>
      </c>
      <c r="N107">
        <v>123.42682098944609</v>
      </c>
      <c r="O107">
        <v>103.59546391698798</v>
      </c>
      <c r="P107">
        <v>5.6601065885096036</v>
      </c>
      <c r="Q107">
        <v>115.62389089230611</v>
      </c>
      <c r="R107">
        <v>110.6189943835582</v>
      </c>
      <c r="S107">
        <v>119.17770412073961</v>
      </c>
      <c r="T107">
        <v>115.42839231267999</v>
      </c>
      <c r="U107">
        <v>115.58930814748602</v>
      </c>
      <c r="V107">
        <v>111.23297888863641</v>
      </c>
      <c r="W107">
        <v>115.58930814748594</v>
      </c>
      <c r="X107">
        <v>111.23297888863645</v>
      </c>
      <c r="Y107">
        <v>18242.780029413854</v>
      </c>
      <c r="Z107">
        <v>122.90141132215172</v>
      </c>
      <c r="AA107">
        <v>119.24498449077072</v>
      </c>
      <c r="AB107">
        <v>119.4941860108346</v>
      </c>
      <c r="AC107">
        <v>131.72960505462117</v>
      </c>
      <c r="AD107">
        <v>115.10000930526772</v>
      </c>
      <c r="AE107">
        <v>110.62884548314659</v>
      </c>
      <c r="AF107">
        <v>124.50215746969437</v>
      </c>
      <c r="AG107">
        <v>120.81557874508127</v>
      </c>
      <c r="AH107">
        <v>121.2232631894979</v>
      </c>
      <c r="AI107">
        <v>160.29199277210381</v>
      </c>
      <c r="AJ107">
        <v>113.82697542504722</v>
      </c>
      <c r="AK107">
        <v>106.64203257694639</v>
      </c>
      <c r="AL107">
        <v>115.00620085130244</v>
      </c>
      <c r="AM107">
        <v>111.79665869483001</v>
      </c>
      <c r="AN107">
        <v>115.03463485986481</v>
      </c>
      <c r="AO107">
        <v>113.10257561608347</v>
      </c>
      <c r="AP107">
        <v>110.0389998678944</v>
      </c>
      <c r="AQ107">
        <v>115.33911674231943</v>
      </c>
      <c r="AR107">
        <v>146.64050040286313</v>
      </c>
      <c r="AS107">
        <v>52.61292167430156</v>
      </c>
      <c r="AT107">
        <v>52.258756497473804</v>
      </c>
      <c r="AU107">
        <v>120.04902773704737</v>
      </c>
      <c r="AV107">
        <v>203.42102513159185</v>
      </c>
      <c r="AW107">
        <v>218.5024089556928</v>
      </c>
      <c r="AX107">
        <v>100.38951147081582</v>
      </c>
      <c r="AY107">
        <v>213.98368107384246</v>
      </c>
      <c r="AZ107">
        <v>110.11992923633709</v>
      </c>
      <c r="BA107">
        <v>-70.495351099999979</v>
      </c>
      <c r="BB107">
        <v>3684.1772172000001</v>
      </c>
      <c r="BC107">
        <v>3613.6818661000002</v>
      </c>
    </row>
    <row r="108" spans="1:55">
      <c r="A108" t="s">
        <v>662</v>
      </c>
      <c r="B108">
        <v>103.7726695399989</v>
      </c>
      <c r="C108">
        <v>104.86366442413627</v>
      </c>
      <c r="D108">
        <v>116.9813176000726</v>
      </c>
      <c r="E108">
        <v>112.12229486260753</v>
      </c>
      <c r="F108">
        <v>81.667194299971655</v>
      </c>
      <c r="G108">
        <v>0.46231141654217722</v>
      </c>
      <c r="H108">
        <v>2.4232418063548837</v>
      </c>
      <c r="I108">
        <v>2.5670891147338399</v>
      </c>
      <c r="J108">
        <v>145.00902365985567</v>
      </c>
      <c r="K108">
        <v>133.22562542154404</v>
      </c>
      <c r="L108">
        <v>139.95901659649925</v>
      </c>
      <c r="M108">
        <v>110.15728583446678</v>
      </c>
      <c r="N108">
        <v>125.16927298721518</v>
      </c>
      <c r="O108">
        <v>103.86890188431823</v>
      </c>
      <c r="P108">
        <v>5.6152227759656705</v>
      </c>
      <c r="Q108">
        <v>116.9090141029244</v>
      </c>
      <c r="R108">
        <v>111.73707636738061</v>
      </c>
      <c r="S108">
        <v>120.3303123471467</v>
      </c>
      <c r="T108">
        <v>116.57044885509799</v>
      </c>
      <c r="U108">
        <v>116.52764749515718</v>
      </c>
      <c r="V108">
        <v>112.00907223023229</v>
      </c>
      <c r="W108">
        <v>116.52764749515711</v>
      </c>
      <c r="X108">
        <v>112.00907223023233</v>
      </c>
      <c r="Y108">
        <v>17664.974598895948</v>
      </c>
      <c r="Z108">
        <v>123.65804442112676</v>
      </c>
      <c r="AA108">
        <v>120.18125271154409</v>
      </c>
      <c r="AB108">
        <v>120.70571269800807</v>
      </c>
      <c r="AC108">
        <v>133.70147763488148</v>
      </c>
      <c r="AD108">
        <v>116.01289884387604</v>
      </c>
      <c r="AE108">
        <v>111.32844418729508</v>
      </c>
      <c r="AF108">
        <v>124.70979002989758</v>
      </c>
      <c r="AG108">
        <v>121.49506603824321</v>
      </c>
      <c r="AH108">
        <v>122.23792435004593</v>
      </c>
      <c r="AI108">
        <v>137.41921677467812</v>
      </c>
      <c r="AJ108">
        <v>113.18898511130419</v>
      </c>
      <c r="AK108">
        <v>99.37081989584992</v>
      </c>
      <c r="AL108">
        <v>115.49089551049163</v>
      </c>
      <c r="AM108">
        <v>112.10086284015442</v>
      </c>
      <c r="AN108">
        <v>115.52136564508848</v>
      </c>
      <c r="AO108">
        <v>113.89603799188761</v>
      </c>
      <c r="AP108">
        <v>110.69593298066972</v>
      </c>
      <c r="AQ108">
        <v>110.55558155025714</v>
      </c>
      <c r="AR108">
        <v>131.2153185460426</v>
      </c>
      <c r="AS108">
        <v>51.916869459403756</v>
      </c>
      <c r="AT108">
        <v>51.68349888343274</v>
      </c>
      <c r="AU108">
        <v>112.58386700554632</v>
      </c>
      <c r="AV108">
        <v>201.47119453244431</v>
      </c>
      <c r="AW108">
        <v>173.34291287576835</v>
      </c>
      <c r="AX108">
        <v>74.545999999999992</v>
      </c>
      <c r="AY108">
        <v>164.38494514751036</v>
      </c>
      <c r="AZ108">
        <v>105.1782946574853</v>
      </c>
      <c r="BA108">
        <v>-47.941469599999998</v>
      </c>
      <c r="BB108">
        <v>3530.1779240999999</v>
      </c>
      <c r="BC108">
        <v>3476.3926972999998</v>
      </c>
    </row>
    <row r="109" spans="1:55">
      <c r="A109" t="s">
        <v>663</v>
      </c>
      <c r="B109">
        <v>104.86035181141317</v>
      </c>
      <c r="C109">
        <v>106.49223222763494</v>
      </c>
      <c r="D109">
        <v>117.19598974227365</v>
      </c>
      <c r="E109">
        <v>112.3435533831269</v>
      </c>
      <c r="F109">
        <v>136.74261571147565</v>
      </c>
      <c r="G109">
        <v>0.7980091134538142</v>
      </c>
      <c r="H109">
        <v>2.1196508666886804</v>
      </c>
      <c r="I109">
        <v>2.6845971493761698</v>
      </c>
      <c r="J109">
        <v>157.00223141936002</v>
      </c>
      <c r="K109">
        <v>135.83148408574303</v>
      </c>
      <c r="L109">
        <v>143.03405584709643</v>
      </c>
      <c r="M109">
        <v>113.44903898473659</v>
      </c>
      <c r="N109">
        <v>134.3585342215882</v>
      </c>
      <c r="O109">
        <v>104.08053107702703</v>
      </c>
      <c r="P109">
        <v>5.611915514339298</v>
      </c>
      <c r="Q109">
        <v>117.76860174688677</v>
      </c>
      <c r="R109">
        <v>112.35966303882789</v>
      </c>
      <c r="S109">
        <v>120.90483080026092</v>
      </c>
      <c r="T109">
        <v>116.87276130591064</v>
      </c>
      <c r="U109">
        <v>117.55046729561744</v>
      </c>
      <c r="V109">
        <v>112.87329228129515</v>
      </c>
      <c r="W109">
        <v>117.55046729561739</v>
      </c>
      <c r="X109">
        <v>112.87329228129519</v>
      </c>
      <c r="Y109">
        <v>17135.470435876145</v>
      </c>
      <c r="Z109">
        <v>122.41301128225763</v>
      </c>
      <c r="AA109">
        <v>120.24107935795978</v>
      </c>
      <c r="AB109">
        <v>120.73566493506904</v>
      </c>
      <c r="AC109">
        <v>136.74927829627779</v>
      </c>
      <c r="AD109">
        <v>116.76322072681846</v>
      </c>
      <c r="AE109">
        <v>112.05936332857436</v>
      </c>
      <c r="AF109">
        <v>124.93396792140562</v>
      </c>
      <c r="AG109">
        <v>122.22549211303617</v>
      </c>
      <c r="AH109">
        <v>122.99261943786559</v>
      </c>
      <c r="AI109">
        <v>115.12860129409587</v>
      </c>
      <c r="AJ109">
        <v>105.16875031167183</v>
      </c>
      <c r="AK109">
        <v>96.08499504871817</v>
      </c>
      <c r="AL109">
        <v>116.04005493829924</v>
      </c>
      <c r="AM109">
        <v>112.39294411090127</v>
      </c>
      <c r="AN109">
        <v>116.07673436272216</v>
      </c>
      <c r="AO109">
        <v>114.98765355401652</v>
      </c>
      <c r="AP109">
        <v>111.56212956931081</v>
      </c>
      <c r="AQ109">
        <v>101.67391435487582</v>
      </c>
      <c r="AR109">
        <v>116.43545576561343</v>
      </c>
      <c r="AS109">
        <v>51.911773817956238</v>
      </c>
      <c r="AT109">
        <v>51.582590076534437</v>
      </c>
      <c r="AU109">
        <v>105.56216984477022</v>
      </c>
      <c r="AV109">
        <v>174.69224223805008</v>
      </c>
      <c r="AW109">
        <v>128.96619888592147</v>
      </c>
      <c r="AX109">
        <v>51.737505050505057</v>
      </c>
      <c r="AY109">
        <v>119.46395128395586</v>
      </c>
      <c r="AZ109">
        <v>104.26418062522816</v>
      </c>
      <c r="BA109">
        <v>17.943359999999998</v>
      </c>
      <c r="BB109">
        <v>3259.8947330999999</v>
      </c>
      <c r="BC109">
        <v>3269.0724573000002</v>
      </c>
    </row>
    <row r="110" spans="1:55">
      <c r="A110" t="s">
        <v>664</v>
      </c>
      <c r="B110">
        <v>104.01477718534836</v>
      </c>
      <c r="C110">
        <v>105.59819788586255</v>
      </c>
      <c r="D110">
        <v>117.4805652856149</v>
      </c>
      <c r="E110">
        <v>112.32006077352376</v>
      </c>
      <c r="F110">
        <v>90.046145414370756</v>
      </c>
      <c r="G110">
        <v>0.52192383916836549</v>
      </c>
      <c r="H110">
        <v>2.2573216024022282</v>
      </c>
      <c r="I110">
        <v>2.5829828861817332</v>
      </c>
      <c r="J110">
        <v>158.64484797122276</v>
      </c>
      <c r="K110">
        <v>138.34481766357166</v>
      </c>
      <c r="L110">
        <v>146.53757853460075</v>
      </c>
      <c r="M110">
        <v>113.50135000139512</v>
      </c>
      <c r="N110">
        <v>133.08572294993027</v>
      </c>
      <c r="O110">
        <v>104.18011036901267</v>
      </c>
      <c r="P110">
        <v>5.6172477636736877</v>
      </c>
      <c r="Q110">
        <v>119.00100550807355</v>
      </c>
      <c r="R110">
        <v>113.2882522300325</v>
      </c>
      <c r="S110">
        <v>122.90147048745459</v>
      </c>
      <c r="T110">
        <v>118.88987927563481</v>
      </c>
      <c r="U110">
        <v>118.54812766209162</v>
      </c>
      <c r="V110">
        <v>113.57745025630955</v>
      </c>
      <c r="W110">
        <v>118.54812766209155</v>
      </c>
      <c r="X110">
        <v>113.57745025630956</v>
      </c>
      <c r="Y110">
        <v>17252.73663641241</v>
      </c>
      <c r="Z110">
        <v>122.90394035289773</v>
      </c>
      <c r="AA110">
        <v>120.76782423953836</v>
      </c>
      <c r="AB110">
        <v>121.22153118814418</v>
      </c>
      <c r="AC110">
        <v>136.77168830767118</v>
      </c>
      <c r="AD110">
        <v>117.88666488405735</v>
      </c>
      <c r="AE110">
        <v>112.93879112205221</v>
      </c>
      <c r="AF110">
        <v>125.03533241120255</v>
      </c>
      <c r="AG110">
        <v>122.45809342857106</v>
      </c>
      <c r="AH110">
        <v>122.95160802571721</v>
      </c>
      <c r="AI110">
        <v>116.67958650151309</v>
      </c>
      <c r="AJ110">
        <v>102.83989853578544</v>
      </c>
      <c r="AK110">
        <v>92.72866327033546</v>
      </c>
      <c r="AL110">
        <v>117.11772831941607</v>
      </c>
      <c r="AM110">
        <v>113.31012265085525</v>
      </c>
      <c r="AN110">
        <v>117.16030690511292</v>
      </c>
      <c r="AO110">
        <v>115.99435803855461</v>
      </c>
      <c r="AP110">
        <v>112.3857262810843</v>
      </c>
      <c r="AQ110">
        <v>100.65058213489148</v>
      </c>
      <c r="AR110">
        <v>113.35143090807786</v>
      </c>
      <c r="AS110">
        <v>51.048970838245459</v>
      </c>
      <c r="AT110">
        <v>50.712560689573202</v>
      </c>
      <c r="AU110">
        <v>104.02380768309727</v>
      </c>
      <c r="AV110">
        <v>135.89269384894112</v>
      </c>
      <c r="AW110">
        <v>134.98584578200305</v>
      </c>
      <c r="AX110">
        <v>60.407366522366509</v>
      </c>
      <c r="AY110">
        <v>140.24584095224353</v>
      </c>
      <c r="AZ110">
        <v>104.33069491561916</v>
      </c>
      <c r="BA110">
        <v>5.2332580000000002</v>
      </c>
      <c r="BB110">
        <v>3231.1647431000001</v>
      </c>
      <c r="BC110">
        <v>3227.6323652999999</v>
      </c>
    </row>
    <row r="111" spans="1:55">
      <c r="A111" t="s">
        <v>665</v>
      </c>
      <c r="B111">
        <v>103.42857695041238</v>
      </c>
      <c r="C111">
        <v>105.24398908317715</v>
      </c>
      <c r="D111">
        <v>118.26431619223115</v>
      </c>
      <c r="E111">
        <v>112.82280311383327</v>
      </c>
      <c r="F111">
        <v>76.13725955758747</v>
      </c>
      <c r="G111">
        <v>0.44537277142246651</v>
      </c>
      <c r="H111">
        <v>2.2824600236430594</v>
      </c>
      <c r="I111">
        <v>2.5047485573033881</v>
      </c>
      <c r="J111">
        <v>140.19655522279564</v>
      </c>
      <c r="K111">
        <v>140.7889770747002</v>
      </c>
      <c r="L111">
        <v>149.79557460938611</v>
      </c>
      <c r="M111">
        <v>98.29125722152547</v>
      </c>
      <c r="N111">
        <v>118.43344362356831</v>
      </c>
      <c r="O111">
        <v>104.32185804849905</v>
      </c>
      <c r="P111">
        <v>5.6063219210577309</v>
      </c>
      <c r="Q111">
        <v>119.78673691139039</v>
      </c>
      <c r="R111">
        <v>113.94497357776767</v>
      </c>
      <c r="S111">
        <v>122.87980175191086</v>
      </c>
      <c r="T111">
        <v>118.23252912587164</v>
      </c>
      <c r="U111">
        <v>119.5175277279988</v>
      </c>
      <c r="V111">
        <v>114.27872197650582</v>
      </c>
      <c r="W111">
        <v>119.51752772799875</v>
      </c>
      <c r="X111">
        <v>114.27872197650584</v>
      </c>
      <c r="Y111">
        <v>17095.176095838618</v>
      </c>
      <c r="Z111">
        <v>123.68564406450521</v>
      </c>
      <c r="AA111">
        <v>121.26046916419536</v>
      </c>
      <c r="AB111">
        <v>121.99339872080826</v>
      </c>
      <c r="AC111">
        <v>138.17991129180712</v>
      </c>
      <c r="AD111">
        <v>118.96353872152885</v>
      </c>
      <c r="AE111">
        <v>113.58104157567881</v>
      </c>
      <c r="AF111">
        <v>125.88279582211676</v>
      </c>
      <c r="AG111">
        <v>123.25300160924905</v>
      </c>
      <c r="AH111">
        <v>124.08319942673775</v>
      </c>
      <c r="AI111">
        <v>104.87549493437943</v>
      </c>
      <c r="AJ111">
        <v>103.31487030920545</v>
      </c>
      <c r="AK111">
        <v>87.193527538500462</v>
      </c>
      <c r="AL111">
        <v>117.8641532160615</v>
      </c>
      <c r="AM111">
        <v>113.88457708265558</v>
      </c>
      <c r="AN111">
        <v>117.90755619557744</v>
      </c>
      <c r="AO111">
        <v>116.7970460451033</v>
      </c>
      <c r="AP111">
        <v>113.06226027621067</v>
      </c>
      <c r="AQ111">
        <v>97.84409772789742</v>
      </c>
      <c r="AR111">
        <v>101.1970671281714</v>
      </c>
      <c r="AS111">
        <v>50.732922851983723</v>
      </c>
      <c r="AT111">
        <v>50.287213019326543</v>
      </c>
      <c r="AU111">
        <v>98.30855057092522</v>
      </c>
      <c r="AV111">
        <v>131.389404192461</v>
      </c>
      <c r="AW111">
        <v>114.374411431167</v>
      </c>
      <c r="AX111">
        <v>48.812765020808492</v>
      </c>
      <c r="AY111">
        <v>113.07804396958552</v>
      </c>
      <c r="AZ111">
        <v>97.157685737760048</v>
      </c>
      <c r="BA111">
        <v>-5.0716840000000003</v>
      </c>
      <c r="BB111">
        <v>3184.0818460999999</v>
      </c>
      <c r="BC111">
        <v>3170.2445263</v>
      </c>
    </row>
    <row r="112" spans="1:55">
      <c r="A112" t="s">
        <v>666</v>
      </c>
      <c r="B112">
        <v>103.18849924143542</v>
      </c>
      <c r="C112">
        <v>105.03655404796116</v>
      </c>
      <c r="D112">
        <v>118.46569356783375</v>
      </c>
      <c r="E112">
        <v>112.63115564715918</v>
      </c>
      <c r="F112">
        <v>89.414015705269378</v>
      </c>
      <c r="G112">
        <v>0.52686413237752328</v>
      </c>
      <c r="H112">
        <v>2.1162499553131311</v>
      </c>
      <c r="I112">
        <v>2.4908273518081043</v>
      </c>
      <c r="J112">
        <v>148.85100214909752</v>
      </c>
      <c r="K112">
        <v>143.36590523249265</v>
      </c>
      <c r="L112">
        <v>153.62362067411749</v>
      </c>
      <c r="M112">
        <v>101.65495701399563</v>
      </c>
      <c r="N112">
        <v>123.74315336955152</v>
      </c>
      <c r="O112">
        <v>104.59517273051308</v>
      </c>
      <c r="P112">
        <v>5.5839879228969975</v>
      </c>
      <c r="Q112">
        <v>120.80481755987688</v>
      </c>
      <c r="R112">
        <v>114.63183956104257</v>
      </c>
      <c r="S112">
        <v>123.95181999564066</v>
      </c>
      <c r="T112">
        <v>118.95965325205138</v>
      </c>
      <c r="U112">
        <v>120.22545570159977</v>
      </c>
      <c r="V112">
        <v>114.74083468932889</v>
      </c>
      <c r="W112">
        <v>120.2254557015997</v>
      </c>
      <c r="X112">
        <v>114.74083468932889</v>
      </c>
      <c r="Y112">
        <v>16970.981740924428</v>
      </c>
      <c r="Z112">
        <v>123.75089268532741</v>
      </c>
      <c r="AA112">
        <v>121.69751582885004</v>
      </c>
      <c r="AB112">
        <v>122.72971958309667</v>
      </c>
      <c r="AC112">
        <v>137.03892192497872</v>
      </c>
      <c r="AD112">
        <v>119.5325853507082</v>
      </c>
      <c r="AE112">
        <v>114.04179993978344</v>
      </c>
      <c r="AF112">
        <v>126.11450761511584</v>
      </c>
      <c r="AG112">
        <v>123.60514095477382</v>
      </c>
      <c r="AH112">
        <v>124.73033161823621</v>
      </c>
      <c r="AI112">
        <v>96.432372454978335</v>
      </c>
      <c r="AJ112">
        <v>101.52398606892496</v>
      </c>
      <c r="AK112">
        <v>80.172817439026304</v>
      </c>
      <c r="AL112">
        <v>118.3768816472267</v>
      </c>
      <c r="AM112">
        <v>114.21834895478359</v>
      </c>
      <c r="AN112">
        <v>118.43906519692231</v>
      </c>
      <c r="AO112">
        <v>117.58875845470568</v>
      </c>
      <c r="AP112">
        <v>113.71535371749742</v>
      </c>
      <c r="AQ112">
        <v>93.98297190354991</v>
      </c>
      <c r="AR112">
        <v>91.434035198970108</v>
      </c>
      <c r="AS112">
        <v>51.419458708222542</v>
      </c>
      <c r="AT112">
        <v>50.808119420496887</v>
      </c>
      <c r="AU112">
        <v>93.591924399827448</v>
      </c>
      <c r="AV112">
        <v>117.98587536460748</v>
      </c>
      <c r="AW112">
        <v>100.54100767343613</v>
      </c>
      <c r="AX112">
        <v>42.214531338226983</v>
      </c>
      <c r="AY112">
        <v>98.364381346557295</v>
      </c>
      <c r="AZ112">
        <v>94.326001709287326</v>
      </c>
      <c r="BA112">
        <v>12.293677000000001</v>
      </c>
      <c r="BB112">
        <v>3101.2683901</v>
      </c>
      <c r="BC112">
        <v>3104.7964313000002</v>
      </c>
    </row>
    <row r="113" spans="1:55">
      <c r="A113" t="s">
        <v>667</v>
      </c>
      <c r="B113">
        <v>102.17725469373066</v>
      </c>
      <c r="C113">
        <v>104.62467056800891</v>
      </c>
      <c r="D113">
        <v>119.28646694094978</v>
      </c>
      <c r="E113">
        <v>113.24177297660655</v>
      </c>
      <c r="F113">
        <v>94.219918306650271</v>
      </c>
      <c r="G113">
        <v>0.55378657209037574</v>
      </c>
      <c r="H113">
        <v>2.0024305179361144</v>
      </c>
      <c r="I113">
        <v>2.5008899275065941</v>
      </c>
      <c r="J113">
        <v>145.69712011699571</v>
      </c>
      <c r="K113">
        <v>146.05663519523716</v>
      </c>
      <c r="L113">
        <v>157.86555965196507</v>
      </c>
      <c r="M113">
        <v>102.67473432559603</v>
      </c>
      <c r="N113">
        <v>121.71924912918077</v>
      </c>
      <c r="O113">
        <v>104.84159987218258</v>
      </c>
      <c r="P113">
        <v>5.5628561808318899</v>
      </c>
      <c r="Q113">
        <v>122.14307658352527</v>
      </c>
      <c r="R113">
        <v>115.62010549646556</v>
      </c>
      <c r="S113">
        <v>124.50212282516304</v>
      </c>
      <c r="T113">
        <v>119.51637894960487</v>
      </c>
      <c r="U113">
        <v>121.27784665481227</v>
      </c>
      <c r="V113">
        <v>115.51005971448483</v>
      </c>
      <c r="W113">
        <v>121.27784665481221</v>
      </c>
      <c r="X113">
        <v>115.51005971448483</v>
      </c>
      <c r="Y113">
        <v>17013.760003424923</v>
      </c>
      <c r="Z113">
        <v>122.77986697761729</v>
      </c>
      <c r="AA113">
        <v>120.90801862227202</v>
      </c>
      <c r="AB113">
        <v>121.96288197527601</v>
      </c>
      <c r="AC113">
        <v>138.93327783881045</v>
      </c>
      <c r="AD113">
        <v>120.75086082119755</v>
      </c>
      <c r="AE113">
        <v>114.92524505493765</v>
      </c>
      <c r="AF113">
        <v>125.48315539408907</v>
      </c>
      <c r="AG113">
        <v>123.07632027760653</v>
      </c>
      <c r="AH113">
        <v>123.87847887543033</v>
      </c>
      <c r="AI113">
        <v>88.767237129245345</v>
      </c>
      <c r="AJ113">
        <v>94.174423787951511</v>
      </c>
      <c r="AK113">
        <v>79.196417502744126</v>
      </c>
      <c r="AL113">
        <v>118.99619415808445</v>
      </c>
      <c r="AM113">
        <v>114.6054981943056</v>
      </c>
      <c r="AN113">
        <v>119.13453677988619</v>
      </c>
      <c r="AO113">
        <v>118.33541528791518</v>
      </c>
      <c r="AP113">
        <v>114.33842033714886</v>
      </c>
      <c r="AQ113">
        <v>94.343764540202983</v>
      </c>
      <c r="AR113">
        <v>90.500301952100486</v>
      </c>
      <c r="AS113">
        <v>50.58593053617426</v>
      </c>
      <c r="AT113">
        <v>50.347219262459909</v>
      </c>
      <c r="AU113">
        <v>94.106863705351316</v>
      </c>
      <c r="AV113">
        <v>98.652368985321246</v>
      </c>
      <c r="AW113">
        <v>81.043604315676006</v>
      </c>
      <c r="AX113">
        <v>32.7705429031516</v>
      </c>
      <c r="AY113">
        <v>76.389978919105332</v>
      </c>
      <c r="AZ113">
        <v>94.51823455304104</v>
      </c>
      <c r="BA113">
        <v>17.709647</v>
      </c>
      <c r="BB113">
        <v>2968.7886340999999</v>
      </c>
      <c r="BC113">
        <v>2977.7326453000001</v>
      </c>
    </row>
    <row r="114" spans="1:55">
      <c r="A114" t="s">
        <v>668</v>
      </c>
      <c r="B114">
        <v>102.06983507233456</v>
      </c>
      <c r="C114">
        <v>104.44777857691945</v>
      </c>
      <c r="D114">
        <v>119.85417826429659</v>
      </c>
      <c r="E114">
        <v>113.36923894606518</v>
      </c>
      <c r="F114">
        <v>137.41594408866069</v>
      </c>
      <c r="G114">
        <v>0.78199494710916262</v>
      </c>
      <c r="H114">
        <v>1.8827181966042836</v>
      </c>
      <c r="I114">
        <v>2.5178225456100236</v>
      </c>
      <c r="J114">
        <v>145.11051786797145</v>
      </c>
      <c r="K114">
        <v>149.07113440634413</v>
      </c>
      <c r="L114">
        <v>162.39189919803107</v>
      </c>
      <c r="M114">
        <v>102.06237178401068</v>
      </c>
      <c r="N114">
        <v>121.10245375369743</v>
      </c>
      <c r="O114">
        <v>104.96928920905981</v>
      </c>
      <c r="P114">
        <v>5.5615963779475104</v>
      </c>
      <c r="Q114">
        <v>123.19274980889496</v>
      </c>
      <c r="R114">
        <v>116.42327655489963</v>
      </c>
      <c r="S114">
        <v>126.16168052714775</v>
      </c>
      <c r="T114">
        <v>120.60391797203467</v>
      </c>
      <c r="U114">
        <v>122.31465431778548</v>
      </c>
      <c r="V114">
        <v>116.23234235299394</v>
      </c>
      <c r="W114">
        <v>122.31465431778541</v>
      </c>
      <c r="X114">
        <v>116.23234235299394</v>
      </c>
      <c r="Y114">
        <v>17572.484911399064</v>
      </c>
      <c r="Z114">
        <v>124.35392318718104</v>
      </c>
      <c r="AA114">
        <v>122.19843695304355</v>
      </c>
      <c r="AB114">
        <v>123.30908275725044</v>
      </c>
      <c r="AC114">
        <v>79.081153684133781</v>
      </c>
      <c r="AD114">
        <v>121.5575740387614</v>
      </c>
      <c r="AE114">
        <v>115.51029297474267</v>
      </c>
      <c r="AF114">
        <v>126.75165191689339</v>
      </c>
      <c r="AG114">
        <v>124.1174686083065</v>
      </c>
      <c r="AH114">
        <v>125.33630384410547</v>
      </c>
      <c r="AI114">
        <v>100.18325395837117</v>
      </c>
      <c r="AJ114">
        <v>98.327711972263501</v>
      </c>
      <c r="AK114">
        <v>81.869332448321998</v>
      </c>
      <c r="AL114">
        <v>119.86273841055198</v>
      </c>
      <c r="AM114">
        <v>115.33196622359783</v>
      </c>
      <c r="AN114">
        <v>120.1025853487008</v>
      </c>
      <c r="AO114">
        <v>119.15167262491998</v>
      </c>
      <c r="AP114">
        <v>115.00626370314582</v>
      </c>
      <c r="AQ114">
        <v>101.69621711702099</v>
      </c>
      <c r="AR114">
        <v>96.636711512486258</v>
      </c>
      <c r="AS114">
        <v>50.480346393060984</v>
      </c>
      <c r="AT114">
        <v>50.291623041632072</v>
      </c>
      <c r="AU114">
        <v>100.29423346219301</v>
      </c>
      <c r="AV114">
        <v>89.970322335515633</v>
      </c>
      <c r="AW114">
        <v>100.02272495411694</v>
      </c>
      <c r="AX114">
        <v>44.805848965848959</v>
      </c>
      <c r="AY114">
        <v>103.09985844151912</v>
      </c>
      <c r="AZ114">
        <v>100.56233512271704</v>
      </c>
      <c r="BA114">
        <v>35.761572000000001</v>
      </c>
      <c r="BB114">
        <v>3060.9364531000001</v>
      </c>
      <c r="BC114">
        <v>3087.9323893000001</v>
      </c>
    </row>
    <row r="115" spans="1:55">
      <c r="A115" t="s">
        <v>669</v>
      </c>
      <c r="B115">
        <v>103.99460555650781</v>
      </c>
      <c r="C115">
        <v>106.31023440246493</v>
      </c>
      <c r="D115">
        <v>120.72641611153578</v>
      </c>
      <c r="E115">
        <v>114.0851797697389</v>
      </c>
      <c r="F115">
        <v>99.303613554788001</v>
      </c>
      <c r="G115">
        <v>0.56022379858483784</v>
      </c>
      <c r="H115">
        <v>1.6500171484050901</v>
      </c>
      <c r="I115">
        <v>2.4487597579797691</v>
      </c>
      <c r="J115">
        <v>151.27191285104863</v>
      </c>
      <c r="K115">
        <v>151.99204270700287</v>
      </c>
      <c r="L115">
        <v>167.03260397422326</v>
      </c>
      <c r="M115">
        <v>108.48806640916872</v>
      </c>
      <c r="N115">
        <v>128.27966436754767</v>
      </c>
      <c r="O115">
        <v>105.23597114498897</v>
      </c>
      <c r="P115">
        <v>5.5092519839036385</v>
      </c>
      <c r="Q115">
        <v>124.44975201259246</v>
      </c>
      <c r="R115">
        <v>117.34980300742382</v>
      </c>
      <c r="S115">
        <v>126.78811840266778</v>
      </c>
      <c r="T115">
        <v>121.23774535600482</v>
      </c>
      <c r="U115">
        <v>123.34761133660217</v>
      </c>
      <c r="V115">
        <v>116.99328645389306</v>
      </c>
      <c r="W115">
        <v>123.3476113366021</v>
      </c>
      <c r="X115">
        <v>116.99328645389306</v>
      </c>
      <c r="Y115">
        <v>17725.704228495011</v>
      </c>
      <c r="Z115">
        <v>125.71410331165482</v>
      </c>
      <c r="AA115">
        <v>123.4252677473567</v>
      </c>
      <c r="AB115">
        <v>124.68733314344847</v>
      </c>
      <c r="AC115">
        <v>49.850329210965931</v>
      </c>
      <c r="AD115">
        <v>123.0576077220678</v>
      </c>
      <c r="AE115">
        <v>116.58132054655084</v>
      </c>
      <c r="AF115">
        <v>127.31695415149866</v>
      </c>
      <c r="AG115">
        <v>124.91663236021304</v>
      </c>
      <c r="AH115">
        <v>125.98312139572356</v>
      </c>
      <c r="AI115">
        <v>103.16346439990217</v>
      </c>
      <c r="AJ115">
        <v>103.98251945831176</v>
      </c>
      <c r="AK115">
        <v>101.18720582707464</v>
      </c>
      <c r="AL115">
        <v>120.55589863890494</v>
      </c>
      <c r="AM115">
        <v>115.92338141322546</v>
      </c>
      <c r="AN115">
        <v>120.82486319885871</v>
      </c>
      <c r="AO115">
        <v>119.90064423493902</v>
      </c>
      <c r="AP115">
        <v>115.62662517126553</v>
      </c>
      <c r="AQ115">
        <v>102.57136867341008</v>
      </c>
      <c r="AR115">
        <v>100.89638594927538</v>
      </c>
      <c r="AS115">
        <v>50.994107003547704</v>
      </c>
      <c r="AT115">
        <v>50.859990065098771</v>
      </c>
      <c r="AU115">
        <v>102.83033073991265</v>
      </c>
      <c r="AV115">
        <v>102.98595898941306</v>
      </c>
      <c r="AW115">
        <v>103.64533368999686</v>
      </c>
      <c r="AX115">
        <v>44.708299245038376</v>
      </c>
      <c r="AY115">
        <v>103.85747250729491</v>
      </c>
      <c r="AZ115">
        <v>101.85071343370915</v>
      </c>
      <c r="BA115">
        <v>5.6255220000000001</v>
      </c>
      <c r="BB115">
        <v>3115.3089270999999</v>
      </c>
      <c r="BC115">
        <v>3112.1688132999998</v>
      </c>
    </row>
    <row r="116" spans="1:55">
      <c r="A116" t="s">
        <v>670</v>
      </c>
      <c r="B116">
        <v>105.28290878009881</v>
      </c>
      <c r="C116">
        <v>107.83271019354648</v>
      </c>
      <c r="D116">
        <v>122.35096202467095</v>
      </c>
      <c r="E116">
        <v>115.53734034519408</v>
      </c>
      <c r="F116">
        <v>86.157462073086549</v>
      </c>
      <c r="G116">
        <v>0.48917551880239551</v>
      </c>
      <c r="H116">
        <v>2.0232190915163684</v>
      </c>
      <c r="I116">
        <v>2.4228586193598631</v>
      </c>
      <c r="J116">
        <v>162.12739329567489</v>
      </c>
      <c r="K116">
        <v>154.63872651361669</v>
      </c>
      <c r="L116">
        <v>169.27585847297448</v>
      </c>
      <c r="M116">
        <v>107.8145141131569</v>
      </c>
      <c r="N116">
        <v>131.90232660105841</v>
      </c>
      <c r="O116">
        <v>105.35983964926483</v>
      </c>
      <c r="P116">
        <v>5.5279234015170218</v>
      </c>
      <c r="Q116">
        <v>126.23745425235975</v>
      </c>
      <c r="R116">
        <v>118.64282646300688</v>
      </c>
      <c r="S116">
        <v>128.22949390919419</v>
      </c>
      <c r="T116">
        <v>122.40781282664943</v>
      </c>
      <c r="U116">
        <v>124.58522879096014</v>
      </c>
      <c r="V116">
        <v>118.00063744661983</v>
      </c>
      <c r="W116">
        <v>124.58522879096007</v>
      </c>
      <c r="X116">
        <v>118.00063744661982</v>
      </c>
      <c r="Y116">
        <v>17612.791066081583</v>
      </c>
      <c r="Z116">
        <v>129.35742397141567</v>
      </c>
      <c r="AA116">
        <v>126.3758099445993</v>
      </c>
      <c r="AB116">
        <v>127.6276202217919</v>
      </c>
      <c r="AC116">
        <v>51.181645402877031</v>
      </c>
      <c r="AD116">
        <v>124.50469815338774</v>
      </c>
      <c r="AE116">
        <v>117.67929509246284</v>
      </c>
      <c r="AF116">
        <v>129.37448159255575</v>
      </c>
      <c r="AG116">
        <v>126.71048387685615</v>
      </c>
      <c r="AH116">
        <v>128.42963550963526</v>
      </c>
      <c r="AI116">
        <v>107.88604451248132</v>
      </c>
      <c r="AJ116">
        <v>103.51534478147323</v>
      </c>
      <c r="AK116">
        <v>137.74704422185928</v>
      </c>
      <c r="AL116">
        <v>121.28497198576356</v>
      </c>
      <c r="AM116">
        <v>116.60867096078925</v>
      </c>
      <c r="AN116">
        <v>121.56676842975469</v>
      </c>
      <c r="AO116">
        <v>120.61060318636163</v>
      </c>
      <c r="AP116">
        <v>116.21641124134096</v>
      </c>
      <c r="AQ116">
        <v>101.38864966936598</v>
      </c>
      <c r="AR116">
        <v>111.96660058613791</v>
      </c>
      <c r="AS116">
        <v>52.557136191742039</v>
      </c>
      <c r="AT116">
        <v>52.143808744786561</v>
      </c>
      <c r="AU116">
        <v>102.76857209254291</v>
      </c>
      <c r="AV116">
        <v>108.39134968975004</v>
      </c>
      <c r="AW116">
        <v>115.28833704021014</v>
      </c>
      <c r="AX116">
        <v>49.061974506974508</v>
      </c>
      <c r="AY116">
        <v>116.65269013208059</v>
      </c>
      <c r="AZ116">
        <v>103.06871689053285</v>
      </c>
      <c r="BA116">
        <v>-8.290794</v>
      </c>
      <c r="BB116">
        <v>3178.7548031000001</v>
      </c>
      <c r="BC116">
        <v>3161.6983733000002</v>
      </c>
    </row>
    <row r="117" spans="1:55">
      <c r="A117" t="s">
        <v>671</v>
      </c>
      <c r="B117">
        <v>106.35250655063381</v>
      </c>
      <c r="C117">
        <v>110.00428456067704</v>
      </c>
      <c r="D117">
        <v>123.34019155566413</v>
      </c>
      <c r="E117">
        <v>116.36027216825346</v>
      </c>
      <c r="F117">
        <v>121.64659019153525</v>
      </c>
      <c r="G117">
        <v>0.68203674401524883</v>
      </c>
      <c r="H117">
        <v>2.3312349690215037</v>
      </c>
      <c r="I117">
        <v>2.4043115954351046</v>
      </c>
      <c r="J117">
        <v>170.12428595885169</v>
      </c>
      <c r="K117">
        <v>158.01501939835171</v>
      </c>
      <c r="L117">
        <v>175.25608079039893</v>
      </c>
      <c r="M117">
        <v>116.60398170667385</v>
      </c>
      <c r="N117">
        <v>140.48910918650435</v>
      </c>
      <c r="O117">
        <v>105.51974624262418</v>
      </c>
      <c r="P117">
        <v>5.5122525404405316</v>
      </c>
      <c r="Q117">
        <v>126.86600453506453</v>
      </c>
      <c r="R117">
        <v>119.33655407706449</v>
      </c>
      <c r="S117">
        <v>129.13253682484046</v>
      </c>
      <c r="T117">
        <v>123.30244872755776</v>
      </c>
      <c r="U117">
        <v>125.69409503890803</v>
      </c>
      <c r="V117">
        <v>118.98983553186775</v>
      </c>
      <c r="W117">
        <v>125.69409503890799</v>
      </c>
      <c r="X117">
        <v>118.98983553186773</v>
      </c>
      <c r="Y117">
        <v>17835.782493973009</v>
      </c>
      <c r="Z117">
        <v>131.28817940290804</v>
      </c>
      <c r="AA117">
        <v>128.14616686024425</v>
      </c>
      <c r="AB117">
        <v>129.42632550424275</v>
      </c>
      <c r="AC117">
        <v>52.484374946959953</v>
      </c>
      <c r="AD117">
        <v>125.42349805836146</v>
      </c>
      <c r="AE117">
        <v>118.54740870160747</v>
      </c>
      <c r="AF117">
        <v>132.83034394918246</v>
      </c>
      <c r="AG117">
        <v>129.48089843365079</v>
      </c>
      <c r="AH117">
        <v>130.82789137764499</v>
      </c>
      <c r="AI117">
        <v>114.38354217659588</v>
      </c>
      <c r="AJ117">
        <v>100.58845874956931</v>
      </c>
      <c r="AK117">
        <v>126.73338956847856</v>
      </c>
      <c r="AL117">
        <v>122.20048961167355</v>
      </c>
      <c r="AM117">
        <v>117.42122029274941</v>
      </c>
      <c r="AN117">
        <v>122.49760854719007</v>
      </c>
      <c r="AO117">
        <v>121.4065072167319</v>
      </c>
      <c r="AP117">
        <v>116.88237358023156</v>
      </c>
      <c r="AQ117">
        <v>105.66491780230403</v>
      </c>
      <c r="AR117">
        <v>125.76864479857564</v>
      </c>
      <c r="AS117">
        <v>53.446347625748359</v>
      </c>
      <c r="AT117">
        <v>52.780787135320963</v>
      </c>
      <c r="AU117">
        <v>108.04592018067484</v>
      </c>
      <c r="AV117">
        <v>117.21451978116063</v>
      </c>
      <c r="AW117">
        <v>123.55074975375778</v>
      </c>
      <c r="AX117">
        <v>52.963356609573999</v>
      </c>
      <c r="AY117">
        <v>126.94156006927246</v>
      </c>
      <c r="AZ117">
        <v>109.67782025622535</v>
      </c>
      <c r="BA117">
        <v>-36.509819999999998</v>
      </c>
      <c r="BB117">
        <v>3316.0217330999999</v>
      </c>
      <c r="BC117">
        <v>3270.7462773000002</v>
      </c>
    </row>
    <row r="118" spans="1:55">
      <c r="A118" t="s">
        <v>672</v>
      </c>
      <c r="B118">
        <v>107.35902025221633</v>
      </c>
      <c r="C118">
        <v>110.78886706317405</v>
      </c>
      <c r="D118">
        <v>124.68482375127364</v>
      </c>
      <c r="E118">
        <v>117.63729438997973</v>
      </c>
      <c r="F118">
        <v>41.520244266491545</v>
      </c>
      <c r="G118">
        <v>0.22755284969417464</v>
      </c>
      <c r="H118">
        <v>2.2267578368892509</v>
      </c>
      <c r="I118">
        <v>2.4237958642051085</v>
      </c>
      <c r="J118">
        <v>173.59253936103732</v>
      </c>
      <c r="K118">
        <v>160.48211465924936</v>
      </c>
      <c r="L118">
        <v>179.33370450674673</v>
      </c>
      <c r="M118">
        <v>121.78931996712636</v>
      </c>
      <c r="N118">
        <v>144.72407333679672</v>
      </c>
      <c r="O118">
        <v>105.79585250093679</v>
      </c>
      <c r="P118">
        <v>5.4014221303777674</v>
      </c>
      <c r="Q118">
        <v>128.42301001727242</v>
      </c>
      <c r="R118">
        <v>120.38416289054852</v>
      </c>
      <c r="S118">
        <v>131.83800690305441</v>
      </c>
      <c r="T118">
        <v>126.07075115526678</v>
      </c>
      <c r="U118">
        <v>126.99929831295613</v>
      </c>
      <c r="V118">
        <v>119.98593590894231</v>
      </c>
      <c r="W118">
        <v>126.99929831295607</v>
      </c>
      <c r="X118">
        <v>119.98593590894228</v>
      </c>
      <c r="Y118">
        <v>18246.418061691482</v>
      </c>
      <c r="Z118">
        <v>134.8937285963008</v>
      </c>
      <c r="AA118">
        <v>130.69733190421712</v>
      </c>
      <c r="AB118">
        <v>131.97149106121472</v>
      </c>
      <c r="AC118">
        <v>53.95521262951533</v>
      </c>
      <c r="AD118">
        <v>127.30436948104817</v>
      </c>
      <c r="AE118">
        <v>119.90567219194743</v>
      </c>
      <c r="AF118">
        <v>133.74780916300838</v>
      </c>
      <c r="AG118">
        <v>130.55780609508065</v>
      </c>
      <c r="AH118">
        <v>131.91044004442324</v>
      </c>
      <c r="AI118">
        <v>108.48623912660867</v>
      </c>
      <c r="AJ118">
        <v>94.781527048180081</v>
      </c>
      <c r="AK118">
        <v>119.81379760469105</v>
      </c>
      <c r="AL118">
        <v>122.75073794302789</v>
      </c>
      <c r="AM118">
        <v>117.84004926386187</v>
      </c>
      <c r="AN118">
        <v>123.07102352862798</v>
      </c>
      <c r="AO118">
        <v>122.10291975968327</v>
      </c>
      <c r="AP118">
        <v>117.45681500773674</v>
      </c>
      <c r="AQ118">
        <v>104.18019263568927</v>
      </c>
      <c r="AR118">
        <v>112.80588320996088</v>
      </c>
      <c r="AS118">
        <v>53.225489833111396</v>
      </c>
      <c r="AT118">
        <v>52.538698086431488</v>
      </c>
      <c r="AU118">
        <v>104.53643391571201</v>
      </c>
      <c r="AV118">
        <v>104.60828694111852</v>
      </c>
      <c r="AW118">
        <v>114.19953100184978</v>
      </c>
      <c r="AX118">
        <v>49.423652613087398</v>
      </c>
      <c r="AY118">
        <v>116.85483642575906</v>
      </c>
      <c r="AZ118">
        <v>106.34231711914903</v>
      </c>
      <c r="BA118">
        <v>-31.244575999999999</v>
      </c>
      <c r="BB118">
        <v>3378.1610790999998</v>
      </c>
      <c r="BC118">
        <v>3338.1508672999998</v>
      </c>
    </row>
    <row r="119" spans="1:55">
      <c r="A119" t="s">
        <v>673</v>
      </c>
      <c r="B119">
        <v>108.41747896544031</v>
      </c>
      <c r="C119">
        <v>111.79406027070085</v>
      </c>
      <c r="D119">
        <v>126.10953876746085</v>
      </c>
      <c r="E119">
        <v>118.75902421445726</v>
      </c>
      <c r="F119">
        <v>131.87357106263983</v>
      </c>
      <c r="G119">
        <v>0.694643833971341</v>
      </c>
      <c r="H119">
        <v>2.2653648014921792</v>
      </c>
      <c r="I119">
        <v>2.3981868244962796</v>
      </c>
      <c r="J119">
        <v>182.47894590082606</v>
      </c>
      <c r="K119">
        <v>163.42710969110982</v>
      </c>
      <c r="L119">
        <v>183.80029980225811</v>
      </c>
      <c r="M119">
        <v>129.95092537935363</v>
      </c>
      <c r="N119">
        <v>152.67816708184833</v>
      </c>
      <c r="O119">
        <v>106.02459058340384</v>
      </c>
      <c r="P119">
        <v>5.3518159085019468</v>
      </c>
      <c r="Q119">
        <v>129.62586615066476</v>
      </c>
      <c r="R119">
        <v>121.36889997590261</v>
      </c>
      <c r="S119">
        <v>132.07742815763027</v>
      </c>
      <c r="T119">
        <v>125.64339578887218</v>
      </c>
      <c r="U119">
        <v>128.45385965061996</v>
      </c>
      <c r="V119">
        <v>121.12554150096773</v>
      </c>
      <c r="W119">
        <v>128.45385965061988</v>
      </c>
      <c r="X119">
        <v>121.1255415009677</v>
      </c>
      <c r="Y119">
        <v>18984.34343089275</v>
      </c>
      <c r="Z119">
        <v>133.98030277288683</v>
      </c>
      <c r="AA119">
        <v>130.12215199280632</v>
      </c>
      <c r="AB119">
        <v>131.91590524513217</v>
      </c>
      <c r="AC119">
        <v>55.664742762607581</v>
      </c>
      <c r="AD119">
        <v>128.27358630284144</v>
      </c>
      <c r="AE119">
        <v>120.64555267867574</v>
      </c>
      <c r="AF119">
        <v>134.43768405796848</v>
      </c>
      <c r="AG119">
        <v>131.39037700335487</v>
      </c>
      <c r="AH119">
        <v>132.98332503488317</v>
      </c>
      <c r="AI119">
        <v>111.47420861668603</v>
      </c>
      <c r="AJ119">
        <v>95.295577285514568</v>
      </c>
      <c r="AK119">
        <v>138.404220412672</v>
      </c>
      <c r="AL119">
        <v>123.47341866928808</v>
      </c>
      <c r="AM119">
        <v>118.42533151710704</v>
      </c>
      <c r="AN119">
        <v>123.80780748187547</v>
      </c>
      <c r="AO119">
        <v>122.85445324138782</v>
      </c>
      <c r="AP119">
        <v>118.07067814610627</v>
      </c>
      <c r="AQ119">
        <v>103.26469350516949</v>
      </c>
      <c r="AR119">
        <v>123.43509296843024</v>
      </c>
      <c r="AS119">
        <v>53.322480457660959</v>
      </c>
      <c r="AT119">
        <v>52.625436427364747</v>
      </c>
      <c r="AU119">
        <v>106.37418932575717</v>
      </c>
      <c r="AV119">
        <v>109.90673189622446</v>
      </c>
      <c r="AW119">
        <v>118.85125564119539</v>
      </c>
      <c r="AX119">
        <v>50.172668507016333</v>
      </c>
      <c r="AY119">
        <v>115.52893346891962</v>
      </c>
      <c r="AZ119">
        <v>102.74066276550298</v>
      </c>
      <c r="BA119">
        <v>-28.714310999999999</v>
      </c>
      <c r="BB119">
        <v>3473.5535851</v>
      </c>
      <c r="BC119">
        <v>3436.0736382999999</v>
      </c>
    </row>
    <row r="120" spans="1:55">
      <c r="A120" t="s">
        <v>674</v>
      </c>
      <c r="B120">
        <v>110.18793850124543</v>
      </c>
      <c r="C120">
        <v>113.57942759647257</v>
      </c>
      <c r="D120">
        <v>128.00807298241924</v>
      </c>
      <c r="E120">
        <v>120.52126859159266</v>
      </c>
      <c r="F120">
        <v>128.19461185276708</v>
      </c>
      <c r="G120">
        <v>0.66591211789351845</v>
      </c>
      <c r="H120">
        <v>2.3402548483711527</v>
      </c>
      <c r="I120">
        <v>2.3819135266893952</v>
      </c>
      <c r="J120">
        <v>192.33364020921641</v>
      </c>
      <c r="K120">
        <v>166.16025712023907</v>
      </c>
      <c r="L120">
        <v>188.17670166838988</v>
      </c>
      <c r="M120">
        <v>136.17425320350583</v>
      </c>
      <c r="N120">
        <v>159.54505267055487</v>
      </c>
      <c r="O120">
        <v>106.2702308721526</v>
      </c>
      <c r="P120">
        <v>5.2619860890497963</v>
      </c>
      <c r="Q120">
        <v>130.97312153397857</v>
      </c>
      <c r="R120">
        <v>122.44570613862173</v>
      </c>
      <c r="S120">
        <v>134.08051474102086</v>
      </c>
      <c r="T120">
        <v>127.38712174424485</v>
      </c>
      <c r="U120">
        <v>129.7802330323936</v>
      </c>
      <c r="V120">
        <v>122.19594596366825</v>
      </c>
      <c r="W120">
        <v>129.78023303239351</v>
      </c>
      <c r="X120">
        <v>122.19594596366822</v>
      </c>
      <c r="Y120">
        <v>19250.980483473621</v>
      </c>
      <c r="Z120">
        <v>138.42847678492799</v>
      </c>
      <c r="AA120">
        <v>133.83673437054401</v>
      </c>
      <c r="AB120">
        <v>134.99520611368075</v>
      </c>
      <c r="AC120">
        <v>63.119984085650266</v>
      </c>
      <c r="AD120">
        <v>129.8391100595309</v>
      </c>
      <c r="AE120">
        <v>121.81718176942076</v>
      </c>
      <c r="AF120">
        <v>137.41237467432484</v>
      </c>
      <c r="AG120">
        <v>134.13322911652278</v>
      </c>
      <c r="AH120">
        <v>135.51109894546312</v>
      </c>
      <c r="AI120">
        <v>119.83797464655542</v>
      </c>
      <c r="AJ120">
        <v>90.500122358529367</v>
      </c>
      <c r="AK120">
        <v>146.00436986683692</v>
      </c>
      <c r="AL120">
        <v>124.44589613553359</v>
      </c>
      <c r="AM120">
        <v>119.24847892104151</v>
      </c>
      <c r="AN120">
        <v>124.7964743672435</v>
      </c>
      <c r="AO120">
        <v>123.61771326721907</v>
      </c>
      <c r="AP120">
        <v>118.68097298185539</v>
      </c>
      <c r="AQ120">
        <v>102.07482731066465</v>
      </c>
      <c r="AR120">
        <v>126.7451447696847</v>
      </c>
      <c r="AS120">
        <v>54.515438026335659</v>
      </c>
      <c r="AT120">
        <v>53.689890702201176</v>
      </c>
      <c r="AU120">
        <v>106.52708709831158</v>
      </c>
      <c r="AV120">
        <v>132.66805507398081</v>
      </c>
      <c r="AW120">
        <v>139.09183189294004</v>
      </c>
      <c r="AX120">
        <v>58.695687830687831</v>
      </c>
      <c r="AY120">
        <v>134.97213821117103</v>
      </c>
      <c r="AZ120">
        <v>102.21912009879968</v>
      </c>
      <c r="BA120">
        <v>-71.815018000000009</v>
      </c>
      <c r="BB120">
        <v>3631.6345710999999</v>
      </c>
      <c r="BC120">
        <v>3551.0539173000002</v>
      </c>
    </row>
    <row r="121" spans="1:55">
      <c r="A121" t="s">
        <v>675</v>
      </c>
      <c r="B121">
        <v>110.77663545097857</v>
      </c>
      <c r="C121">
        <v>114.5550762089651</v>
      </c>
      <c r="D121">
        <v>129.08541109471437</v>
      </c>
      <c r="E121">
        <v>121.22108257277314</v>
      </c>
      <c r="F121">
        <v>47.427272713527408</v>
      </c>
      <c r="G121">
        <v>0.23698502107099359</v>
      </c>
      <c r="H121">
        <v>2.555884975218655</v>
      </c>
      <c r="I121">
        <v>2.4444905983721963</v>
      </c>
      <c r="J121">
        <v>188.59967804299737</v>
      </c>
      <c r="K121">
        <v>169.51481719115097</v>
      </c>
      <c r="L121">
        <v>192.3621498624818</v>
      </c>
      <c r="M121">
        <v>135.43363546598309</v>
      </c>
      <c r="N121">
        <v>157.27048149753745</v>
      </c>
      <c r="O121">
        <v>106.58018155884089</v>
      </c>
      <c r="P121">
        <v>5.2051686289060592</v>
      </c>
      <c r="Q121">
        <v>132.37592927356269</v>
      </c>
      <c r="R121">
        <v>123.51390486649004</v>
      </c>
      <c r="S121">
        <v>136.67059911957438</v>
      </c>
      <c r="T121">
        <v>129.35072008144607</v>
      </c>
      <c r="U121">
        <v>130.89187999302192</v>
      </c>
      <c r="V121">
        <v>123.06975953748869</v>
      </c>
      <c r="W121">
        <v>130.89187999302189</v>
      </c>
      <c r="X121">
        <v>123.06975953748866</v>
      </c>
      <c r="Y121">
        <v>20012.772325943595</v>
      </c>
      <c r="Z121">
        <v>141.81465931635989</v>
      </c>
      <c r="AA121">
        <v>136.15758796160961</v>
      </c>
      <c r="AB121">
        <v>137.27601890850542</v>
      </c>
      <c r="AC121">
        <v>66.588160497963386</v>
      </c>
      <c r="AD121">
        <v>131.52518279922907</v>
      </c>
      <c r="AE121">
        <v>123.02778171651873</v>
      </c>
      <c r="AF121">
        <v>138.53981154195574</v>
      </c>
      <c r="AG121">
        <v>134.91880790280766</v>
      </c>
      <c r="AH121">
        <v>136.52031592776865</v>
      </c>
      <c r="AI121">
        <v>127.67575668597179</v>
      </c>
      <c r="AJ121">
        <v>90.162381608173746</v>
      </c>
      <c r="AK121">
        <v>151.367152904867</v>
      </c>
      <c r="AL121">
        <v>125.37784789585123</v>
      </c>
      <c r="AM121">
        <v>120.10966822275678</v>
      </c>
      <c r="AN121">
        <v>125.76039184892853</v>
      </c>
      <c r="AO121">
        <v>124.41516373728014</v>
      </c>
      <c r="AP121">
        <v>119.36031684924495</v>
      </c>
      <c r="AQ121">
        <v>106.20547173500381</v>
      </c>
      <c r="AR121">
        <v>135.56567144107422</v>
      </c>
      <c r="AS121">
        <v>54.636871371400417</v>
      </c>
      <c r="AT121">
        <v>53.753728675648539</v>
      </c>
      <c r="AU121">
        <v>111.70241318875391</v>
      </c>
      <c r="AV121">
        <v>145.60702653845058</v>
      </c>
      <c r="AW121">
        <v>150.78078813697198</v>
      </c>
      <c r="AX121">
        <v>64.596599472990775</v>
      </c>
      <c r="AY121">
        <v>144.78884429910457</v>
      </c>
      <c r="AZ121">
        <v>110.23856480283747</v>
      </c>
      <c r="BA121">
        <v>-97.801653000000016</v>
      </c>
      <c r="BB121">
        <v>3824.3667621</v>
      </c>
      <c r="BC121">
        <v>3717.7994733</v>
      </c>
    </row>
    <row r="122" spans="1:55">
      <c r="A122" t="s">
        <v>676</v>
      </c>
      <c r="B122">
        <v>111.14426414192184</v>
      </c>
      <c r="C122">
        <v>114.64939554194568</v>
      </c>
      <c r="D122">
        <v>129.82749767375293</v>
      </c>
      <c r="E122">
        <v>122.03056789985942</v>
      </c>
      <c r="F122">
        <v>71.03719658690396</v>
      </c>
      <c r="G122">
        <v>0.35709440334123044</v>
      </c>
      <c r="H122">
        <v>2.5876675921749674</v>
      </c>
      <c r="I122">
        <v>2.5734046354731208</v>
      </c>
      <c r="J122">
        <v>188.3455001501774</v>
      </c>
      <c r="K122">
        <v>173.29069455949158</v>
      </c>
      <c r="L122">
        <v>196.29789684016384</v>
      </c>
      <c r="M122">
        <v>130.69275227057145</v>
      </c>
      <c r="N122">
        <v>156.54123468599693</v>
      </c>
      <c r="O122">
        <v>106.73867941626331</v>
      </c>
      <c r="P122">
        <v>5.1555248469506862</v>
      </c>
      <c r="Q122">
        <v>133.85580221482428</v>
      </c>
      <c r="R122">
        <v>124.55569009070473</v>
      </c>
      <c r="S122">
        <v>137.49923222148766</v>
      </c>
      <c r="T122">
        <v>130.2613563191394</v>
      </c>
      <c r="U122">
        <v>132.05045437875066</v>
      </c>
      <c r="V122">
        <v>123.99203431326067</v>
      </c>
      <c r="W122">
        <v>132.05045437875063</v>
      </c>
      <c r="X122">
        <v>123.99203431326065</v>
      </c>
      <c r="Y122">
        <v>19893.11395592571</v>
      </c>
      <c r="Z122">
        <v>141.52125606352556</v>
      </c>
      <c r="AA122">
        <v>136.10520113999101</v>
      </c>
      <c r="AB122">
        <v>137.54745217251224</v>
      </c>
      <c r="AC122">
        <v>65.627971603253485</v>
      </c>
      <c r="AD122">
        <v>132.35623130447431</v>
      </c>
      <c r="AE122">
        <v>123.77353369057022</v>
      </c>
      <c r="AF122">
        <v>139.91907503160238</v>
      </c>
      <c r="AG122">
        <v>136.02472119041943</v>
      </c>
      <c r="AH122">
        <v>137.64447050804912</v>
      </c>
      <c r="AI122">
        <v>131.12814026781737</v>
      </c>
      <c r="AJ122">
        <v>91.620567133841519</v>
      </c>
      <c r="AK122">
        <v>156.56724914133568</v>
      </c>
      <c r="AL122">
        <v>126.1156010971474</v>
      </c>
      <c r="AM122">
        <v>120.74244701894385</v>
      </c>
      <c r="AN122">
        <v>126.54124923280834</v>
      </c>
      <c r="AO122">
        <v>125.23112620533583</v>
      </c>
      <c r="AP122">
        <v>120.02306154178929</v>
      </c>
      <c r="AQ122">
        <v>106.38717471672406</v>
      </c>
      <c r="AR122">
        <v>134.51856303575076</v>
      </c>
      <c r="AS122">
        <v>53.882543029350977</v>
      </c>
      <c r="AT122">
        <v>53.032844199678493</v>
      </c>
      <c r="AU122">
        <v>111.10983271554547</v>
      </c>
      <c r="AV122">
        <v>133.68505943022316</v>
      </c>
      <c r="AW122">
        <v>160.08410842010775</v>
      </c>
      <c r="AX122">
        <v>71.37579710144928</v>
      </c>
      <c r="AY122">
        <v>162.06083151685371</v>
      </c>
      <c r="AZ122">
        <v>110.10384466194523</v>
      </c>
      <c r="BA122">
        <v>-89.034488999999994</v>
      </c>
      <c r="BB122">
        <v>3825.5062591000001</v>
      </c>
      <c r="BC122">
        <v>3727.7061343</v>
      </c>
    </row>
    <row r="123" spans="1:55">
      <c r="A123" t="s">
        <v>677</v>
      </c>
      <c r="B123">
        <v>111.13621926776547</v>
      </c>
      <c r="C123">
        <v>115.19712317876572</v>
      </c>
      <c r="D123">
        <v>130.91541412376878</v>
      </c>
      <c r="E123">
        <v>122.88988359277242</v>
      </c>
      <c r="F123">
        <v>39.67678960589334</v>
      </c>
      <c r="G123">
        <v>0.20347928692209941</v>
      </c>
      <c r="H123">
        <v>2.5948762272276347</v>
      </c>
      <c r="I123">
        <v>2.8873612500711836</v>
      </c>
      <c r="J123">
        <v>197.20514895746373</v>
      </c>
      <c r="K123">
        <v>177.4214255717076</v>
      </c>
      <c r="L123">
        <v>200.72160697187869</v>
      </c>
      <c r="M123">
        <v>131.66587622846336</v>
      </c>
      <c r="N123">
        <v>158.99711656921767</v>
      </c>
      <c r="O123">
        <v>106.89697516570159</v>
      </c>
      <c r="P123">
        <v>5.1119043553174102</v>
      </c>
      <c r="Q123">
        <v>134.76285025338794</v>
      </c>
      <c r="R123">
        <v>125.22575067668291</v>
      </c>
      <c r="S123">
        <v>138.17896050948758</v>
      </c>
      <c r="T123">
        <v>130.35898521125608</v>
      </c>
      <c r="U123">
        <v>132.99851030879469</v>
      </c>
      <c r="V123">
        <v>124.68749029763262</v>
      </c>
      <c r="W123">
        <v>132.99851030879464</v>
      </c>
      <c r="X123">
        <v>124.68749029763259</v>
      </c>
      <c r="Y123">
        <v>19499.178617174592</v>
      </c>
      <c r="Z123">
        <v>143.72372110443891</v>
      </c>
      <c r="AA123">
        <v>137.79252802932095</v>
      </c>
      <c r="AB123">
        <v>138.9670415926546</v>
      </c>
      <c r="AC123">
        <v>67.098601250092628</v>
      </c>
      <c r="AD123">
        <v>133.32233814982331</v>
      </c>
      <c r="AE123">
        <v>124.51429093125532</v>
      </c>
      <c r="AF123">
        <v>141.70374402090951</v>
      </c>
      <c r="AG123">
        <v>136.91322525866889</v>
      </c>
      <c r="AH123">
        <v>138.71429671868961</v>
      </c>
      <c r="AI123">
        <v>130.22591313189955</v>
      </c>
      <c r="AJ123">
        <v>83.317664696550594</v>
      </c>
      <c r="AK123">
        <v>166.96862891844103</v>
      </c>
      <c r="AL123">
        <v>127.21975450842781</v>
      </c>
      <c r="AM123">
        <v>121.67444823707582</v>
      </c>
      <c r="AN123">
        <v>127.73050332944791</v>
      </c>
      <c r="AO123">
        <v>126.08272701149292</v>
      </c>
      <c r="AP123">
        <v>120.71860108851615</v>
      </c>
      <c r="AQ123">
        <v>99.106055385458362</v>
      </c>
      <c r="AR123">
        <v>125.51079906772553</v>
      </c>
      <c r="AS123">
        <v>52.981889768135908</v>
      </c>
      <c r="AT123">
        <v>52.282285513294106</v>
      </c>
      <c r="AU123">
        <v>104.276530251076</v>
      </c>
      <c r="AV123">
        <v>150.74547506015065</v>
      </c>
      <c r="AW123">
        <v>167.76102954005179</v>
      </c>
      <c r="AX123">
        <v>73.043708827404487</v>
      </c>
      <c r="AY123">
        <v>169.28663619360978</v>
      </c>
      <c r="AZ123">
        <v>106.46462241030999</v>
      </c>
      <c r="BA123">
        <v>-129.73828</v>
      </c>
      <c r="BB123">
        <v>3851.8009431</v>
      </c>
      <c r="BC123">
        <v>3713.2970273000001</v>
      </c>
    </row>
    <row r="124" spans="1:55">
      <c r="A124" t="s">
        <v>678</v>
      </c>
      <c r="B124">
        <v>110.72448933469498</v>
      </c>
      <c r="C124">
        <v>115.00994853628173</v>
      </c>
      <c r="D124">
        <v>131.49293858214602</v>
      </c>
      <c r="E124">
        <v>123.43661319218869</v>
      </c>
      <c r="F124">
        <v>55.428770171557311</v>
      </c>
      <c r="G124">
        <v>0.28459723637942319</v>
      </c>
      <c r="H124">
        <v>2.6087396511265317</v>
      </c>
      <c r="I124">
        <v>3.1311425506962784</v>
      </c>
      <c r="J124">
        <v>178.04771812071522</v>
      </c>
      <c r="K124">
        <v>180.96160214172951</v>
      </c>
      <c r="L124">
        <v>203.55497777346301</v>
      </c>
      <c r="M124">
        <v>117.1868122599292</v>
      </c>
      <c r="N124">
        <v>141.81185393418616</v>
      </c>
      <c r="O124">
        <v>107.07101209210462</v>
      </c>
      <c r="P124">
        <v>5.1335951391140791</v>
      </c>
      <c r="Q124">
        <v>135.49304021123453</v>
      </c>
      <c r="R124">
        <v>125.77839285925565</v>
      </c>
      <c r="S124">
        <v>138.60768955328916</v>
      </c>
      <c r="T124">
        <v>130.75416531599686</v>
      </c>
      <c r="U124">
        <v>133.92046134452335</v>
      </c>
      <c r="V124">
        <v>125.36766800398762</v>
      </c>
      <c r="W124">
        <v>133.92046134452332</v>
      </c>
      <c r="X124">
        <v>125.36766800398762</v>
      </c>
      <c r="Y124">
        <v>19476.215186313348</v>
      </c>
      <c r="Z124">
        <v>142.42623461796632</v>
      </c>
      <c r="AA124">
        <v>137.35035696610029</v>
      </c>
      <c r="AB124">
        <v>138.4588641980275</v>
      </c>
      <c r="AC124">
        <v>68.31880922044418</v>
      </c>
      <c r="AD124">
        <v>133.79977347201259</v>
      </c>
      <c r="AE124">
        <v>124.96026306079662</v>
      </c>
      <c r="AF124">
        <v>142.47297132177715</v>
      </c>
      <c r="AG124">
        <v>137.5911035784936</v>
      </c>
      <c r="AH124">
        <v>139.18619866380212</v>
      </c>
      <c r="AI124">
        <v>123.74721746306277</v>
      </c>
      <c r="AJ124">
        <v>84.854678088194603</v>
      </c>
      <c r="AK124">
        <v>152.26230715701732</v>
      </c>
      <c r="AL124">
        <v>127.94828785791863</v>
      </c>
      <c r="AM124">
        <v>122.25543490966639</v>
      </c>
      <c r="AN124">
        <v>128.56151174934951</v>
      </c>
      <c r="AO124">
        <v>126.95884248769526</v>
      </c>
      <c r="AP124">
        <v>121.3864385617071</v>
      </c>
      <c r="AQ124">
        <v>98.322176292885729</v>
      </c>
      <c r="AR124">
        <v>125.55425917784093</v>
      </c>
      <c r="AS124">
        <v>52.449271056957485</v>
      </c>
      <c r="AT124">
        <v>51.920586859080423</v>
      </c>
      <c r="AU124">
        <v>104.1100596301833</v>
      </c>
      <c r="AV124">
        <v>156.73011170026081</v>
      </c>
      <c r="AW124">
        <v>152.15186232754962</v>
      </c>
      <c r="AX124">
        <v>64.299224752703012</v>
      </c>
      <c r="AY124">
        <v>150.47499956637722</v>
      </c>
      <c r="AZ124">
        <v>102.56832940646835</v>
      </c>
      <c r="BA124">
        <v>-113.07569299999999</v>
      </c>
      <c r="BB124">
        <v>3794.1153940999998</v>
      </c>
      <c r="BC124">
        <v>3672.2740653000001</v>
      </c>
    </row>
    <row r="125" spans="1:55">
      <c r="A125" t="s">
        <v>679</v>
      </c>
      <c r="B125">
        <v>110.26653925985659</v>
      </c>
      <c r="C125">
        <v>113.81155072853373</v>
      </c>
      <c r="D125">
        <v>131.71013413746721</v>
      </c>
      <c r="E125">
        <v>123.43681742086665</v>
      </c>
      <c r="F125">
        <v>113.34340662960932</v>
      </c>
      <c r="G125">
        <v>0.57077353742688763</v>
      </c>
      <c r="H125">
        <v>2.3661822474748742</v>
      </c>
      <c r="I125">
        <v>3.1016963613369257</v>
      </c>
      <c r="J125">
        <v>201.30649726410576</v>
      </c>
      <c r="K125">
        <v>185.02189165919992</v>
      </c>
      <c r="L125">
        <v>207.7646713544512</v>
      </c>
      <c r="M125">
        <v>130.08745915862588</v>
      </c>
      <c r="N125">
        <v>157.73465260721082</v>
      </c>
      <c r="O125">
        <v>107.15524415778695</v>
      </c>
      <c r="P125">
        <v>5.1076468717311627</v>
      </c>
      <c r="Q125">
        <v>136.4365220189257</v>
      </c>
      <c r="R125">
        <v>126.53026695312339</v>
      </c>
      <c r="S125">
        <v>139.40001545114063</v>
      </c>
      <c r="T125">
        <v>131.85071201263753</v>
      </c>
      <c r="U125">
        <v>134.90410772875393</v>
      </c>
      <c r="V125">
        <v>126.21835179216805</v>
      </c>
      <c r="W125">
        <v>134.90410772875387</v>
      </c>
      <c r="X125">
        <v>126.21835179216802</v>
      </c>
      <c r="Y125">
        <v>19857.859413135087</v>
      </c>
      <c r="Z125">
        <v>141.66747832609732</v>
      </c>
      <c r="AA125">
        <v>137.13448299020209</v>
      </c>
      <c r="AB125">
        <v>138.23137485364811</v>
      </c>
      <c r="AC125">
        <v>69.412765366772376</v>
      </c>
      <c r="AD125">
        <v>134.78691491960757</v>
      </c>
      <c r="AE125">
        <v>125.79769551977972</v>
      </c>
      <c r="AF125">
        <v>142.67875197844913</v>
      </c>
      <c r="AG125">
        <v>138.0408525883478</v>
      </c>
      <c r="AH125">
        <v>139.21987893006013</v>
      </c>
      <c r="AI125">
        <v>118.66660175106421</v>
      </c>
      <c r="AJ125">
        <v>82.96495921345614</v>
      </c>
      <c r="AK125">
        <v>136.35597477659385</v>
      </c>
      <c r="AL125">
        <v>128.47171725983551</v>
      </c>
      <c r="AM125">
        <v>122.64747155084994</v>
      </c>
      <c r="AN125">
        <v>129.14767519562142</v>
      </c>
      <c r="AO125">
        <v>127.7358223497201</v>
      </c>
      <c r="AP125">
        <v>122.04436253766413</v>
      </c>
      <c r="AQ125">
        <v>99.100618809295042</v>
      </c>
      <c r="AR125">
        <v>131.96215714740043</v>
      </c>
      <c r="AS125">
        <v>51.220969877783261</v>
      </c>
      <c r="AT125">
        <v>50.986348870356068</v>
      </c>
      <c r="AU125">
        <v>106.77389722310556</v>
      </c>
      <c r="AV125">
        <v>115.66247538147884</v>
      </c>
      <c r="AW125">
        <v>135.86909365288776</v>
      </c>
      <c r="AX125">
        <v>60.442111341154828</v>
      </c>
      <c r="AY125">
        <v>140.93722800646836</v>
      </c>
      <c r="AZ125">
        <v>104.18465852130369</v>
      </c>
      <c r="BA125">
        <v>-85.926117000000019</v>
      </c>
      <c r="BB125">
        <v>3747.6739861000001</v>
      </c>
      <c r="BC125">
        <v>3652.9822333000002</v>
      </c>
    </row>
    <row r="126" spans="1:55">
      <c r="A126" t="s">
        <v>680</v>
      </c>
      <c r="B126">
        <v>110.3147289529068</v>
      </c>
      <c r="C126">
        <v>114.05957457652558</v>
      </c>
      <c r="D126">
        <v>131.9153144495458</v>
      </c>
      <c r="E126">
        <v>123.46928290343908</v>
      </c>
      <c r="F126">
        <v>77.774599091047548</v>
      </c>
      <c r="G126">
        <v>0.38939977429070016</v>
      </c>
      <c r="H126">
        <v>2.1556420193854344</v>
      </c>
      <c r="I126">
        <v>3.2579042644102483</v>
      </c>
      <c r="J126">
        <v>204.8539195805613</v>
      </c>
      <c r="K126">
        <v>188.32802029391218</v>
      </c>
      <c r="L126">
        <v>211.90710668081368</v>
      </c>
      <c r="M126">
        <v>132.53982164584687</v>
      </c>
      <c r="N126">
        <v>159.83066005586676</v>
      </c>
      <c r="O126">
        <v>107.38856874058047</v>
      </c>
      <c r="P126">
        <v>5.0468270950808298</v>
      </c>
      <c r="Q126">
        <v>137.87573601774704</v>
      </c>
      <c r="R126">
        <v>127.60553979952911</v>
      </c>
      <c r="S126">
        <v>140.9922157239661</v>
      </c>
      <c r="T126">
        <v>133.57722585649333</v>
      </c>
      <c r="U126">
        <v>136.03661389896203</v>
      </c>
      <c r="V126">
        <v>127.0402367721524</v>
      </c>
      <c r="W126">
        <v>136.04729610654397</v>
      </c>
      <c r="X126">
        <v>127.05447575149209</v>
      </c>
      <c r="Y126">
        <v>19972.944060564907</v>
      </c>
      <c r="Z126">
        <v>142.66031696821062</v>
      </c>
      <c r="AA126">
        <v>137.94935775101166</v>
      </c>
      <c r="AB126">
        <v>138.83902731177648</v>
      </c>
      <c r="AC126">
        <v>70.805867966949066</v>
      </c>
      <c r="AD126">
        <v>135.88676721330836</v>
      </c>
      <c r="AE126">
        <v>126.69557623996295</v>
      </c>
      <c r="AF126">
        <v>142.30211953286994</v>
      </c>
      <c r="AG126">
        <v>137.73727623456065</v>
      </c>
      <c r="AH126">
        <v>139.29401810802392</v>
      </c>
      <c r="AI126">
        <v>119.80773795245443</v>
      </c>
      <c r="AJ126">
        <v>82.366694618905868</v>
      </c>
      <c r="AK126">
        <v>111.99523437638761</v>
      </c>
      <c r="AL126">
        <v>129.62885099496413</v>
      </c>
      <c r="AM126">
        <v>123.60119482390364</v>
      </c>
      <c r="AN126">
        <v>130.38372966477669</v>
      </c>
      <c r="AO126">
        <v>128.40942847409852</v>
      </c>
      <c r="AP126">
        <v>122.62870584084384</v>
      </c>
      <c r="AQ126">
        <v>99.958777255170261</v>
      </c>
      <c r="AR126">
        <v>139.91577579847973</v>
      </c>
      <c r="AS126">
        <v>50.145888287931683</v>
      </c>
      <c r="AT126">
        <v>50.13923247090171</v>
      </c>
      <c r="AU126">
        <v>108.91044666553439</v>
      </c>
      <c r="AV126">
        <v>88.559553182240393</v>
      </c>
      <c r="AW126">
        <v>135.57039014601995</v>
      </c>
      <c r="AX126">
        <v>65.059207729468596</v>
      </c>
      <c r="AY126">
        <v>152.49851390613495</v>
      </c>
      <c r="AZ126">
        <v>105.02532408291637</v>
      </c>
      <c r="BA126">
        <v>-89.398503999999974</v>
      </c>
      <c r="BB126">
        <v>3718.1567991000002</v>
      </c>
      <c r="BC126">
        <v>3619.9926593</v>
      </c>
    </row>
    <row r="127" spans="1:55">
      <c r="A127" t="s">
        <v>681</v>
      </c>
      <c r="B127">
        <v>110.65576336807511</v>
      </c>
      <c r="C127">
        <v>114.5949804127968</v>
      </c>
      <c r="D127">
        <v>132.2525862912934</v>
      </c>
      <c r="E127">
        <v>123.71566878768657</v>
      </c>
      <c r="F127">
        <v>125.74988149348734</v>
      </c>
      <c r="G127">
        <v>0.6293334582478205</v>
      </c>
      <c r="H127">
        <v>1.7316728301688389</v>
      </c>
      <c r="I127">
        <v>3.059570926100728</v>
      </c>
      <c r="J127">
        <v>205.91195370569974</v>
      </c>
      <c r="K127">
        <v>192.00502841219432</v>
      </c>
      <c r="L127">
        <v>216.44444240819348</v>
      </c>
      <c r="M127">
        <v>129.32112935134936</v>
      </c>
      <c r="N127">
        <v>158.83463657155602</v>
      </c>
      <c r="O127">
        <v>107.58440345125432</v>
      </c>
      <c r="P127">
        <v>5.034710645371832</v>
      </c>
      <c r="Q127">
        <v>139.22143824408241</v>
      </c>
      <c r="R127">
        <v>128.63238516917642</v>
      </c>
      <c r="S127">
        <v>140.49733233665361</v>
      </c>
      <c r="T127">
        <v>133.12186279129767</v>
      </c>
      <c r="U127">
        <v>137.03951141692809</v>
      </c>
      <c r="V127">
        <v>127.80661894210897</v>
      </c>
      <c r="W127">
        <v>137.04746306769971</v>
      </c>
      <c r="X127">
        <v>127.81720598503976</v>
      </c>
      <c r="Y127">
        <v>19981.439067866824</v>
      </c>
      <c r="Z127">
        <v>142.9999680388058</v>
      </c>
      <c r="AA127">
        <v>138.4491510844359</v>
      </c>
      <c r="AB127">
        <v>139.18079471814025</v>
      </c>
      <c r="AC127">
        <v>72.054218150769785</v>
      </c>
      <c r="AD127">
        <v>136.87722015563423</v>
      </c>
      <c r="AE127">
        <v>127.33464008732041</v>
      </c>
      <c r="AF127">
        <v>143.47297439435911</v>
      </c>
      <c r="AG127">
        <v>138.86937213264855</v>
      </c>
      <c r="AH127">
        <v>140.54540904745025</v>
      </c>
      <c r="AI127">
        <v>115.16310091022775</v>
      </c>
      <c r="AJ127">
        <v>83.165896456010856</v>
      </c>
      <c r="AK127">
        <v>98.605194368985579</v>
      </c>
      <c r="AL127">
        <v>130.53343434957944</v>
      </c>
      <c r="AM127">
        <v>124.28612445614033</v>
      </c>
      <c r="AN127">
        <v>131.35527432757505</v>
      </c>
      <c r="AO127">
        <v>129.21554272947287</v>
      </c>
      <c r="AP127">
        <v>123.31387852133236</v>
      </c>
      <c r="AQ127">
        <v>98.195153827483963</v>
      </c>
      <c r="AR127">
        <v>138.54121962170782</v>
      </c>
      <c r="AS127">
        <v>49.567316615253567</v>
      </c>
      <c r="AT127">
        <v>49.700611900946264</v>
      </c>
      <c r="AU127">
        <v>109.78839260396562</v>
      </c>
      <c r="AV127">
        <v>77.909491140905999</v>
      </c>
      <c r="AW127">
        <v>122.93747854617902</v>
      </c>
      <c r="AX127">
        <v>59.692236965932615</v>
      </c>
      <c r="AY127">
        <v>140.9811994996297</v>
      </c>
      <c r="AZ127">
        <v>98.823664621896185</v>
      </c>
      <c r="BA127">
        <v>-41.205368999999969</v>
      </c>
      <c r="BB127">
        <v>3678.5841780999999</v>
      </c>
      <c r="BC127">
        <v>3627.7686733</v>
      </c>
    </row>
    <row r="128" spans="1:55">
      <c r="A128" t="s">
        <v>682</v>
      </c>
      <c r="B128">
        <v>110.02359230612711</v>
      </c>
      <c r="C128">
        <v>113.65778899465847</v>
      </c>
      <c r="D128">
        <v>132.44902383876899</v>
      </c>
      <c r="E128">
        <v>123.62322157133472</v>
      </c>
      <c r="F128">
        <v>138.08660020934869</v>
      </c>
      <c r="G128">
        <v>0.68507904679596165</v>
      </c>
      <c r="H128">
        <v>1.7904125095122285</v>
      </c>
      <c r="I128">
        <v>2.7403229638285196</v>
      </c>
      <c r="J128">
        <v>218.71011076193554</v>
      </c>
      <c r="K128">
        <v>195.71894210483683</v>
      </c>
      <c r="L128">
        <v>221.01850766089214</v>
      </c>
      <c r="M128">
        <v>141.28137654327176</v>
      </c>
      <c r="N128">
        <v>170.88263255649591</v>
      </c>
      <c r="O128">
        <v>107.84061457582978</v>
      </c>
      <c r="P128">
        <v>4.9990950256840376</v>
      </c>
      <c r="Q128">
        <v>140.2076587304108</v>
      </c>
      <c r="R128">
        <v>129.19678314678009</v>
      </c>
      <c r="S128">
        <v>142.04763988452018</v>
      </c>
      <c r="T128">
        <v>134.50736074347608</v>
      </c>
      <c r="U128">
        <v>137.92095161774461</v>
      </c>
      <c r="V128">
        <v>128.38092974473832</v>
      </c>
      <c r="W128">
        <v>137.90913372835595</v>
      </c>
      <c r="X128">
        <v>128.37205495724356</v>
      </c>
      <c r="Y128">
        <v>20156.301795415337</v>
      </c>
      <c r="Z128">
        <v>143.56293797022005</v>
      </c>
      <c r="AA128">
        <v>138.59440768745867</v>
      </c>
      <c r="AB128">
        <v>139.55262374173796</v>
      </c>
      <c r="AC128">
        <v>72.976426014190807</v>
      </c>
      <c r="AD128">
        <v>137.82736629047767</v>
      </c>
      <c r="AE128">
        <v>127.90924378302262</v>
      </c>
      <c r="AF128">
        <v>144.42698716426571</v>
      </c>
      <c r="AG128">
        <v>139.87747139044254</v>
      </c>
      <c r="AH128">
        <v>141.3695780795681</v>
      </c>
      <c r="AI128">
        <v>116.61429620354608</v>
      </c>
      <c r="AJ128">
        <v>88.242410606899909</v>
      </c>
      <c r="AK128">
        <v>108.86300575820893</v>
      </c>
      <c r="AL128">
        <v>131.86562450570457</v>
      </c>
      <c r="AM128">
        <v>125.27519419589294</v>
      </c>
      <c r="AN128">
        <v>132.77873361735237</v>
      </c>
      <c r="AO128">
        <v>129.82598233182406</v>
      </c>
      <c r="AP128">
        <v>123.87032807357703</v>
      </c>
      <c r="AQ128">
        <v>100.05662973497287</v>
      </c>
      <c r="AR128">
        <v>130.03396631524012</v>
      </c>
      <c r="AS128">
        <v>49.921289961567595</v>
      </c>
      <c r="AT128">
        <v>49.999421688313198</v>
      </c>
      <c r="AU128">
        <v>109.20895041376882</v>
      </c>
      <c r="AV128">
        <v>89.021922951747158</v>
      </c>
      <c r="AW128">
        <v>127.32593884793896</v>
      </c>
      <c r="AX128">
        <v>60.370842064537719</v>
      </c>
      <c r="AY128">
        <v>142.45229707168565</v>
      </c>
      <c r="AZ128">
        <v>98.079960695866021</v>
      </c>
      <c r="BA128">
        <v>-0.75826800000001526</v>
      </c>
      <c r="BB128">
        <v>3640.9065031</v>
      </c>
      <c r="BC128">
        <v>3628.8734992999998</v>
      </c>
    </row>
    <row r="129" spans="1:40">
      <c r="A129" t="s">
        <v>683</v>
      </c>
      <c r="I129">
        <v>2.2667195248987881</v>
      </c>
      <c r="W129">
        <v>133.7184108521237</v>
      </c>
      <c r="X129">
        <v>125.31325949615098</v>
      </c>
      <c r="AN129">
        <v>133.79096133838843</v>
      </c>
    </row>
    <row r="130" spans="1:40">
      <c r="A130" t="s">
        <v>684</v>
      </c>
      <c r="W130">
        <v>136.17859732871972</v>
      </c>
      <c r="X130">
        <v>126.03582881550057</v>
      </c>
      <c r="AN130">
        <v>133.71698785334743</v>
      </c>
    </row>
    <row r="131" spans="1:40">
      <c r="A131" t="s">
        <v>685</v>
      </c>
      <c r="W131">
        <v>138.69281729875314</v>
      </c>
      <c r="X131">
        <v>128.0338871695968</v>
      </c>
      <c r="AN131">
        <v>134.36075749455637</v>
      </c>
    </row>
    <row r="132" spans="1:40">
      <c r="A132" t="s">
        <v>686</v>
      </c>
      <c r="W132">
        <v>140.55385438714529</v>
      </c>
      <c r="X132">
        <v>129.56915815766155</v>
      </c>
      <c r="AN132">
        <v>135.40266966421694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EB14-EA9B-48A5-8E22-828BEE0E134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4559-A764-4185-9000-08B4850C8385}">
  <dimension ref="A1:T379"/>
  <sheetViews>
    <sheetView zoomScale="119" zoomScaleNormal="130" workbookViewId="0">
      <pane xSplit="1" ySplit="7" topLeftCell="C367" activePane="bottomRight" state="frozen"/>
      <selection pane="topRight" activeCell="B1" sqref="B1"/>
      <selection pane="bottomLeft" activeCell="A8" sqref="A8"/>
      <selection pane="bottomRight" activeCell="D382" sqref="D382"/>
    </sheetView>
  </sheetViews>
  <sheetFormatPr defaultRowHeight="15"/>
  <cols>
    <col min="1" max="1" width="12.85546875" bestFit="1" customWidth="1"/>
  </cols>
  <sheetData>
    <row r="1" spans="1:20">
      <c r="A1" t="s">
        <v>0</v>
      </c>
      <c r="B1" t="s">
        <v>687</v>
      </c>
      <c r="C1" t="s">
        <v>687</v>
      </c>
      <c r="D1" t="s">
        <v>687</v>
      </c>
      <c r="E1" t="s">
        <v>687</v>
      </c>
      <c r="F1" t="s">
        <v>687</v>
      </c>
      <c r="G1" t="s">
        <v>687</v>
      </c>
      <c r="H1" t="s">
        <v>687</v>
      </c>
      <c r="I1" t="s">
        <v>687</v>
      </c>
      <c r="J1" t="s">
        <v>687</v>
      </c>
      <c r="K1" t="s">
        <v>687</v>
      </c>
      <c r="L1" t="s">
        <v>687</v>
      </c>
      <c r="M1" t="s">
        <v>687</v>
      </c>
      <c r="N1" t="s">
        <v>687</v>
      </c>
      <c r="O1" t="s">
        <v>687</v>
      </c>
      <c r="P1" t="s">
        <v>687</v>
      </c>
      <c r="Q1" t="s">
        <v>687</v>
      </c>
      <c r="R1" t="s">
        <v>687</v>
      </c>
      <c r="S1" t="s">
        <v>687</v>
      </c>
      <c r="T1" t="s">
        <v>687</v>
      </c>
    </row>
    <row r="2" spans="1:20">
      <c r="A2" t="s">
        <v>2</v>
      </c>
      <c r="B2" t="s">
        <v>688</v>
      </c>
      <c r="C2" t="s">
        <v>689</v>
      </c>
      <c r="D2" t="s">
        <v>690</v>
      </c>
      <c r="E2" t="s">
        <v>691</v>
      </c>
      <c r="F2" t="s">
        <v>692</v>
      </c>
      <c r="G2" t="s">
        <v>693</v>
      </c>
      <c r="H2" t="s">
        <v>694</v>
      </c>
      <c r="I2" t="s">
        <v>695</v>
      </c>
      <c r="J2" t="s">
        <v>696</v>
      </c>
      <c r="K2" t="s">
        <v>697</v>
      </c>
      <c r="L2" t="s">
        <v>698</v>
      </c>
      <c r="M2" t="s">
        <v>699</v>
      </c>
      <c r="N2" t="s">
        <v>700</v>
      </c>
      <c r="O2" t="s">
        <v>701</v>
      </c>
      <c r="P2" t="s">
        <v>702</v>
      </c>
      <c r="Q2" t="s">
        <v>703</v>
      </c>
      <c r="R2" t="s">
        <v>704</v>
      </c>
      <c r="S2" t="s">
        <v>745</v>
      </c>
      <c r="T2" t="s">
        <v>746</v>
      </c>
    </row>
    <row r="3" spans="1:20">
      <c r="A3" t="s">
        <v>705</v>
      </c>
      <c r="B3" t="s">
        <v>706</v>
      </c>
      <c r="C3" t="s">
        <v>707</v>
      </c>
      <c r="D3" t="s">
        <v>708</v>
      </c>
      <c r="E3" t="s">
        <v>709</v>
      </c>
      <c r="F3" t="s">
        <v>710</v>
      </c>
      <c r="G3" t="s">
        <v>711</v>
      </c>
      <c r="H3" t="s">
        <v>712</v>
      </c>
      <c r="I3" t="s">
        <v>713</v>
      </c>
      <c r="J3" t="s">
        <v>714</v>
      </c>
      <c r="K3" t="s">
        <v>715</v>
      </c>
      <c r="L3" t="s">
        <v>716</v>
      </c>
      <c r="M3" t="s">
        <v>717</v>
      </c>
      <c r="N3" t="s">
        <v>718</v>
      </c>
      <c r="O3" t="s">
        <v>719</v>
      </c>
      <c r="P3" t="s">
        <v>720</v>
      </c>
      <c r="Q3" t="s">
        <v>721</v>
      </c>
      <c r="R3" t="s">
        <v>69</v>
      </c>
      <c r="S3" t="s">
        <v>747</v>
      </c>
      <c r="T3" t="s">
        <v>748</v>
      </c>
    </row>
    <row r="4" spans="1:20">
      <c r="A4" t="s">
        <v>722</v>
      </c>
      <c r="B4" t="s">
        <v>723</v>
      </c>
      <c r="C4" t="s">
        <v>723</v>
      </c>
      <c r="D4" t="s">
        <v>723</v>
      </c>
      <c r="E4" t="s">
        <v>723</v>
      </c>
      <c r="F4" t="s">
        <v>723</v>
      </c>
      <c r="G4" t="s">
        <v>723</v>
      </c>
      <c r="H4" t="s">
        <v>723</v>
      </c>
      <c r="I4" t="s">
        <v>723</v>
      </c>
      <c r="J4" t="s">
        <v>723</v>
      </c>
      <c r="K4" t="s">
        <v>723</v>
      </c>
      <c r="L4" t="s">
        <v>723</v>
      </c>
      <c r="M4" t="s">
        <v>723</v>
      </c>
      <c r="N4" t="s">
        <v>723</v>
      </c>
      <c r="O4" t="s">
        <v>723</v>
      </c>
      <c r="P4" t="s">
        <v>723</v>
      </c>
      <c r="Q4" t="s">
        <v>723</v>
      </c>
      <c r="R4" t="s">
        <v>723</v>
      </c>
      <c r="S4" t="s">
        <v>749</v>
      </c>
      <c r="T4" t="s">
        <v>749</v>
      </c>
    </row>
    <row r="5" spans="1:20">
      <c r="A5" t="s">
        <v>111</v>
      </c>
      <c r="B5" t="s">
        <v>112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</row>
    <row r="6" spans="1:20">
      <c r="A6" t="s">
        <v>113</v>
      </c>
      <c r="B6" t="s">
        <v>114</v>
      </c>
      <c r="C6" t="s">
        <v>114</v>
      </c>
      <c r="D6" t="s">
        <v>114</v>
      </c>
      <c r="E6" t="s">
        <v>114</v>
      </c>
      <c r="F6" t="s">
        <v>114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</row>
    <row r="7" spans="1:20">
      <c r="A7" t="s">
        <v>116</v>
      </c>
      <c r="B7" t="s">
        <v>114</v>
      </c>
      <c r="C7" t="s">
        <v>114</v>
      </c>
      <c r="D7" t="s">
        <v>114</v>
      </c>
      <c r="E7" t="s">
        <v>114</v>
      </c>
      <c r="F7" t="s">
        <v>114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</row>
    <row r="8" spans="1:20">
      <c r="A8" t="s">
        <v>117</v>
      </c>
      <c r="B8">
        <v>1528</v>
      </c>
      <c r="C8">
        <v>38</v>
      </c>
      <c r="D8">
        <v>31</v>
      </c>
      <c r="E8">
        <v>2365.55699088135</v>
      </c>
      <c r="F8">
        <v>409.81906127929699</v>
      </c>
      <c r="G8">
        <v>14.05</v>
      </c>
      <c r="H8">
        <v>1.7299999660915799</v>
      </c>
      <c r="K8">
        <v>7056</v>
      </c>
      <c r="L8">
        <v>21.25</v>
      </c>
      <c r="M8">
        <v>17.57</v>
      </c>
      <c r="N8">
        <v>22.96</v>
      </c>
      <c r="O8">
        <v>135.41304347826087</v>
      </c>
      <c r="P8">
        <v>497.65652173913037</v>
      </c>
      <c r="Q8">
        <v>5.2475454545454543</v>
      </c>
      <c r="R8">
        <v>20.59</v>
      </c>
    </row>
    <row r="9" spans="1:20">
      <c r="A9" t="s">
        <v>118</v>
      </c>
      <c r="B9">
        <v>1454</v>
      </c>
      <c r="C9">
        <v>38</v>
      </c>
      <c r="D9">
        <v>31</v>
      </c>
      <c r="E9">
        <v>2358.9434000000001</v>
      </c>
      <c r="F9">
        <v>417.18106079101602</v>
      </c>
      <c r="G9">
        <v>14.05</v>
      </c>
      <c r="H9">
        <v>1.7299999660915799</v>
      </c>
      <c r="K9">
        <v>6977</v>
      </c>
      <c r="L9">
        <v>19.93</v>
      </c>
      <c r="M9">
        <v>17</v>
      </c>
      <c r="N9">
        <v>22.12</v>
      </c>
      <c r="O9">
        <v>135.43750000000003</v>
      </c>
      <c r="P9">
        <v>516.09999999999991</v>
      </c>
      <c r="Q9">
        <v>5.2893500000000007</v>
      </c>
      <c r="R9">
        <v>19.68</v>
      </c>
    </row>
    <row r="10" spans="1:20">
      <c r="A10" t="s">
        <v>119</v>
      </c>
      <c r="B10">
        <v>1567</v>
      </c>
      <c r="C10">
        <v>38</v>
      </c>
      <c r="D10">
        <v>31</v>
      </c>
      <c r="E10">
        <v>2625.7027227584799</v>
      </c>
      <c r="F10">
        <v>392.70333862304699</v>
      </c>
      <c r="G10">
        <v>14.05</v>
      </c>
      <c r="H10">
        <v>1.7299999660915799</v>
      </c>
      <c r="K10">
        <v>9267</v>
      </c>
      <c r="L10">
        <v>18.37</v>
      </c>
      <c r="M10">
        <v>15.59</v>
      </c>
      <c r="N10">
        <v>20.41</v>
      </c>
      <c r="O10">
        <v>130.28181818181818</v>
      </c>
      <c r="P10">
        <v>497.06363636363636</v>
      </c>
      <c r="Q10">
        <v>5.0768863636363628</v>
      </c>
      <c r="R10">
        <v>18.12</v>
      </c>
    </row>
    <row r="11" spans="1:20">
      <c r="A11" t="s">
        <v>120</v>
      </c>
      <c r="B11">
        <v>1526</v>
      </c>
      <c r="C11">
        <v>38</v>
      </c>
      <c r="D11">
        <v>31</v>
      </c>
      <c r="E11">
        <v>2685.2268908813498</v>
      </c>
      <c r="F11">
        <v>374.29211425781301</v>
      </c>
      <c r="G11">
        <v>14.05</v>
      </c>
      <c r="H11">
        <v>2.1099997626410598</v>
      </c>
      <c r="K11">
        <v>8939</v>
      </c>
      <c r="L11">
        <v>16.489999999999998</v>
      </c>
      <c r="M11">
        <v>14.05</v>
      </c>
      <c r="N11">
        <v>18.43</v>
      </c>
      <c r="O11">
        <v>126.95952380952379</v>
      </c>
      <c r="P11">
        <v>478.14761904761906</v>
      </c>
      <c r="Q11">
        <v>5.0589999999999993</v>
      </c>
      <c r="R11">
        <v>16.32</v>
      </c>
    </row>
    <row r="12" spans="1:20">
      <c r="A12" t="s">
        <v>121</v>
      </c>
      <c r="B12">
        <v>1527</v>
      </c>
      <c r="C12">
        <v>40.5</v>
      </c>
      <c r="D12">
        <v>32.5</v>
      </c>
      <c r="E12">
        <v>2740.3423908813502</v>
      </c>
      <c r="F12">
        <v>369.19763183593801</v>
      </c>
      <c r="G12">
        <v>14.05</v>
      </c>
      <c r="H12">
        <v>2.1099997626410598</v>
      </c>
      <c r="K12">
        <v>8698</v>
      </c>
      <c r="L12">
        <v>16.34</v>
      </c>
      <c r="M12">
        <v>14.03</v>
      </c>
      <c r="N12">
        <v>18.25</v>
      </c>
      <c r="O12">
        <v>119.64347826086957</v>
      </c>
      <c r="P12">
        <v>488.55434782608694</v>
      </c>
      <c r="Q12">
        <v>5.0730476190476184</v>
      </c>
      <c r="R12">
        <v>16.21</v>
      </c>
    </row>
    <row r="13" spans="1:20">
      <c r="A13" t="s">
        <v>122</v>
      </c>
      <c r="B13">
        <v>1566</v>
      </c>
      <c r="C13">
        <v>40.5</v>
      </c>
      <c r="D13">
        <v>34</v>
      </c>
      <c r="E13">
        <v>2583.8149091186501</v>
      </c>
      <c r="F13">
        <v>352.52761840820301</v>
      </c>
      <c r="G13">
        <v>14.05</v>
      </c>
      <c r="H13">
        <v>2.1099997626410598</v>
      </c>
      <c r="K13">
        <v>8422</v>
      </c>
      <c r="L13">
        <v>15.05</v>
      </c>
      <c r="M13">
        <v>13.05</v>
      </c>
      <c r="N13">
        <v>16.690000000000001</v>
      </c>
      <c r="O13">
        <v>115.45952380952379</v>
      </c>
      <c r="P13">
        <v>481.1142857142857</v>
      </c>
      <c r="Q13">
        <v>4.9182857142857141</v>
      </c>
      <c r="R13">
        <v>14.93</v>
      </c>
    </row>
    <row r="14" spans="1:20">
      <c r="A14" t="s">
        <v>123</v>
      </c>
      <c r="B14">
        <v>1571</v>
      </c>
      <c r="C14">
        <v>40.5</v>
      </c>
      <c r="D14">
        <v>34</v>
      </c>
      <c r="E14">
        <v>2769.0030227584798</v>
      </c>
      <c r="F14">
        <v>362.49856567382801</v>
      </c>
      <c r="G14">
        <v>14.05</v>
      </c>
      <c r="H14">
        <v>1.9199998643663201</v>
      </c>
      <c r="K14">
        <v>9318</v>
      </c>
      <c r="L14">
        <v>17.14</v>
      </c>
      <c r="M14">
        <v>14.88</v>
      </c>
      <c r="N14">
        <v>18.420000000000002</v>
      </c>
      <c r="O14">
        <v>117.09318181818183</v>
      </c>
      <c r="P14">
        <v>478.78863636363627</v>
      </c>
      <c r="Q14">
        <v>4.8710000000000004</v>
      </c>
      <c r="R14">
        <v>16.809999999999999</v>
      </c>
    </row>
    <row r="15" spans="1:20">
      <c r="A15" t="s">
        <v>124</v>
      </c>
      <c r="B15">
        <v>1782</v>
      </c>
      <c r="C15">
        <v>40.5</v>
      </c>
      <c r="D15">
        <v>34</v>
      </c>
      <c r="E15">
        <v>2956.3955545593299</v>
      </c>
      <c r="F15">
        <v>394.63180541992199</v>
      </c>
      <c r="G15">
        <v>14.05</v>
      </c>
      <c r="H15">
        <v>1.9199998643663201</v>
      </c>
      <c r="K15">
        <v>10957</v>
      </c>
      <c r="L15">
        <v>27.32</v>
      </c>
      <c r="M15">
        <v>25.06</v>
      </c>
      <c r="N15">
        <v>27.23</v>
      </c>
      <c r="O15">
        <v>115.41304347826087</v>
      </c>
      <c r="P15">
        <v>492.73478260869564</v>
      </c>
      <c r="Q15">
        <v>5.0018409090909088</v>
      </c>
      <c r="R15">
        <v>26.54</v>
      </c>
    </row>
    <row r="16" spans="1:20">
      <c r="A16" t="s">
        <v>125</v>
      </c>
      <c r="B16">
        <v>2067</v>
      </c>
      <c r="C16">
        <v>40.5</v>
      </c>
      <c r="D16">
        <v>34</v>
      </c>
      <c r="E16">
        <v>3040.1708454406698</v>
      </c>
      <c r="F16">
        <v>389.75500488281301</v>
      </c>
      <c r="G16">
        <v>14.05</v>
      </c>
      <c r="H16">
        <v>1.9199998643663201</v>
      </c>
      <c r="K16">
        <v>10844</v>
      </c>
      <c r="L16">
        <v>35.03</v>
      </c>
      <c r="M16">
        <v>32.03</v>
      </c>
      <c r="N16">
        <v>33.799999999999997</v>
      </c>
      <c r="O16">
        <v>105.06599999999999</v>
      </c>
      <c r="P16">
        <v>461.66499999999996</v>
      </c>
      <c r="Q16">
        <v>4.8037749999999999</v>
      </c>
      <c r="R16">
        <v>33.619999999999997</v>
      </c>
    </row>
    <row r="17" spans="1:20">
      <c r="A17" t="s">
        <v>126</v>
      </c>
      <c r="B17">
        <v>1946</v>
      </c>
      <c r="C17">
        <v>40.5</v>
      </c>
      <c r="D17">
        <v>34</v>
      </c>
      <c r="E17">
        <v>2742.5469772415199</v>
      </c>
      <c r="F17">
        <v>380.99520874023398</v>
      </c>
      <c r="G17">
        <v>14.05</v>
      </c>
      <c r="H17">
        <v>2.3799997965494799</v>
      </c>
      <c r="K17">
        <v>9145</v>
      </c>
      <c r="L17">
        <v>36.090000000000003</v>
      </c>
      <c r="M17">
        <v>32.340000000000003</v>
      </c>
      <c r="N17">
        <v>36.130000000000003</v>
      </c>
      <c r="O17">
        <v>95.493478260869566</v>
      </c>
      <c r="P17">
        <v>424.94565217391306</v>
      </c>
      <c r="Q17">
        <v>4.3891086956521743</v>
      </c>
      <c r="R17">
        <v>34.85</v>
      </c>
    </row>
    <row r="18" spans="1:20">
      <c r="A18" t="s">
        <v>127</v>
      </c>
      <c r="B18">
        <v>1618</v>
      </c>
      <c r="C18">
        <v>40.5</v>
      </c>
      <c r="D18">
        <v>34</v>
      </c>
      <c r="E18">
        <v>2583.8149091186501</v>
      </c>
      <c r="F18">
        <v>381.79409790039102</v>
      </c>
      <c r="G18">
        <v>14.05</v>
      </c>
      <c r="H18">
        <v>2.3799997965494799</v>
      </c>
      <c r="K18">
        <v>8587</v>
      </c>
      <c r="L18">
        <v>33.200000000000003</v>
      </c>
      <c r="M18">
        <v>28.98</v>
      </c>
      <c r="N18">
        <v>32.44</v>
      </c>
      <c r="O18">
        <v>93.586363636363615</v>
      </c>
      <c r="P18">
        <v>422.23636363636365</v>
      </c>
      <c r="Q18">
        <v>4.1728863636363638</v>
      </c>
      <c r="R18">
        <v>31.54</v>
      </c>
    </row>
    <row r="19" spans="1:20">
      <c r="A19" t="s">
        <v>128</v>
      </c>
      <c r="B19">
        <v>1522</v>
      </c>
      <c r="C19">
        <v>40.5</v>
      </c>
      <c r="D19">
        <v>34</v>
      </c>
      <c r="E19">
        <v>2484.6070091186498</v>
      </c>
      <c r="F19">
        <v>376.68234252929699</v>
      </c>
      <c r="G19">
        <v>14.05</v>
      </c>
      <c r="H19">
        <v>2.3799997965494799</v>
      </c>
      <c r="K19">
        <v>8158</v>
      </c>
      <c r="L19">
        <v>28.32</v>
      </c>
      <c r="M19">
        <v>24.18</v>
      </c>
      <c r="N19">
        <v>27.33</v>
      </c>
      <c r="O19">
        <v>89.078571428571422</v>
      </c>
      <c r="P19">
        <v>420.07142857142856</v>
      </c>
      <c r="Q19">
        <v>4.0788157894736834</v>
      </c>
      <c r="R19">
        <v>26.61</v>
      </c>
    </row>
    <row r="20" spans="1:20">
      <c r="A20" t="s">
        <v>129</v>
      </c>
      <c r="B20">
        <v>1515</v>
      </c>
      <c r="C20">
        <v>40.5</v>
      </c>
      <c r="D20">
        <v>34</v>
      </c>
      <c r="E20">
        <v>2447.1282000000001</v>
      </c>
      <c r="F20">
        <v>383.70227050781301</v>
      </c>
      <c r="G20">
        <v>15.03</v>
      </c>
      <c r="H20">
        <v>2.95999993218317</v>
      </c>
      <c r="J20">
        <v>1.43</v>
      </c>
      <c r="K20">
        <v>8569</v>
      </c>
      <c r="L20">
        <v>23.54</v>
      </c>
      <c r="M20">
        <v>19.68</v>
      </c>
      <c r="N20">
        <v>25.2</v>
      </c>
      <c r="O20">
        <v>86.765217391304347</v>
      </c>
      <c r="P20">
        <v>407.8356521739131</v>
      </c>
      <c r="Q20">
        <v>4.0504090909090902</v>
      </c>
      <c r="R20">
        <v>22.81</v>
      </c>
    </row>
    <row r="21" spans="1:20">
      <c r="A21" t="s">
        <v>130</v>
      </c>
      <c r="B21">
        <v>1505</v>
      </c>
      <c r="C21">
        <v>40.5</v>
      </c>
      <c r="D21">
        <v>34</v>
      </c>
      <c r="E21">
        <v>2447.1282000000001</v>
      </c>
      <c r="F21">
        <v>364.39166259765602</v>
      </c>
      <c r="G21">
        <v>15.03</v>
      </c>
      <c r="H21">
        <v>2.95999993218317</v>
      </c>
      <c r="J21">
        <v>1.4137500000000001</v>
      </c>
      <c r="K21">
        <v>8672</v>
      </c>
      <c r="L21">
        <v>19.579999999999998</v>
      </c>
      <c r="M21">
        <v>15.51</v>
      </c>
      <c r="N21">
        <v>20.5</v>
      </c>
      <c r="O21">
        <v>84.392499999999984</v>
      </c>
      <c r="P21">
        <v>386.78749999999991</v>
      </c>
      <c r="Q21">
        <v>3.7376499999999999</v>
      </c>
      <c r="R21">
        <v>18.53</v>
      </c>
    </row>
    <row r="22" spans="1:20">
      <c r="A22" t="s">
        <v>131</v>
      </c>
      <c r="B22">
        <v>1496</v>
      </c>
      <c r="C22">
        <v>39.5</v>
      </c>
      <c r="D22">
        <v>31</v>
      </c>
      <c r="E22">
        <v>2409.64939088135</v>
      </c>
      <c r="F22">
        <v>362.76080322265602</v>
      </c>
      <c r="G22">
        <v>15.03</v>
      </c>
      <c r="H22">
        <v>2.95999993218317</v>
      </c>
      <c r="J22">
        <v>1.3560000000000001</v>
      </c>
      <c r="K22">
        <v>8700</v>
      </c>
      <c r="L22">
        <v>19.13</v>
      </c>
      <c r="M22">
        <v>15.65</v>
      </c>
      <c r="N22">
        <v>19.87</v>
      </c>
      <c r="O22">
        <v>86.419047619047618</v>
      </c>
      <c r="P22">
        <v>399.98571428571432</v>
      </c>
      <c r="Q22">
        <v>3.9481250000000001</v>
      </c>
      <c r="R22">
        <v>18.21</v>
      </c>
    </row>
    <row r="23" spans="1:20">
      <c r="A23" t="s">
        <v>132</v>
      </c>
      <c r="B23">
        <v>1392</v>
      </c>
      <c r="C23">
        <v>39.5</v>
      </c>
      <c r="D23">
        <v>31</v>
      </c>
      <c r="E23">
        <v>2471.3793227584802</v>
      </c>
      <c r="F23">
        <v>358.32333374023398</v>
      </c>
      <c r="G23">
        <v>15.03</v>
      </c>
      <c r="H23">
        <v>3.4100002712673598</v>
      </c>
      <c r="J23">
        <v>1.3625</v>
      </c>
      <c r="K23">
        <v>9023</v>
      </c>
      <c r="L23">
        <v>19.13</v>
      </c>
      <c r="M23">
        <v>15.55</v>
      </c>
      <c r="N23">
        <v>20.77</v>
      </c>
      <c r="O23">
        <v>96.375</v>
      </c>
      <c r="P23">
        <v>396.88181818181818</v>
      </c>
      <c r="Q23">
        <v>3.9821428571428572</v>
      </c>
      <c r="R23">
        <v>18.489999999999998</v>
      </c>
    </row>
    <row r="24" spans="1:20">
      <c r="A24" t="s">
        <v>133</v>
      </c>
      <c r="B24">
        <v>1299.94995117188</v>
      </c>
      <c r="C24">
        <v>39.5</v>
      </c>
      <c r="D24">
        <v>31</v>
      </c>
      <c r="E24">
        <v>2340.4246727355999</v>
      </c>
      <c r="F24">
        <v>356.96429443359398</v>
      </c>
      <c r="G24">
        <v>15.03</v>
      </c>
      <c r="H24">
        <v>3.4100002712673598</v>
      </c>
      <c r="J24">
        <v>1.3360000000000001</v>
      </c>
      <c r="K24">
        <v>8499.609375</v>
      </c>
      <c r="L24">
        <v>19.16</v>
      </c>
      <c r="M24">
        <v>15.77</v>
      </c>
      <c r="N24">
        <v>21.24</v>
      </c>
      <c r="O24">
        <v>95.304347826086953</v>
      </c>
      <c r="P24">
        <v>389.63913043478266</v>
      </c>
      <c r="Q24">
        <v>4.0469999999999979</v>
      </c>
      <c r="R24">
        <v>18.72</v>
      </c>
    </row>
    <row r="25" spans="1:20">
      <c r="A25" t="s">
        <v>134</v>
      </c>
      <c r="B25">
        <v>1283.55004882813</v>
      </c>
      <c r="C25">
        <v>39.5</v>
      </c>
      <c r="D25">
        <v>31</v>
      </c>
      <c r="E25">
        <v>2218.0680272567702</v>
      </c>
      <c r="F25">
        <v>366.91000366210898</v>
      </c>
      <c r="G25">
        <v>15.03</v>
      </c>
      <c r="H25">
        <v>3.4100002712673598</v>
      </c>
      <c r="J25">
        <v>1.2511666666666701</v>
      </c>
      <c r="K25">
        <v>8296.5</v>
      </c>
      <c r="L25">
        <v>18.079999999999998</v>
      </c>
      <c r="M25">
        <v>15.03</v>
      </c>
      <c r="N25">
        <v>20.21</v>
      </c>
      <c r="O25">
        <v>97.147500000000008</v>
      </c>
      <c r="P25">
        <v>376.05500000000001</v>
      </c>
      <c r="Q25">
        <v>4.3929</v>
      </c>
      <c r="R25">
        <v>17.78</v>
      </c>
    </row>
    <row r="26" spans="1:20">
      <c r="A26" t="s">
        <v>135</v>
      </c>
      <c r="B26">
        <v>1297.54663085938</v>
      </c>
      <c r="C26">
        <v>39.5</v>
      </c>
      <c r="D26">
        <v>31</v>
      </c>
      <c r="E26">
        <v>2231.2553458190901</v>
      </c>
      <c r="F26">
        <v>367.79226684570301</v>
      </c>
      <c r="G26">
        <v>15.03</v>
      </c>
      <c r="H26">
        <v>3.1200002034505299</v>
      </c>
      <c r="J26">
        <v>1.1485000000000001</v>
      </c>
      <c r="K26">
        <v>8515.201171875</v>
      </c>
      <c r="L26">
        <v>19.420000000000002</v>
      </c>
      <c r="M26">
        <v>16.13</v>
      </c>
      <c r="N26">
        <v>21.52</v>
      </c>
      <c r="O26">
        <v>94.487826086956531</v>
      </c>
      <c r="P26">
        <v>376.03478260869559</v>
      </c>
      <c r="Q26">
        <v>4.3474999999999993</v>
      </c>
      <c r="R26">
        <v>19.02</v>
      </c>
    </row>
    <row r="27" spans="1:20">
      <c r="A27" t="s">
        <v>136</v>
      </c>
      <c r="B27">
        <v>1259.693359375</v>
      </c>
      <c r="C27">
        <v>39.5</v>
      </c>
      <c r="D27">
        <v>31</v>
      </c>
      <c r="E27">
        <v>2236.1867769241298</v>
      </c>
      <c r="F27">
        <v>356.66952514648398</v>
      </c>
      <c r="G27">
        <v>15.03</v>
      </c>
      <c r="H27">
        <v>3.1200002034505299</v>
      </c>
      <c r="J27">
        <v>1.3028</v>
      </c>
      <c r="K27">
        <v>8154.75</v>
      </c>
      <c r="L27">
        <v>19.73</v>
      </c>
      <c r="M27">
        <v>16.47</v>
      </c>
      <c r="N27">
        <v>21.7</v>
      </c>
      <c r="O27">
        <v>82.772727272727266</v>
      </c>
      <c r="P27">
        <v>346.34772727272724</v>
      </c>
      <c r="Q27">
        <v>3.9575</v>
      </c>
      <c r="R27">
        <v>19.3</v>
      </c>
    </row>
    <row r="28" spans="1:20">
      <c r="A28" t="s">
        <v>137</v>
      </c>
      <c r="B28">
        <v>1212.09521484375</v>
      </c>
      <c r="C28">
        <v>39.5</v>
      </c>
      <c r="D28">
        <v>31</v>
      </c>
      <c r="E28">
        <v>2318.5830029113799</v>
      </c>
      <c r="F28">
        <v>348.74285888671898</v>
      </c>
      <c r="G28">
        <v>15.03</v>
      </c>
      <c r="H28">
        <v>3.1200002034505299</v>
      </c>
      <c r="J28">
        <v>1.473125</v>
      </c>
      <c r="K28">
        <v>7675.953125</v>
      </c>
      <c r="L28">
        <v>20.48</v>
      </c>
      <c r="M28">
        <v>17.5</v>
      </c>
      <c r="N28">
        <v>21.86</v>
      </c>
      <c r="O28">
        <v>81.954761904761909</v>
      </c>
      <c r="P28">
        <v>349.34047619047618</v>
      </c>
      <c r="Q28">
        <v>4.0374761904761911</v>
      </c>
      <c r="R28">
        <v>19.95</v>
      </c>
    </row>
    <row r="29" spans="1:20">
      <c r="A29" t="s">
        <v>138</v>
      </c>
      <c r="B29">
        <v>1152.95458984375</v>
      </c>
      <c r="C29">
        <v>39.5</v>
      </c>
      <c r="D29">
        <v>31</v>
      </c>
      <c r="E29">
        <v>2360.64557547607</v>
      </c>
      <c r="F29">
        <v>358.81436157226602</v>
      </c>
      <c r="G29">
        <v>15.03</v>
      </c>
      <c r="H29">
        <v>2.5400000678168402</v>
      </c>
      <c r="J29">
        <v>1.6819999999999999</v>
      </c>
      <c r="K29">
        <v>7453.86328125</v>
      </c>
      <c r="L29">
        <v>22.25</v>
      </c>
      <c r="M29">
        <v>19.12</v>
      </c>
      <c r="N29">
        <v>23.3</v>
      </c>
      <c r="O29">
        <v>85.282608695652172</v>
      </c>
      <c r="P29">
        <v>362.48260869565217</v>
      </c>
      <c r="Q29">
        <v>4.1153913043478259</v>
      </c>
      <c r="R29">
        <v>21.56</v>
      </c>
    </row>
    <row r="30" spans="1:20">
      <c r="A30" t="s">
        <v>139</v>
      </c>
      <c r="B30">
        <v>1134.92504882813</v>
      </c>
      <c r="C30">
        <v>39.5</v>
      </c>
      <c r="D30">
        <v>31</v>
      </c>
      <c r="E30">
        <v>2375.6603778869599</v>
      </c>
      <c r="F30">
        <v>359.58999633789102</v>
      </c>
      <c r="G30">
        <v>15.03</v>
      </c>
      <c r="H30">
        <v>2.5400000678168402</v>
      </c>
      <c r="J30">
        <v>1.8051999999999999</v>
      </c>
      <c r="K30">
        <v>7258.5</v>
      </c>
      <c r="L30">
        <v>21</v>
      </c>
      <c r="M30">
        <v>17.760000000000002</v>
      </c>
      <c r="N30">
        <v>22.46</v>
      </c>
      <c r="O30">
        <v>85.242857142857133</v>
      </c>
      <c r="P30">
        <v>365.10952380952381</v>
      </c>
      <c r="Q30">
        <v>4.0722857142857141</v>
      </c>
      <c r="R30">
        <v>20.41</v>
      </c>
    </row>
    <row r="31" spans="1:20">
      <c r="A31" t="s">
        <v>140</v>
      </c>
      <c r="B31">
        <v>1099.5263671875</v>
      </c>
      <c r="C31">
        <v>39.5</v>
      </c>
      <c r="D31">
        <v>31</v>
      </c>
      <c r="E31">
        <v>2205.9184974975601</v>
      </c>
      <c r="F31">
        <v>361.53201293945301</v>
      </c>
      <c r="G31">
        <v>15.03</v>
      </c>
      <c r="H31">
        <v>2.5400000678168402</v>
      </c>
      <c r="J31">
        <v>1.8480000000000001</v>
      </c>
      <c r="K31">
        <v>7140.263671875</v>
      </c>
      <c r="L31">
        <v>18.28</v>
      </c>
      <c r="M31">
        <v>15.11</v>
      </c>
      <c r="N31">
        <v>19.510000000000002</v>
      </c>
      <c r="O31">
        <v>82.375</v>
      </c>
      <c r="P31">
        <v>353.29545454545456</v>
      </c>
      <c r="Q31">
        <v>3.9470750000000003</v>
      </c>
      <c r="R31">
        <v>17.63</v>
      </c>
    </row>
    <row r="32" spans="1:20">
      <c r="A32" t="s">
        <v>141</v>
      </c>
      <c r="B32">
        <v>1181.22729492188</v>
      </c>
      <c r="C32">
        <v>39.5</v>
      </c>
      <c r="D32">
        <v>31</v>
      </c>
      <c r="E32">
        <v>2150.5796290161102</v>
      </c>
      <c r="F32">
        <v>354.70095825195301</v>
      </c>
      <c r="G32">
        <v>14.31</v>
      </c>
      <c r="H32">
        <v>2.3799997965494799</v>
      </c>
      <c r="I32">
        <v>3.8</v>
      </c>
      <c r="J32">
        <v>1.4404999999999999</v>
      </c>
      <c r="K32">
        <v>7531.13671875</v>
      </c>
      <c r="L32">
        <v>18.55</v>
      </c>
      <c r="M32">
        <v>15.25</v>
      </c>
      <c r="N32">
        <v>18.760000000000002</v>
      </c>
      <c r="O32">
        <v>82.936956521739134</v>
      </c>
      <c r="P32">
        <v>341.18695652173915</v>
      </c>
      <c r="Q32">
        <v>4.1214090909090917</v>
      </c>
      <c r="R32">
        <v>17.52</v>
      </c>
      <c r="S32">
        <v>50.254019417079732</v>
      </c>
      <c r="T32">
        <v>65.815899600721835</v>
      </c>
    </row>
    <row r="33" spans="1:20">
      <c r="A33" t="s">
        <v>142</v>
      </c>
      <c r="B33">
        <v>1270.75</v>
      </c>
      <c r="C33">
        <v>39.5</v>
      </c>
      <c r="D33">
        <v>31</v>
      </c>
      <c r="E33">
        <v>2208.8922586059598</v>
      </c>
      <c r="F33">
        <v>353.77999877929699</v>
      </c>
      <c r="G33">
        <v>14.31</v>
      </c>
      <c r="H33">
        <v>2.3799997965494799</v>
      </c>
      <c r="I33">
        <v>3.55</v>
      </c>
      <c r="J33">
        <v>1.18</v>
      </c>
      <c r="K33">
        <v>7888</v>
      </c>
      <c r="L33">
        <v>18.48</v>
      </c>
      <c r="M33">
        <v>15.46</v>
      </c>
      <c r="N33">
        <v>18.989999999999998</v>
      </c>
      <c r="O33">
        <v>85.422499999999999</v>
      </c>
      <c r="P33">
        <v>362.1225</v>
      </c>
      <c r="Q33">
        <v>4.1456999999999997</v>
      </c>
      <c r="R33">
        <v>17.649999999999999</v>
      </c>
      <c r="S33">
        <v>50.247364224855644</v>
      </c>
      <c r="T33">
        <v>66.41170930398593</v>
      </c>
    </row>
    <row r="34" spans="1:20">
      <c r="A34" t="s">
        <v>143</v>
      </c>
      <c r="B34">
        <v>1282.02270507813</v>
      </c>
      <c r="C34">
        <v>39.5</v>
      </c>
      <c r="D34">
        <v>31</v>
      </c>
      <c r="E34">
        <v>2231.7855095642099</v>
      </c>
      <c r="F34">
        <v>344.18331909179699</v>
      </c>
      <c r="G34">
        <v>14.31</v>
      </c>
      <c r="H34">
        <v>2.3799997965494799</v>
      </c>
      <c r="I34">
        <v>3.45</v>
      </c>
      <c r="J34">
        <v>1.26</v>
      </c>
      <c r="K34">
        <v>7430.455078125</v>
      </c>
      <c r="L34">
        <v>17.59</v>
      </c>
      <c r="M34">
        <v>15.56</v>
      </c>
      <c r="N34">
        <v>18.920000000000002</v>
      </c>
      <c r="O34">
        <v>84.459090909090918</v>
      </c>
      <c r="P34">
        <v>356.93863636363636</v>
      </c>
      <c r="Q34">
        <v>4.1104318181818185</v>
      </c>
      <c r="R34">
        <v>17.350000000000001</v>
      </c>
      <c r="S34">
        <v>50.273464326349981</v>
      </c>
      <c r="T34">
        <v>67.330671115346959</v>
      </c>
    </row>
    <row r="35" spans="1:20">
      <c r="A35" t="s">
        <v>144</v>
      </c>
      <c r="B35">
        <v>1317.125</v>
      </c>
      <c r="C35">
        <v>39.5</v>
      </c>
      <c r="D35">
        <v>31</v>
      </c>
      <c r="E35">
        <v>2214.1668159927399</v>
      </c>
      <c r="F35">
        <v>338.69158935546898</v>
      </c>
      <c r="G35">
        <v>14.31</v>
      </c>
      <c r="H35">
        <v>2.3399997287326402</v>
      </c>
      <c r="I35">
        <v>3.45</v>
      </c>
      <c r="J35">
        <v>1.3905000000000001</v>
      </c>
      <c r="K35">
        <v>7417.951171875</v>
      </c>
      <c r="L35">
        <v>19.059999999999999</v>
      </c>
      <c r="M35">
        <v>16.670000000000002</v>
      </c>
      <c r="N35">
        <v>20.23</v>
      </c>
      <c r="O35">
        <v>83.313636363636363</v>
      </c>
      <c r="P35">
        <v>347.29999999999995</v>
      </c>
      <c r="Q35">
        <v>4.0525000000000002</v>
      </c>
      <c r="R35">
        <v>18.649999999999999</v>
      </c>
      <c r="S35">
        <v>50.689243459351957</v>
      </c>
      <c r="T35">
        <v>64.459291567258063</v>
      </c>
    </row>
    <row r="36" spans="1:20">
      <c r="A36" t="s">
        <v>145</v>
      </c>
      <c r="B36">
        <v>1306.71069335938</v>
      </c>
      <c r="C36">
        <v>39.5</v>
      </c>
      <c r="D36">
        <v>31</v>
      </c>
      <c r="E36">
        <v>2219.3150558120701</v>
      </c>
      <c r="F36">
        <v>337.09893798828102</v>
      </c>
      <c r="G36">
        <v>14.31</v>
      </c>
      <c r="H36">
        <v>2.3399997287326402</v>
      </c>
      <c r="I36">
        <v>3.585</v>
      </c>
      <c r="J36">
        <v>1.5532999999999999</v>
      </c>
      <c r="K36">
        <v>7333.947265625</v>
      </c>
      <c r="L36">
        <v>20.03</v>
      </c>
      <c r="M36">
        <v>17.57</v>
      </c>
      <c r="N36">
        <v>20.97</v>
      </c>
      <c r="O36">
        <v>82.840476190476195</v>
      </c>
      <c r="P36">
        <v>358.58809523809521</v>
      </c>
      <c r="Q36">
        <v>4.0746052631578955</v>
      </c>
      <c r="R36">
        <v>19.52</v>
      </c>
      <c r="S36">
        <v>52.134938586503672</v>
      </c>
      <c r="T36">
        <v>66.748540687170816</v>
      </c>
    </row>
    <row r="37" spans="1:20">
      <c r="A37" t="s">
        <v>146</v>
      </c>
      <c r="B37">
        <v>1275.27270507813</v>
      </c>
      <c r="C37">
        <v>39.5</v>
      </c>
      <c r="D37">
        <v>29</v>
      </c>
      <c r="E37">
        <v>2296.4419385864298</v>
      </c>
      <c r="F37">
        <v>341.02191162109398</v>
      </c>
      <c r="G37">
        <v>14.31</v>
      </c>
      <c r="H37">
        <v>2.3399997287326402</v>
      </c>
      <c r="I37">
        <v>3.72</v>
      </c>
      <c r="J37">
        <v>1.5914999999999999</v>
      </c>
      <c r="K37">
        <v>7202.36328125</v>
      </c>
      <c r="L37">
        <v>21.28</v>
      </c>
      <c r="M37">
        <v>18.98</v>
      </c>
      <c r="N37">
        <v>22.37</v>
      </c>
      <c r="O37">
        <v>80.643181818181816</v>
      </c>
      <c r="P37">
        <v>369.12727272727284</v>
      </c>
      <c r="Q37">
        <v>4.0639090909090907</v>
      </c>
      <c r="R37">
        <v>20.88</v>
      </c>
      <c r="S37">
        <v>52.346674124955584</v>
      </c>
      <c r="T37">
        <v>63.745079645424582</v>
      </c>
    </row>
    <row r="38" spans="1:20">
      <c r="A38" t="s">
        <v>147</v>
      </c>
      <c r="B38">
        <v>1314.34790039063</v>
      </c>
      <c r="C38">
        <v>39.5</v>
      </c>
      <c r="D38">
        <v>27</v>
      </c>
      <c r="E38">
        <v>2527.2850224014301</v>
      </c>
      <c r="F38">
        <v>352.25448608398398</v>
      </c>
      <c r="G38">
        <v>14.31</v>
      </c>
      <c r="H38">
        <v>2.3900002373589402</v>
      </c>
      <c r="I38">
        <v>3.94</v>
      </c>
      <c r="J38">
        <v>1.6832</v>
      </c>
      <c r="K38">
        <v>7516.173828125</v>
      </c>
      <c r="L38">
        <v>20.34</v>
      </c>
      <c r="M38">
        <v>18.440000000000001</v>
      </c>
      <c r="N38">
        <v>21.77</v>
      </c>
      <c r="O38">
        <v>87.02391304347826</v>
      </c>
      <c r="P38">
        <v>383.12173913043478</v>
      </c>
      <c r="Q38">
        <v>3.9675217391304347</v>
      </c>
      <c r="R38">
        <v>20.18</v>
      </c>
      <c r="S38">
        <v>51.987545489189436</v>
      </c>
      <c r="T38">
        <v>62.348686557278228</v>
      </c>
    </row>
    <row r="39" spans="1:20">
      <c r="A39" t="s">
        <v>148</v>
      </c>
      <c r="B39">
        <v>1305.55004882813</v>
      </c>
      <c r="C39">
        <v>39.5</v>
      </c>
      <c r="D39">
        <v>27</v>
      </c>
      <c r="E39">
        <v>2513.4699845825198</v>
      </c>
      <c r="F39">
        <v>342.89285278320301</v>
      </c>
      <c r="G39">
        <v>14.31</v>
      </c>
      <c r="H39">
        <v>2.3900002373589402</v>
      </c>
      <c r="I39">
        <v>3.96</v>
      </c>
      <c r="J39">
        <v>1.9139999999999999</v>
      </c>
      <c r="K39">
        <v>7279.75</v>
      </c>
      <c r="L39">
        <v>19.77</v>
      </c>
      <c r="M39">
        <v>17.78</v>
      </c>
      <c r="N39">
        <v>21.31</v>
      </c>
      <c r="O39">
        <v>85.530952380952385</v>
      </c>
      <c r="P39">
        <v>359.55238095238099</v>
      </c>
      <c r="Q39">
        <v>3.8184249999999986</v>
      </c>
      <c r="R39">
        <v>19.62</v>
      </c>
      <c r="S39">
        <v>51.997661387130385</v>
      </c>
      <c r="T39">
        <v>63.561043026276074</v>
      </c>
    </row>
    <row r="40" spans="1:20">
      <c r="A40" t="s">
        <v>149</v>
      </c>
      <c r="B40">
        <v>1270.21435546875</v>
      </c>
      <c r="C40">
        <v>39.5</v>
      </c>
      <c r="D40">
        <v>27</v>
      </c>
      <c r="E40">
        <v>2419.6141817810098</v>
      </c>
      <c r="F40">
        <v>345.00650024414102</v>
      </c>
      <c r="G40">
        <v>14.31</v>
      </c>
      <c r="H40">
        <v>2.3900002373589402</v>
      </c>
      <c r="I40">
        <v>3.98</v>
      </c>
      <c r="J40">
        <v>2.0880000000000001</v>
      </c>
      <c r="K40">
        <v>6918.572265625</v>
      </c>
      <c r="L40">
        <v>20.309999999999999</v>
      </c>
      <c r="M40">
        <v>18.36</v>
      </c>
      <c r="N40">
        <v>21.9</v>
      </c>
      <c r="O40">
        <v>90.9</v>
      </c>
      <c r="P40">
        <v>362.14318181818186</v>
      </c>
      <c r="Q40">
        <v>3.7701590909090901</v>
      </c>
      <c r="R40">
        <v>20.190000000000001</v>
      </c>
      <c r="S40">
        <v>52.426451702258454</v>
      </c>
      <c r="T40">
        <v>63.337492039619008</v>
      </c>
    </row>
    <row r="41" spans="1:20">
      <c r="A41" t="s">
        <v>150</v>
      </c>
      <c r="B41">
        <v>1180.84106445313</v>
      </c>
      <c r="C41">
        <v>37.25</v>
      </c>
      <c r="D41">
        <v>27</v>
      </c>
      <c r="E41">
        <v>2262.4569623718298</v>
      </c>
      <c r="F41">
        <v>344.89239501953102</v>
      </c>
      <c r="G41">
        <v>14.31</v>
      </c>
      <c r="H41">
        <v>2.3500001695421</v>
      </c>
      <c r="I41">
        <v>3.87</v>
      </c>
      <c r="J41">
        <v>2.4163999999999999</v>
      </c>
      <c r="K41">
        <v>6322.5</v>
      </c>
      <c r="L41">
        <v>20.260000000000002</v>
      </c>
      <c r="M41">
        <v>18.16</v>
      </c>
      <c r="N41">
        <v>21.69</v>
      </c>
      <c r="O41">
        <v>94.688636363636363</v>
      </c>
      <c r="P41">
        <v>358.06818181818176</v>
      </c>
      <c r="Q41">
        <v>3.749772727272727</v>
      </c>
      <c r="R41">
        <v>20.04</v>
      </c>
      <c r="S41">
        <v>51.918136943795972</v>
      </c>
      <c r="T41">
        <v>62.352721804984434</v>
      </c>
    </row>
    <row r="42" spans="1:20">
      <c r="A42" t="s">
        <v>151</v>
      </c>
      <c r="B42">
        <v>1162.21435546875</v>
      </c>
      <c r="C42">
        <v>35</v>
      </c>
      <c r="D42">
        <v>27</v>
      </c>
      <c r="E42">
        <v>2161.7890936828599</v>
      </c>
      <c r="F42">
        <v>335.050537109375</v>
      </c>
      <c r="G42">
        <v>14.31</v>
      </c>
      <c r="H42">
        <v>2.3500001695421</v>
      </c>
      <c r="I42">
        <v>3.84</v>
      </c>
      <c r="J42">
        <v>2.278</v>
      </c>
      <c r="K42">
        <v>5593.71484375</v>
      </c>
      <c r="L42">
        <v>19.149999999999999</v>
      </c>
      <c r="M42">
        <v>17.21</v>
      </c>
      <c r="N42">
        <v>20.329999999999998</v>
      </c>
      <c r="O42">
        <v>94.464285714285708</v>
      </c>
      <c r="P42">
        <v>356.10952380952375</v>
      </c>
      <c r="Q42">
        <v>3.7710238095238098</v>
      </c>
      <c r="R42">
        <v>18.899999999999999</v>
      </c>
      <c r="S42">
        <v>49.861054760400883</v>
      </c>
      <c r="T42">
        <v>59.574793975148225</v>
      </c>
    </row>
    <row r="43" spans="1:20">
      <c r="A43" t="s">
        <v>152</v>
      </c>
      <c r="B43">
        <v>1209.02380371094</v>
      </c>
      <c r="C43">
        <v>35</v>
      </c>
      <c r="D43">
        <v>27</v>
      </c>
      <c r="E43">
        <v>2211.9502874923701</v>
      </c>
      <c r="F43">
        <v>334.80712890625</v>
      </c>
      <c r="G43">
        <v>14.31</v>
      </c>
      <c r="H43">
        <v>2.3500001695421</v>
      </c>
      <c r="I43">
        <v>3.78</v>
      </c>
      <c r="J43">
        <v>2.2127500000000002</v>
      </c>
      <c r="K43">
        <v>5751.1904296875</v>
      </c>
      <c r="L43">
        <v>18.149999999999999</v>
      </c>
      <c r="M43">
        <v>16.22</v>
      </c>
      <c r="N43">
        <v>19.420000000000002</v>
      </c>
      <c r="O43">
        <v>106.6304347826087</v>
      </c>
      <c r="P43">
        <v>361.97173913043486</v>
      </c>
      <c r="Q43">
        <v>3.72645238095238</v>
      </c>
      <c r="R43">
        <v>17.93</v>
      </c>
      <c r="S43">
        <v>49.891887523754015</v>
      </c>
      <c r="T43">
        <v>61.765821784705786</v>
      </c>
    </row>
    <row r="44" spans="1:20">
      <c r="A44" t="s">
        <v>153</v>
      </c>
      <c r="B44">
        <v>1208.09997558594</v>
      </c>
      <c r="C44">
        <v>35</v>
      </c>
      <c r="D44">
        <v>27</v>
      </c>
      <c r="E44">
        <v>2264.2139707733199</v>
      </c>
      <c r="F44">
        <v>329.03054809570301</v>
      </c>
      <c r="G44">
        <v>12.58</v>
      </c>
      <c r="H44">
        <v>2.69999991522895</v>
      </c>
      <c r="I44">
        <v>3.61</v>
      </c>
      <c r="J44">
        <v>1.9463999999999999</v>
      </c>
      <c r="K44">
        <v>5948.10009765625</v>
      </c>
      <c r="L44">
        <v>17.350000000000001</v>
      </c>
      <c r="M44">
        <v>15.3</v>
      </c>
      <c r="N44">
        <v>19.059999999999999</v>
      </c>
      <c r="O44">
        <v>109.73571428571428</v>
      </c>
      <c r="P44">
        <v>359.1357142857143</v>
      </c>
      <c r="Q44">
        <v>3.68425</v>
      </c>
      <c r="R44">
        <v>17.239999999999998</v>
      </c>
      <c r="S44">
        <v>49.228036897417901</v>
      </c>
      <c r="T44">
        <v>61.768086902681773</v>
      </c>
    </row>
    <row r="45" spans="1:20">
      <c r="A45" t="s">
        <v>154</v>
      </c>
      <c r="B45">
        <v>1203.15002441406</v>
      </c>
      <c r="C45">
        <v>31</v>
      </c>
      <c r="D45">
        <v>27</v>
      </c>
      <c r="E45">
        <v>2212.1813931350698</v>
      </c>
      <c r="F45">
        <v>329.29998779296898</v>
      </c>
      <c r="G45">
        <v>12.58</v>
      </c>
      <c r="H45">
        <v>2.69999991522895</v>
      </c>
      <c r="I45">
        <v>3.68</v>
      </c>
      <c r="J45">
        <v>1.7355</v>
      </c>
      <c r="K45">
        <v>6050.75</v>
      </c>
      <c r="L45">
        <v>18.48</v>
      </c>
      <c r="M45">
        <v>16.16</v>
      </c>
      <c r="N45">
        <v>20.04</v>
      </c>
      <c r="O45">
        <v>110.6</v>
      </c>
      <c r="P45">
        <v>359.01750000000004</v>
      </c>
      <c r="Q45">
        <v>3.6599750000000002</v>
      </c>
      <c r="R45">
        <v>18.23</v>
      </c>
      <c r="S45">
        <v>49.745878457301615</v>
      </c>
      <c r="T45">
        <v>61.862929354087385</v>
      </c>
    </row>
    <row r="46" spans="1:20">
      <c r="A46" t="s">
        <v>155</v>
      </c>
      <c r="B46">
        <v>1150.47827148438</v>
      </c>
      <c r="C46">
        <v>31</v>
      </c>
      <c r="D46">
        <v>27</v>
      </c>
      <c r="E46">
        <v>2152.3802009994502</v>
      </c>
      <c r="F46">
        <v>330.09695434570301</v>
      </c>
      <c r="G46">
        <v>12.58</v>
      </c>
      <c r="H46">
        <v>2.69999991522895</v>
      </c>
      <c r="I46">
        <v>3.6</v>
      </c>
      <c r="J46">
        <v>2.1680000000000001</v>
      </c>
      <c r="K46">
        <v>5974.9130859375</v>
      </c>
      <c r="L46">
        <v>18.75</v>
      </c>
      <c r="M46">
        <v>16.440000000000001</v>
      </c>
      <c r="N46">
        <v>20.32</v>
      </c>
      <c r="O46">
        <v>106.50869565217393</v>
      </c>
      <c r="P46">
        <v>350.45869565217396</v>
      </c>
      <c r="Q46">
        <v>3.6470217391304347</v>
      </c>
      <c r="R46">
        <v>18.5</v>
      </c>
      <c r="S46">
        <v>51.129663214359994</v>
      </c>
      <c r="T46">
        <v>64.806342156150663</v>
      </c>
    </row>
    <row r="47" spans="1:20">
      <c r="A47" t="s">
        <v>156</v>
      </c>
      <c r="B47">
        <v>1110.27502441406</v>
      </c>
      <c r="C47">
        <v>31</v>
      </c>
      <c r="D47">
        <v>27</v>
      </c>
      <c r="E47">
        <v>1953.6206019210799</v>
      </c>
      <c r="F47">
        <v>342.05712890625</v>
      </c>
      <c r="G47">
        <v>12.58</v>
      </c>
      <c r="H47">
        <v>2.6099999745686899</v>
      </c>
      <c r="I47">
        <v>3.82</v>
      </c>
      <c r="J47">
        <v>2.3321000000000001</v>
      </c>
      <c r="K47">
        <v>5987.5</v>
      </c>
      <c r="L47">
        <v>18.63</v>
      </c>
      <c r="M47">
        <v>16.43</v>
      </c>
      <c r="N47">
        <v>20.260000000000002</v>
      </c>
      <c r="O47">
        <v>114.19772727272725</v>
      </c>
      <c r="P47">
        <v>368.01136363636368</v>
      </c>
      <c r="Q47">
        <v>3.9640250000000004</v>
      </c>
      <c r="R47">
        <v>18.440000000000001</v>
      </c>
      <c r="S47">
        <v>51.394998175181264</v>
      </c>
      <c r="T47">
        <v>64.647697738101016</v>
      </c>
    </row>
    <row r="48" spans="1:20">
      <c r="A48" t="s">
        <v>157</v>
      </c>
      <c r="B48">
        <v>1125.42102050781</v>
      </c>
      <c r="C48">
        <v>31</v>
      </c>
      <c r="D48">
        <v>27</v>
      </c>
      <c r="E48">
        <v>1799.3516984481801</v>
      </c>
      <c r="F48">
        <v>366.66799926757801</v>
      </c>
      <c r="G48">
        <v>12.58</v>
      </c>
      <c r="H48">
        <v>2.5999999576144699</v>
      </c>
      <c r="I48">
        <v>3.8</v>
      </c>
      <c r="J48">
        <v>2.1349999999999998</v>
      </c>
      <c r="K48">
        <v>5777.78955078125</v>
      </c>
      <c r="L48">
        <v>18.510000000000002</v>
      </c>
      <c r="M48">
        <v>16.07</v>
      </c>
      <c r="N48">
        <v>19.940000000000001</v>
      </c>
      <c r="O48">
        <v>119.63333333333333</v>
      </c>
      <c r="P48">
        <v>385.15952380952382</v>
      </c>
      <c r="Q48">
        <v>4.4551578947368418</v>
      </c>
      <c r="R48">
        <v>18.170000000000002</v>
      </c>
      <c r="S48">
        <v>51.498411567866157</v>
      </c>
      <c r="T48">
        <v>65.363767571358721</v>
      </c>
    </row>
    <row r="49" spans="1:20">
      <c r="A49" t="s">
        <v>158</v>
      </c>
      <c r="B49">
        <v>1168.09094238281</v>
      </c>
      <c r="C49">
        <v>31</v>
      </c>
      <c r="D49">
        <v>27</v>
      </c>
      <c r="E49">
        <v>1857.87070840454</v>
      </c>
      <c r="F49">
        <v>371.80999755859398</v>
      </c>
      <c r="G49">
        <v>12.58</v>
      </c>
      <c r="H49">
        <v>2.5999999576144699</v>
      </c>
      <c r="I49">
        <v>3.79</v>
      </c>
      <c r="J49">
        <v>1.974</v>
      </c>
      <c r="K49">
        <v>5544.318359375</v>
      </c>
      <c r="L49">
        <v>17.59</v>
      </c>
      <c r="M49">
        <v>15.4</v>
      </c>
      <c r="N49">
        <v>19.11</v>
      </c>
      <c r="O49">
        <v>127.23863636363639</v>
      </c>
      <c r="P49">
        <v>383.01590909090913</v>
      </c>
      <c r="Q49">
        <v>4.3748409090909091</v>
      </c>
      <c r="R49">
        <v>17.37</v>
      </c>
      <c r="S49">
        <v>50.083777004830658</v>
      </c>
      <c r="T49">
        <v>62.912822947953231</v>
      </c>
    </row>
    <row r="50" spans="1:20">
      <c r="A50" t="s">
        <v>159</v>
      </c>
      <c r="B50">
        <v>1203.18176269531</v>
      </c>
      <c r="C50">
        <v>31</v>
      </c>
      <c r="D50">
        <v>27</v>
      </c>
      <c r="E50">
        <v>1927.33981992645</v>
      </c>
      <c r="F50">
        <v>392.39999389648398</v>
      </c>
      <c r="G50">
        <v>12.58</v>
      </c>
      <c r="H50">
        <v>2.55000008477105</v>
      </c>
      <c r="I50">
        <v>3.76</v>
      </c>
      <c r="J50">
        <v>2.0535999999999999</v>
      </c>
      <c r="K50">
        <v>5051.181640625</v>
      </c>
      <c r="L50">
        <v>16.760000000000002</v>
      </c>
      <c r="M50">
        <v>14.49</v>
      </c>
      <c r="N50">
        <v>17.86</v>
      </c>
      <c r="O50">
        <v>139.6159090909091</v>
      </c>
      <c r="P50">
        <v>403.64545454545447</v>
      </c>
      <c r="Q50">
        <v>5.0194318181818183</v>
      </c>
      <c r="R50">
        <v>16.37</v>
      </c>
      <c r="S50">
        <v>50.014750275661903</v>
      </c>
      <c r="T50">
        <v>63.951517841826842</v>
      </c>
    </row>
    <row r="51" spans="1:20">
      <c r="A51" t="s">
        <v>160</v>
      </c>
      <c r="B51">
        <v>1172.76196289063</v>
      </c>
      <c r="C51">
        <v>31</v>
      </c>
      <c r="D51">
        <v>27</v>
      </c>
      <c r="E51">
        <v>1951.07137548676</v>
      </c>
      <c r="F51">
        <v>378.70001220703102</v>
      </c>
      <c r="G51">
        <v>12.58</v>
      </c>
      <c r="H51">
        <v>2.55000008477105</v>
      </c>
      <c r="I51">
        <v>3.63</v>
      </c>
      <c r="J51">
        <v>2.3207499999999999</v>
      </c>
      <c r="K51">
        <v>4740.47607421875</v>
      </c>
      <c r="L51">
        <v>16.71</v>
      </c>
      <c r="M51">
        <v>14.57</v>
      </c>
      <c r="N51">
        <v>18.010000000000002</v>
      </c>
      <c r="O51">
        <v>135.79318181818184</v>
      </c>
      <c r="P51">
        <v>391.90181818181821</v>
      </c>
      <c r="Q51">
        <v>4.8448571428571432</v>
      </c>
      <c r="R51">
        <v>16.43</v>
      </c>
      <c r="S51">
        <v>49.845947861280891</v>
      </c>
      <c r="T51">
        <v>63.503136920202877</v>
      </c>
    </row>
    <row r="52" spans="1:20">
      <c r="A52" t="s">
        <v>161</v>
      </c>
      <c r="B52">
        <v>1116.90905761719</v>
      </c>
      <c r="C52">
        <v>31</v>
      </c>
      <c r="D52">
        <v>27</v>
      </c>
      <c r="E52">
        <v>1858.2499975051901</v>
      </c>
      <c r="F52">
        <v>354.39999389648398</v>
      </c>
      <c r="G52">
        <v>12.58</v>
      </c>
      <c r="H52">
        <v>2.55000008477105</v>
      </c>
      <c r="I52">
        <v>3.5</v>
      </c>
      <c r="J52">
        <v>2.2517499999999999</v>
      </c>
      <c r="K52">
        <v>4376.04541015625</v>
      </c>
      <c r="L52">
        <v>15.99</v>
      </c>
      <c r="M52">
        <v>13.9</v>
      </c>
      <c r="N52">
        <v>17.510000000000002</v>
      </c>
      <c r="O52">
        <v>121.4909090909091</v>
      </c>
      <c r="P52">
        <v>362.46136363636367</v>
      </c>
      <c r="Q52">
        <v>4.2185227272727266</v>
      </c>
      <c r="R52">
        <v>15.8</v>
      </c>
      <c r="S52">
        <v>48.925740094173669</v>
      </c>
      <c r="T52">
        <v>63.555752855666675</v>
      </c>
    </row>
    <row r="53" spans="1:20">
      <c r="A53" t="s">
        <v>162</v>
      </c>
      <c r="B53">
        <v>1089.42858886719</v>
      </c>
      <c r="C53">
        <v>31</v>
      </c>
      <c r="D53">
        <v>27</v>
      </c>
      <c r="E53">
        <v>1646.9999289749101</v>
      </c>
      <c r="F53">
        <v>362.38000488281301</v>
      </c>
      <c r="G53">
        <v>12.58</v>
      </c>
      <c r="H53">
        <v>2.5400000678168402</v>
      </c>
      <c r="I53">
        <v>3.36</v>
      </c>
      <c r="J53">
        <v>2.0367999999999999</v>
      </c>
      <c r="K53">
        <v>4464.85693359375</v>
      </c>
      <c r="L53">
        <v>16.559999999999999</v>
      </c>
      <c r="M53">
        <v>14.59</v>
      </c>
      <c r="N53">
        <v>18.16</v>
      </c>
      <c r="O53">
        <v>129.64761904761903</v>
      </c>
      <c r="P53">
        <v>367.9071428571429</v>
      </c>
      <c r="Q53">
        <v>4.3430238095238094</v>
      </c>
      <c r="R53">
        <v>16.440000000000001</v>
      </c>
      <c r="S53">
        <v>48.966075694652538</v>
      </c>
      <c r="T53">
        <v>63.559819817985471</v>
      </c>
    </row>
    <row r="54" spans="1:20">
      <c r="A54" t="s">
        <v>163</v>
      </c>
      <c r="B54">
        <v>1040.02270507813</v>
      </c>
      <c r="C54">
        <v>31</v>
      </c>
      <c r="D54">
        <v>27</v>
      </c>
      <c r="E54">
        <v>1632.56810484467</v>
      </c>
      <c r="F54">
        <v>374.16751098632801</v>
      </c>
      <c r="G54">
        <v>12.58</v>
      </c>
      <c r="H54">
        <v>2.5400000678168402</v>
      </c>
      <c r="I54">
        <v>3.41</v>
      </c>
      <c r="J54">
        <v>2.2995000000000001</v>
      </c>
      <c r="K54">
        <v>4642.27294921875</v>
      </c>
      <c r="L54">
        <v>15.08</v>
      </c>
      <c r="M54">
        <v>13.49</v>
      </c>
      <c r="N54">
        <v>16.68</v>
      </c>
      <c r="O54">
        <v>127.89999999999999</v>
      </c>
      <c r="P54">
        <v>374.41363636363639</v>
      </c>
      <c r="Q54">
        <v>4.5331590909090913</v>
      </c>
      <c r="R54">
        <v>15.09</v>
      </c>
      <c r="S54">
        <v>48.257469943284036</v>
      </c>
      <c r="T54">
        <v>63.16127638046251</v>
      </c>
    </row>
    <row r="55" spans="1:20">
      <c r="A55" t="s">
        <v>164</v>
      </c>
      <c r="B55">
        <v>1091.34997558594</v>
      </c>
      <c r="C55">
        <v>31</v>
      </c>
      <c r="D55">
        <v>26.5</v>
      </c>
      <c r="E55">
        <v>1723.6250736617999</v>
      </c>
      <c r="F55">
        <v>383.302001953125</v>
      </c>
      <c r="G55">
        <v>12.58</v>
      </c>
      <c r="H55">
        <v>2.5400000678168402</v>
      </c>
      <c r="I55">
        <v>3.21</v>
      </c>
      <c r="J55">
        <v>2.1175999999999999</v>
      </c>
      <c r="K55">
        <v>5139.7998046875</v>
      </c>
      <c r="L55">
        <v>13.56</v>
      </c>
      <c r="M55">
        <v>12.03</v>
      </c>
      <c r="N55">
        <v>14.51</v>
      </c>
      <c r="O55">
        <v>124.50434782608696</v>
      </c>
      <c r="P55">
        <v>383.17173913043479</v>
      </c>
      <c r="Q55">
        <v>4.9685952380952383</v>
      </c>
      <c r="R55">
        <v>13.36</v>
      </c>
      <c r="S55">
        <v>48.518401433258191</v>
      </c>
      <c r="T55">
        <v>68.215835410523695</v>
      </c>
    </row>
    <row r="56" spans="1:20">
      <c r="A56" t="s">
        <v>165</v>
      </c>
      <c r="B56">
        <v>1170</v>
      </c>
      <c r="C56">
        <v>31</v>
      </c>
      <c r="D56">
        <v>27</v>
      </c>
      <c r="E56">
        <v>1807.07136699066</v>
      </c>
      <c r="F56">
        <v>387.07751464843801</v>
      </c>
      <c r="G56">
        <v>11.45</v>
      </c>
      <c r="H56">
        <v>2.2199999491373701</v>
      </c>
      <c r="I56">
        <v>3.07</v>
      </c>
      <c r="J56">
        <v>2.3839999999999999</v>
      </c>
      <c r="K56">
        <v>5584.0478515625</v>
      </c>
      <c r="L56">
        <v>14.22</v>
      </c>
      <c r="M56">
        <v>13.27</v>
      </c>
      <c r="N56">
        <v>15.01</v>
      </c>
      <c r="O56">
        <v>124.24761904761905</v>
      </c>
      <c r="P56">
        <v>387.8</v>
      </c>
      <c r="Q56">
        <v>5.1469761904761908</v>
      </c>
      <c r="R56">
        <v>14.17</v>
      </c>
      <c r="S56">
        <v>49.309163480921057</v>
      </c>
      <c r="T56">
        <v>67.828478920340814</v>
      </c>
    </row>
    <row r="57" spans="1:20">
      <c r="A57" t="s">
        <v>166</v>
      </c>
      <c r="B57">
        <v>1270.52502441406</v>
      </c>
      <c r="C57">
        <v>31</v>
      </c>
      <c r="D57">
        <v>27</v>
      </c>
      <c r="E57">
        <v>1865.0750147277799</v>
      </c>
      <c r="F57">
        <v>382.30499267578102</v>
      </c>
      <c r="G57">
        <v>11.45</v>
      </c>
      <c r="H57">
        <v>2.2199999491373701</v>
      </c>
      <c r="I57">
        <v>3.17</v>
      </c>
      <c r="J57">
        <v>2.7389999999999999</v>
      </c>
      <c r="K57">
        <v>5830.10009765625</v>
      </c>
      <c r="L57">
        <v>13.75</v>
      </c>
      <c r="M57">
        <v>12.73</v>
      </c>
      <c r="N57">
        <v>14.77</v>
      </c>
      <c r="O57">
        <v>131.8475</v>
      </c>
      <c r="P57">
        <v>394.02250000000004</v>
      </c>
      <c r="Q57">
        <v>5.2472750000000001</v>
      </c>
      <c r="R57">
        <v>13.75</v>
      </c>
      <c r="S57">
        <v>50.128517978945951</v>
      </c>
      <c r="T57">
        <v>68.703480997932331</v>
      </c>
    </row>
    <row r="58" spans="1:20">
      <c r="A58" t="s">
        <v>167</v>
      </c>
      <c r="B58">
        <v>1287.69567871094</v>
      </c>
      <c r="C58">
        <v>29.5</v>
      </c>
      <c r="D58">
        <v>27</v>
      </c>
      <c r="E58">
        <v>1913.17391866455</v>
      </c>
      <c r="F58">
        <v>383.87750244140602</v>
      </c>
      <c r="G58">
        <v>11.45</v>
      </c>
      <c r="H58">
        <v>2.2199999491373701</v>
      </c>
      <c r="I58">
        <v>3.16</v>
      </c>
      <c r="J58">
        <v>2.1274999999999999</v>
      </c>
      <c r="K58">
        <v>5590.4345703125</v>
      </c>
      <c r="L58">
        <v>13.88</v>
      </c>
      <c r="M58">
        <v>12.53</v>
      </c>
      <c r="N58">
        <v>14.65</v>
      </c>
      <c r="O58">
        <v>132.99565217391304</v>
      </c>
      <c r="P58">
        <v>400.28260869565219</v>
      </c>
      <c r="Q58">
        <v>5.4349565217391316</v>
      </c>
      <c r="R58">
        <v>13.69</v>
      </c>
      <c r="S58">
        <v>49.673362126254851</v>
      </c>
      <c r="T58">
        <v>69.173957256607395</v>
      </c>
    </row>
    <row r="59" spans="1:20">
      <c r="A59" t="s">
        <v>168</v>
      </c>
      <c r="B59">
        <v>1277.28942871094</v>
      </c>
      <c r="C59">
        <v>29.5</v>
      </c>
      <c r="D59">
        <v>27</v>
      </c>
      <c r="E59">
        <v>1881.36846713562</v>
      </c>
      <c r="F59">
        <v>377.321044921875</v>
      </c>
      <c r="G59">
        <v>11.45</v>
      </c>
      <c r="H59">
        <v>2.2399999830457902</v>
      </c>
      <c r="I59">
        <v>3.11</v>
      </c>
      <c r="J59">
        <v>2.0405000000000002</v>
      </c>
      <c r="K59">
        <v>5400.26318359375</v>
      </c>
      <c r="L59">
        <v>15.15</v>
      </c>
      <c r="M59">
        <v>13.9</v>
      </c>
      <c r="N59">
        <v>16.399999999999999</v>
      </c>
      <c r="O59">
        <v>133.52380952380952</v>
      </c>
      <c r="P59">
        <v>397.90238095238101</v>
      </c>
      <c r="Q59">
        <v>5.3082105263157899</v>
      </c>
      <c r="R59">
        <v>15.15</v>
      </c>
      <c r="S59">
        <v>50.357825485974153</v>
      </c>
      <c r="T59">
        <v>67.701078227600689</v>
      </c>
    </row>
    <row r="60" spans="1:20">
      <c r="A60" t="s">
        <v>169</v>
      </c>
      <c r="B60">
        <v>1321.04760742188</v>
      </c>
      <c r="C60">
        <v>31.4</v>
      </c>
      <c r="D60">
        <v>27</v>
      </c>
      <c r="E60">
        <v>2144.50007046051</v>
      </c>
      <c r="F60">
        <v>381.58999633789102</v>
      </c>
      <c r="G60">
        <v>11.45</v>
      </c>
      <c r="H60">
        <v>2.2399999830457902</v>
      </c>
      <c r="I60">
        <v>3.11</v>
      </c>
      <c r="J60">
        <v>1.9339999999999999</v>
      </c>
      <c r="K60">
        <v>6082.85693359375</v>
      </c>
      <c r="L60">
        <v>16.260000000000002</v>
      </c>
      <c r="M60">
        <v>15.15</v>
      </c>
      <c r="N60">
        <v>17.88</v>
      </c>
      <c r="O60">
        <v>135.96818181818182</v>
      </c>
      <c r="P60">
        <v>398.00681818181823</v>
      </c>
      <c r="Q60">
        <v>5.4249500000000008</v>
      </c>
      <c r="R60">
        <v>16.43</v>
      </c>
      <c r="S60">
        <v>51.761604499989183</v>
      </c>
      <c r="T60">
        <v>67.246429338098636</v>
      </c>
    </row>
    <row r="61" spans="1:20">
      <c r="A61" t="s">
        <v>170</v>
      </c>
      <c r="B61">
        <v>1402.36364746094</v>
      </c>
      <c r="C61">
        <v>33.6</v>
      </c>
      <c r="D61">
        <v>28.5</v>
      </c>
      <c r="E61">
        <v>2363.0910230300901</v>
      </c>
      <c r="F61">
        <v>385.74319458007801</v>
      </c>
      <c r="G61">
        <v>11.45</v>
      </c>
      <c r="H61">
        <v>2.2399999830457902</v>
      </c>
      <c r="I61">
        <v>3.32</v>
      </c>
      <c r="J61">
        <v>1.962375</v>
      </c>
      <c r="K61">
        <v>6287.04541015625</v>
      </c>
      <c r="L61">
        <v>16.739999999999998</v>
      </c>
      <c r="M61">
        <v>15.88</v>
      </c>
      <c r="N61">
        <v>19.07</v>
      </c>
      <c r="O61">
        <v>137.17727272727274</v>
      </c>
      <c r="P61">
        <v>401.09090909090907</v>
      </c>
      <c r="Q61">
        <v>5.3876136363636364</v>
      </c>
      <c r="R61">
        <v>17.23</v>
      </c>
      <c r="S61">
        <v>52.656954984399825</v>
      </c>
      <c r="T61">
        <v>65.549913505635516</v>
      </c>
    </row>
    <row r="62" spans="1:20">
      <c r="A62" t="s">
        <v>171</v>
      </c>
      <c r="B62">
        <v>1491.95239257813</v>
      </c>
      <c r="C62">
        <v>33.1</v>
      </c>
      <c r="D62">
        <v>28.5</v>
      </c>
      <c r="E62">
        <v>2447.2380340499899</v>
      </c>
      <c r="F62">
        <v>385.39999389648398</v>
      </c>
      <c r="G62">
        <v>11.45</v>
      </c>
      <c r="H62">
        <v>2.3499999576144699</v>
      </c>
      <c r="I62">
        <v>3.43</v>
      </c>
      <c r="J62">
        <v>1.8976</v>
      </c>
      <c r="K62">
        <v>6230.5712890625</v>
      </c>
      <c r="L62">
        <v>17.63</v>
      </c>
      <c r="M62">
        <v>16.84</v>
      </c>
      <c r="N62">
        <v>19.649999999999999</v>
      </c>
      <c r="O62">
        <v>146.18809523809523</v>
      </c>
      <c r="P62">
        <v>411.95095238095234</v>
      </c>
      <c r="Q62">
        <v>5.2825714285714289</v>
      </c>
      <c r="R62">
        <v>18.04</v>
      </c>
      <c r="S62">
        <v>53.93707490562695</v>
      </c>
      <c r="T62">
        <v>65.081769061807421</v>
      </c>
    </row>
    <row r="63" spans="1:20">
      <c r="A63" t="s">
        <v>172</v>
      </c>
      <c r="B63">
        <v>1457.06823730469</v>
      </c>
      <c r="C63">
        <v>33.1</v>
      </c>
      <c r="D63">
        <v>28.5</v>
      </c>
      <c r="E63">
        <v>2409.7499739776599</v>
      </c>
      <c r="F63">
        <v>380.76135253906301</v>
      </c>
      <c r="G63">
        <v>11.45</v>
      </c>
      <c r="H63">
        <v>2.3499999576144699</v>
      </c>
      <c r="I63">
        <v>3.55</v>
      </c>
      <c r="J63">
        <v>1.631</v>
      </c>
      <c r="K63">
        <v>5856.13623046875</v>
      </c>
      <c r="L63">
        <v>16.82</v>
      </c>
      <c r="M63">
        <v>15.73</v>
      </c>
      <c r="N63">
        <v>18.38</v>
      </c>
      <c r="O63">
        <v>152.09130434782608</v>
      </c>
      <c r="P63">
        <v>412.18695652173909</v>
      </c>
      <c r="Q63">
        <v>5.1945227272727275</v>
      </c>
      <c r="R63">
        <v>16.98</v>
      </c>
      <c r="S63">
        <v>52.87273759406412</v>
      </c>
      <c r="T63">
        <v>65.424501732621323</v>
      </c>
    </row>
    <row r="64" spans="1:20">
      <c r="A64" t="s">
        <v>173</v>
      </c>
      <c r="B64">
        <v>1571.09094238281</v>
      </c>
      <c r="C64">
        <v>33.1</v>
      </c>
      <c r="D64">
        <v>29</v>
      </c>
      <c r="E64">
        <v>2504.8410313934301</v>
      </c>
      <c r="F64">
        <v>391.92810058593801</v>
      </c>
      <c r="G64">
        <v>11.45</v>
      </c>
      <c r="H64">
        <v>2.3499999576144699</v>
      </c>
      <c r="I64">
        <v>3.6</v>
      </c>
      <c r="J64">
        <v>1.48</v>
      </c>
      <c r="K64">
        <v>6370.681640625</v>
      </c>
      <c r="L64">
        <v>15.85</v>
      </c>
      <c r="M64">
        <v>15.08</v>
      </c>
      <c r="N64">
        <v>17.45</v>
      </c>
      <c r="O64">
        <v>152.89318181818183</v>
      </c>
      <c r="P64">
        <v>417.28409090909093</v>
      </c>
      <c r="Q64">
        <v>5.523681818181819</v>
      </c>
      <c r="R64">
        <v>16.13</v>
      </c>
      <c r="S64">
        <v>52.934227017736724</v>
      </c>
      <c r="T64">
        <v>65.76718080084818</v>
      </c>
    </row>
    <row r="65" spans="1:20">
      <c r="A65" t="s">
        <v>174</v>
      </c>
      <c r="B65">
        <v>1694.26196289063</v>
      </c>
      <c r="C65">
        <v>33.1</v>
      </c>
      <c r="D65">
        <v>30.75</v>
      </c>
      <c r="E65">
        <v>2546.02375416412</v>
      </c>
      <c r="F65">
        <v>389.59445190429699</v>
      </c>
      <c r="G65">
        <v>11.45</v>
      </c>
      <c r="H65">
        <v>2.4399998982747402</v>
      </c>
      <c r="I65">
        <v>3.42</v>
      </c>
      <c r="J65">
        <v>1.5195000000000001</v>
      </c>
      <c r="K65">
        <v>6735.85693359375</v>
      </c>
      <c r="L65">
        <v>16.43</v>
      </c>
      <c r="M65">
        <v>15.3</v>
      </c>
      <c r="N65">
        <v>17.7</v>
      </c>
      <c r="O65">
        <v>154.59285714285713</v>
      </c>
      <c r="P65">
        <v>419.39523809523814</v>
      </c>
      <c r="Q65">
        <v>5.4550952380952387</v>
      </c>
      <c r="R65">
        <v>16.48</v>
      </c>
      <c r="S65">
        <v>53.479947503178501</v>
      </c>
      <c r="T65">
        <v>66.159581474558024</v>
      </c>
    </row>
    <row r="66" spans="1:20">
      <c r="A66" t="s">
        <v>175</v>
      </c>
      <c r="B66">
        <v>1885.88635253906</v>
      </c>
      <c r="C66">
        <v>33.1</v>
      </c>
      <c r="D66">
        <v>30.5</v>
      </c>
      <c r="E66">
        <v>2803.5454109817501</v>
      </c>
      <c r="F66">
        <v>384.44125366210898</v>
      </c>
      <c r="G66">
        <v>11.45</v>
      </c>
      <c r="H66">
        <v>2.4399998982747402</v>
      </c>
      <c r="I66">
        <v>3.25</v>
      </c>
      <c r="J66">
        <v>1.5766249999999999</v>
      </c>
      <c r="K66">
        <v>7474.54541015625</v>
      </c>
      <c r="L66">
        <v>17.3</v>
      </c>
      <c r="M66">
        <v>16.23</v>
      </c>
      <c r="N66">
        <v>18.07</v>
      </c>
      <c r="O66">
        <v>156.43863636363636</v>
      </c>
      <c r="P66">
        <v>412.37272727272733</v>
      </c>
      <c r="Q66">
        <v>5.1924090909090914</v>
      </c>
      <c r="R66">
        <v>17.2</v>
      </c>
      <c r="S66">
        <v>53.581797881525432</v>
      </c>
      <c r="T66">
        <v>63.450015240714649</v>
      </c>
    </row>
    <row r="67" spans="1:20">
      <c r="A67" t="s">
        <v>176</v>
      </c>
      <c r="B67">
        <v>1878.375</v>
      </c>
      <c r="C67">
        <v>36.1</v>
      </c>
      <c r="D67">
        <v>32</v>
      </c>
      <c r="E67">
        <v>2980.69999645081</v>
      </c>
      <c r="F67">
        <v>379.39999389648398</v>
      </c>
      <c r="G67">
        <v>11.45</v>
      </c>
      <c r="H67">
        <v>2.4399998982747402</v>
      </c>
      <c r="I67">
        <v>3.23</v>
      </c>
      <c r="J67">
        <v>1.6863999999999999</v>
      </c>
      <c r="K67">
        <v>8540.650390625</v>
      </c>
      <c r="L67">
        <v>15.88</v>
      </c>
      <c r="M67">
        <v>15.34</v>
      </c>
      <c r="N67">
        <v>17.170000000000002</v>
      </c>
      <c r="O67">
        <v>153.72727272727272</v>
      </c>
      <c r="P67">
        <v>410.84772727272724</v>
      </c>
      <c r="Q67">
        <v>4.7821499999999997</v>
      </c>
      <c r="R67">
        <v>16.13</v>
      </c>
      <c r="S67">
        <v>54.610052567799329</v>
      </c>
      <c r="T67">
        <v>68.608014255992131</v>
      </c>
    </row>
    <row r="68" spans="1:20">
      <c r="A68" t="s">
        <v>177</v>
      </c>
      <c r="B68">
        <v>2059.35717773438</v>
      </c>
      <c r="C68">
        <v>37.1</v>
      </c>
      <c r="D68">
        <v>34</v>
      </c>
      <c r="E68">
        <v>3003.26189506836</v>
      </c>
      <c r="F68">
        <v>378.54998779296898</v>
      </c>
      <c r="G68">
        <v>12.27</v>
      </c>
      <c r="H68">
        <v>2.5899999406602601</v>
      </c>
      <c r="I68">
        <v>3.38</v>
      </c>
      <c r="J68">
        <v>1.485125</v>
      </c>
      <c r="K68">
        <v>9596.1904296875</v>
      </c>
      <c r="L68">
        <v>16.55</v>
      </c>
      <c r="M68">
        <v>16.079999999999998</v>
      </c>
      <c r="N68">
        <v>18.02</v>
      </c>
      <c r="O68">
        <v>156.12954545454545</v>
      </c>
      <c r="P68">
        <v>413.89545454545458</v>
      </c>
      <c r="Q68">
        <v>4.7694761904761904</v>
      </c>
      <c r="R68">
        <v>16.88</v>
      </c>
      <c r="S68">
        <v>55.249719029751887</v>
      </c>
      <c r="T68">
        <v>66.717330829175069</v>
      </c>
    </row>
    <row r="69" spans="1:20">
      <c r="A69" t="s">
        <v>178</v>
      </c>
      <c r="B69">
        <v>1905.44995117188</v>
      </c>
      <c r="C69">
        <v>37.6</v>
      </c>
      <c r="D69">
        <v>34.5</v>
      </c>
      <c r="E69">
        <v>2870.45015814514</v>
      </c>
      <c r="F69">
        <v>376.50524902343801</v>
      </c>
      <c r="G69">
        <v>12.27</v>
      </c>
      <c r="H69">
        <v>2.5899999406602601</v>
      </c>
      <c r="I69">
        <v>3.54</v>
      </c>
      <c r="J69">
        <v>1.5211250000000001</v>
      </c>
      <c r="K69">
        <v>8431.25</v>
      </c>
      <c r="L69">
        <v>17.14</v>
      </c>
      <c r="M69">
        <v>16.64</v>
      </c>
      <c r="N69">
        <v>18.55</v>
      </c>
      <c r="O69">
        <v>156.79249999999999</v>
      </c>
      <c r="P69">
        <v>413.96750000000003</v>
      </c>
      <c r="Q69">
        <v>4.7217250000000002</v>
      </c>
      <c r="R69">
        <v>17.440000000000001</v>
      </c>
      <c r="S69">
        <v>55.627551948427389</v>
      </c>
      <c r="T69">
        <v>67.49890134518516</v>
      </c>
    </row>
    <row r="70" spans="1:20">
      <c r="A70" t="s">
        <v>179</v>
      </c>
      <c r="B70">
        <v>1799.97827148438</v>
      </c>
      <c r="C70">
        <v>38.35</v>
      </c>
      <c r="D70">
        <v>34.75</v>
      </c>
      <c r="E70">
        <v>2919.6739780487101</v>
      </c>
      <c r="F70">
        <v>381.66189575195301</v>
      </c>
      <c r="G70">
        <v>12.27</v>
      </c>
      <c r="H70">
        <v>2.5899999406602601</v>
      </c>
      <c r="I70">
        <v>3.8</v>
      </c>
      <c r="J70">
        <v>1.5196000000000001</v>
      </c>
      <c r="K70">
        <v>7522.39111328125</v>
      </c>
      <c r="L70">
        <v>17.02</v>
      </c>
      <c r="M70">
        <v>16.489999999999998</v>
      </c>
      <c r="N70">
        <v>18.55</v>
      </c>
      <c r="O70">
        <v>162.80434782608697</v>
      </c>
      <c r="P70">
        <v>416.89347826086953</v>
      </c>
      <c r="Q70">
        <v>4.6482608695652177</v>
      </c>
      <c r="R70">
        <v>17.350000000000001</v>
      </c>
      <c r="S70">
        <v>56.227396522556631</v>
      </c>
      <c r="T70">
        <v>68.659738081291437</v>
      </c>
    </row>
    <row r="71" spans="1:20">
      <c r="A71" t="s">
        <v>180</v>
      </c>
      <c r="B71">
        <v>1849.44445800781</v>
      </c>
      <c r="C71">
        <v>37.1</v>
      </c>
      <c r="D71">
        <v>35</v>
      </c>
      <c r="E71">
        <v>2894.8888229644799</v>
      </c>
      <c r="F71">
        <v>391.04443359375</v>
      </c>
      <c r="G71">
        <v>12.27</v>
      </c>
      <c r="H71">
        <v>2.6899998982747402</v>
      </c>
      <c r="I71">
        <v>3.82</v>
      </c>
      <c r="J71">
        <v>1.6267499999999999</v>
      </c>
      <c r="K71">
        <v>7405</v>
      </c>
      <c r="L71">
        <v>18.739999999999998</v>
      </c>
      <c r="M71">
        <v>17.649999999999999</v>
      </c>
      <c r="N71">
        <v>19.91</v>
      </c>
      <c r="O71">
        <v>169.36750000000001</v>
      </c>
      <c r="P71">
        <v>448.28999999999996</v>
      </c>
      <c r="Q71">
        <v>5.5030000000000001</v>
      </c>
      <c r="R71">
        <v>18.77</v>
      </c>
      <c r="S71">
        <v>56.7534363655856</v>
      </c>
      <c r="T71">
        <v>66.095772497048074</v>
      </c>
    </row>
    <row r="72" spans="1:20">
      <c r="A72" t="s">
        <v>181</v>
      </c>
      <c r="B72">
        <v>1765.47619628906</v>
      </c>
      <c r="C72">
        <v>38.770000000000003</v>
      </c>
      <c r="D72">
        <v>35</v>
      </c>
      <c r="E72">
        <v>2771.57125569763</v>
      </c>
      <c r="F72">
        <v>385.21905517578102</v>
      </c>
      <c r="G72">
        <v>12.27</v>
      </c>
      <c r="H72">
        <v>2.6899998982747402</v>
      </c>
      <c r="I72">
        <v>3.71</v>
      </c>
      <c r="J72">
        <v>1.659</v>
      </c>
      <c r="K72">
        <v>7262.380859375</v>
      </c>
      <c r="L72">
        <v>18.32</v>
      </c>
      <c r="M72">
        <v>17.239999999999998</v>
      </c>
      <c r="N72">
        <v>19.73</v>
      </c>
      <c r="O72">
        <v>160.68913043478261</v>
      </c>
      <c r="P72">
        <v>437.35217391304349</v>
      </c>
      <c r="Q72">
        <v>5.5405476190476195</v>
      </c>
      <c r="R72">
        <v>18.43</v>
      </c>
      <c r="S72">
        <v>55.984419487969959</v>
      </c>
      <c r="T72">
        <v>65.280024784842624</v>
      </c>
    </row>
    <row r="73" spans="1:20">
      <c r="A73" t="s">
        <v>182</v>
      </c>
      <c r="B73">
        <v>1775.79541015625</v>
      </c>
      <c r="C73">
        <v>40.770000000000003</v>
      </c>
      <c r="D73">
        <v>34.89</v>
      </c>
      <c r="E73">
        <v>2987.6819434875501</v>
      </c>
      <c r="F73">
        <v>387.490478515625</v>
      </c>
      <c r="G73">
        <v>12.27</v>
      </c>
      <c r="H73">
        <v>2.6899998982747402</v>
      </c>
      <c r="I73">
        <v>3.85</v>
      </c>
      <c r="J73">
        <v>1.6287</v>
      </c>
      <c r="K73">
        <v>7877.27294921875</v>
      </c>
      <c r="L73">
        <v>17.350000000000001</v>
      </c>
      <c r="M73">
        <v>16.239999999999998</v>
      </c>
      <c r="N73">
        <v>18.420000000000002</v>
      </c>
      <c r="O73">
        <v>158.44545454545457</v>
      </c>
      <c r="P73">
        <v>438.52954545454543</v>
      </c>
      <c r="Q73">
        <v>5.3637045454545449</v>
      </c>
      <c r="R73">
        <v>17.329999999999998</v>
      </c>
      <c r="S73">
        <v>55.3221922570375</v>
      </c>
      <c r="T73">
        <v>66.25776481082444</v>
      </c>
    </row>
    <row r="74" spans="1:20">
      <c r="A74" t="s">
        <v>183</v>
      </c>
      <c r="B74">
        <v>1867.27502441406</v>
      </c>
      <c r="C74">
        <v>41.05</v>
      </c>
      <c r="D74">
        <v>36.15</v>
      </c>
      <c r="E74">
        <v>3076.4500581665002</v>
      </c>
      <c r="F74">
        <v>386.240478515625</v>
      </c>
      <c r="G74">
        <v>12.27</v>
      </c>
      <c r="H74">
        <v>2.7694443596733902</v>
      </c>
      <c r="I74">
        <v>3.62</v>
      </c>
      <c r="J74">
        <v>1.4325000000000001</v>
      </c>
      <c r="K74">
        <v>8618</v>
      </c>
      <c r="L74">
        <v>15.86</v>
      </c>
      <c r="M74">
        <v>15.02</v>
      </c>
      <c r="N74">
        <v>17.3</v>
      </c>
      <c r="O74">
        <v>155.40238095238095</v>
      </c>
      <c r="P74">
        <v>433.63095238095229</v>
      </c>
      <c r="Q74">
        <v>5.1647619047619049</v>
      </c>
      <c r="R74">
        <v>16.059999999999999</v>
      </c>
      <c r="S74">
        <v>54.811747402932149</v>
      </c>
      <c r="T74">
        <v>69.142120375362097</v>
      </c>
    </row>
    <row r="75" spans="1:20">
      <c r="A75" t="s">
        <v>184</v>
      </c>
      <c r="B75">
        <v>1890.04541015625</v>
      </c>
      <c r="C75">
        <v>40.880000000000003</v>
      </c>
      <c r="D75">
        <v>35.700000000000003</v>
      </c>
      <c r="E75">
        <v>3040.1361964141802</v>
      </c>
      <c r="F75">
        <v>383.69763183593801</v>
      </c>
      <c r="G75">
        <v>12.27</v>
      </c>
      <c r="H75">
        <v>2.7694443596733902</v>
      </c>
      <c r="I75">
        <v>3.32</v>
      </c>
      <c r="J75">
        <v>1.5315000000000001</v>
      </c>
      <c r="K75">
        <v>8931.818359375</v>
      </c>
      <c r="L75">
        <v>16.07</v>
      </c>
      <c r="M75">
        <v>15.38</v>
      </c>
      <c r="N75">
        <v>18.010000000000002</v>
      </c>
      <c r="O75">
        <v>149.67173913043479</v>
      </c>
      <c r="P75">
        <v>425.34347826086957</v>
      </c>
      <c r="Q75">
        <v>5.3899090909090912</v>
      </c>
      <c r="R75">
        <v>16.489999999999998</v>
      </c>
      <c r="S75">
        <v>55.035556446828252</v>
      </c>
      <c r="T75">
        <v>68.893005437799076</v>
      </c>
    </row>
    <row r="76" spans="1:20">
      <c r="A76" t="s">
        <v>185</v>
      </c>
      <c r="B76">
        <v>1761.72497558594</v>
      </c>
      <c r="C76">
        <v>40.93</v>
      </c>
      <c r="D76">
        <v>35.93</v>
      </c>
      <c r="E76">
        <v>2910.4250427642801</v>
      </c>
      <c r="F76">
        <v>383.21749877929699</v>
      </c>
      <c r="G76">
        <v>12.27</v>
      </c>
      <c r="H76">
        <v>2.7694443596733902</v>
      </c>
      <c r="I76">
        <v>3.35</v>
      </c>
      <c r="J76">
        <v>1.627</v>
      </c>
      <c r="K76">
        <v>8397.25</v>
      </c>
      <c r="L76">
        <v>16.66</v>
      </c>
      <c r="M76">
        <v>15.43</v>
      </c>
      <c r="N76">
        <v>18.22</v>
      </c>
      <c r="O76">
        <v>143.33333333333331</v>
      </c>
      <c r="P76">
        <v>429.65</v>
      </c>
      <c r="Q76">
        <v>5.4349523809523799</v>
      </c>
      <c r="R76">
        <v>16.77</v>
      </c>
      <c r="S76">
        <v>55.088733706412384</v>
      </c>
      <c r="T76">
        <v>69.282698255902872</v>
      </c>
    </row>
    <row r="77" spans="1:20">
      <c r="A77" t="s">
        <v>186</v>
      </c>
      <c r="B77">
        <v>1671.95458984375</v>
      </c>
      <c r="C77">
        <v>40.97</v>
      </c>
      <c r="D77">
        <v>35.75</v>
      </c>
      <c r="E77">
        <v>2810.0681743179298</v>
      </c>
      <c r="F77">
        <v>383.06903076171898</v>
      </c>
      <c r="G77">
        <v>12.27</v>
      </c>
      <c r="H77">
        <v>2.8249999152289398</v>
      </c>
      <c r="I77">
        <v>3.43</v>
      </c>
      <c r="J77">
        <v>1.7609999999999999</v>
      </c>
      <c r="K77">
        <v>8068.86376953125</v>
      </c>
      <c r="L77">
        <v>16.12</v>
      </c>
      <c r="M77">
        <v>14.99</v>
      </c>
      <c r="N77">
        <v>17.43</v>
      </c>
      <c r="O77">
        <v>136.67272727272729</v>
      </c>
      <c r="P77">
        <v>412.66363636363639</v>
      </c>
      <c r="Q77">
        <v>5.3741363636363646</v>
      </c>
      <c r="R77">
        <v>16.18</v>
      </c>
      <c r="S77">
        <v>55.007793271750849</v>
      </c>
      <c r="T77">
        <v>70.55360814190098</v>
      </c>
    </row>
    <row r="78" spans="1:20">
      <c r="A78" t="s">
        <v>187</v>
      </c>
      <c r="B78">
        <v>1655.92858886719</v>
      </c>
      <c r="C78">
        <v>39.590000000000003</v>
      </c>
      <c r="D78">
        <v>36.07</v>
      </c>
      <c r="E78">
        <v>2981.6190366485598</v>
      </c>
      <c r="F78">
        <v>385.67630004882801</v>
      </c>
      <c r="G78">
        <v>12.27</v>
      </c>
      <c r="H78">
        <v>2.6899998982747402</v>
      </c>
      <c r="I78">
        <v>3.41</v>
      </c>
      <c r="J78">
        <v>1.9890000000000001</v>
      </c>
      <c r="K78">
        <v>8498.095703125</v>
      </c>
      <c r="L78">
        <v>16.88</v>
      </c>
      <c r="M78">
        <v>15.56</v>
      </c>
      <c r="N78">
        <v>18.010000000000002</v>
      </c>
      <c r="O78">
        <v>134.12727272727273</v>
      </c>
      <c r="P78">
        <v>413.125</v>
      </c>
      <c r="Q78">
        <v>5.315068181818182</v>
      </c>
      <c r="R78">
        <v>16.82</v>
      </c>
      <c r="S78">
        <v>55.877563743774253</v>
      </c>
      <c r="T78">
        <v>70.063595419175371</v>
      </c>
    </row>
    <row r="79" spans="1:20">
      <c r="A79" t="s">
        <v>188</v>
      </c>
      <c r="B79">
        <v>1657.81579589844</v>
      </c>
      <c r="C79">
        <v>39.35</v>
      </c>
      <c r="D79">
        <v>35.01</v>
      </c>
      <c r="E79">
        <v>2918.21064537659</v>
      </c>
      <c r="F79">
        <v>387.55767822265602</v>
      </c>
      <c r="G79">
        <v>12.27</v>
      </c>
      <c r="H79">
        <v>2.6899998982747402</v>
      </c>
      <c r="I79">
        <v>3.45</v>
      </c>
      <c r="J79">
        <v>2.6724000000000001</v>
      </c>
      <c r="K79">
        <v>8074.21044921875</v>
      </c>
      <c r="L79">
        <v>17.96</v>
      </c>
      <c r="M79">
        <v>16.809999999999999</v>
      </c>
      <c r="N79">
        <v>19.03</v>
      </c>
      <c r="O79">
        <v>131.44285714285715</v>
      </c>
      <c r="P79">
        <v>408.71428571428572</v>
      </c>
      <c r="Q79">
        <v>5.1797105263157901</v>
      </c>
      <c r="R79">
        <v>17.93</v>
      </c>
      <c r="S79">
        <v>58.585915457849239</v>
      </c>
      <c r="T79">
        <v>75.458272083219398</v>
      </c>
    </row>
    <row r="80" spans="1:20">
      <c r="A80" t="s">
        <v>189</v>
      </c>
      <c r="B80">
        <v>1584.47619628906</v>
      </c>
      <c r="C80">
        <v>39.369999999999997</v>
      </c>
      <c r="D80">
        <v>34.75</v>
      </c>
      <c r="E80">
        <v>2604.9999294311501</v>
      </c>
      <c r="F80">
        <v>400.07058715820301</v>
      </c>
      <c r="G80">
        <v>12.97</v>
      </c>
      <c r="H80">
        <v>2.68000009324816</v>
      </c>
      <c r="I80">
        <v>3.59</v>
      </c>
      <c r="J80">
        <v>2.9341249999999999</v>
      </c>
      <c r="K80">
        <v>7870.71435546875</v>
      </c>
      <c r="L80">
        <v>17.940000000000001</v>
      </c>
      <c r="M80">
        <v>16.55</v>
      </c>
      <c r="N80">
        <v>18.87</v>
      </c>
      <c r="O80">
        <v>129.49565217391304</v>
      </c>
      <c r="P80">
        <v>415.48260869565217</v>
      </c>
      <c r="Q80">
        <v>5.4797954545454539</v>
      </c>
      <c r="R80">
        <v>17.79</v>
      </c>
      <c r="S80">
        <v>58.092808354053119</v>
      </c>
      <c r="T80">
        <v>73.947707069248779</v>
      </c>
    </row>
    <row r="81" spans="1:20">
      <c r="A81" t="s">
        <v>190</v>
      </c>
      <c r="B81">
        <v>1594.57141113281</v>
      </c>
      <c r="C81">
        <v>39.28</v>
      </c>
      <c r="D81">
        <v>34.25</v>
      </c>
      <c r="E81">
        <v>2544.66672335968</v>
      </c>
      <c r="F81">
        <v>404.48422241210898</v>
      </c>
      <c r="G81">
        <v>12.97</v>
      </c>
      <c r="H81">
        <v>2.68000009324816</v>
      </c>
      <c r="I81">
        <v>3.81</v>
      </c>
      <c r="J81">
        <v>3.83325</v>
      </c>
      <c r="K81">
        <v>8198.5</v>
      </c>
      <c r="L81">
        <v>17.97</v>
      </c>
      <c r="M81">
        <v>15.99</v>
      </c>
      <c r="N81">
        <v>19.09</v>
      </c>
      <c r="O81">
        <v>139.27380952380952</v>
      </c>
      <c r="P81">
        <v>420.2071428571428</v>
      </c>
      <c r="Q81">
        <v>5.6500476190476183</v>
      </c>
      <c r="R81">
        <v>17.690000000000001</v>
      </c>
      <c r="S81">
        <v>59.911936172620855</v>
      </c>
      <c r="T81">
        <v>76.014649666028447</v>
      </c>
    </row>
    <row r="82" spans="1:20">
      <c r="A82" t="s">
        <v>191</v>
      </c>
      <c r="B82">
        <v>1614.85717773438</v>
      </c>
      <c r="C82">
        <v>39.01</v>
      </c>
      <c r="D82">
        <v>32.92</v>
      </c>
      <c r="E82">
        <v>2563.3499494003299</v>
      </c>
      <c r="F82">
        <v>396.32632446289102</v>
      </c>
      <c r="G82">
        <v>12.97</v>
      </c>
      <c r="H82">
        <v>2.68000009324816</v>
      </c>
      <c r="I82">
        <v>3.76</v>
      </c>
      <c r="J82">
        <v>2.9220000000000002</v>
      </c>
      <c r="K82">
        <v>8046.39990234375</v>
      </c>
      <c r="L82">
        <v>19.989999999999998</v>
      </c>
      <c r="M82">
        <v>17.09</v>
      </c>
      <c r="N82">
        <v>21.31</v>
      </c>
      <c r="O82">
        <v>138.38095238095238</v>
      </c>
      <c r="P82">
        <v>411.19285714285712</v>
      </c>
      <c r="Q82">
        <v>5.5298809523809522</v>
      </c>
      <c r="R82">
        <v>19.46</v>
      </c>
      <c r="S82">
        <v>59.869996289645918</v>
      </c>
      <c r="T82">
        <v>75.991173898658971</v>
      </c>
    </row>
    <row r="83" spans="1:20">
      <c r="A83" t="s">
        <v>192</v>
      </c>
      <c r="B83">
        <v>1587.40002441406</v>
      </c>
      <c r="C83">
        <v>39.33</v>
      </c>
      <c r="D83">
        <v>33.67</v>
      </c>
      <c r="E83">
        <v>2594.1749680389398</v>
      </c>
      <c r="F83">
        <v>393.14498901367199</v>
      </c>
      <c r="G83">
        <v>12.97</v>
      </c>
      <c r="H83">
        <v>2.6899998982747402</v>
      </c>
      <c r="I83">
        <v>3.82</v>
      </c>
      <c r="J83">
        <v>2.2515000000000001</v>
      </c>
      <c r="K83">
        <v>8047</v>
      </c>
      <c r="L83">
        <v>21.01</v>
      </c>
      <c r="M83">
        <v>17.77</v>
      </c>
      <c r="N83">
        <v>23.56</v>
      </c>
      <c r="O83">
        <v>136.49772727272727</v>
      </c>
      <c r="P83">
        <v>404.3931818181818</v>
      </c>
      <c r="Q83">
        <v>5.4105000000000008</v>
      </c>
      <c r="R83">
        <v>20.78</v>
      </c>
      <c r="S83">
        <v>60.796515015349684</v>
      </c>
      <c r="T83">
        <v>79.334386673171068</v>
      </c>
    </row>
    <row r="84" spans="1:20">
      <c r="A84" t="s">
        <v>193</v>
      </c>
      <c r="B84">
        <v>1593.85717773438</v>
      </c>
      <c r="C84">
        <v>38.200000000000003</v>
      </c>
      <c r="D84">
        <v>33.28</v>
      </c>
      <c r="E84">
        <v>2658.7619308090202</v>
      </c>
      <c r="F84">
        <v>391.94287109375</v>
      </c>
      <c r="G84">
        <v>12.97</v>
      </c>
      <c r="H84">
        <v>2.6899998982747402</v>
      </c>
      <c r="I84">
        <v>3.82</v>
      </c>
      <c r="J84">
        <v>2.2408000000000001</v>
      </c>
      <c r="K84">
        <v>8042.85693359375</v>
      </c>
      <c r="L84">
        <v>19.149999999999999</v>
      </c>
      <c r="M84">
        <v>16.989999999999998</v>
      </c>
      <c r="N84">
        <v>21.21</v>
      </c>
      <c r="O84">
        <v>132.02391304347825</v>
      </c>
      <c r="P84">
        <v>401.4152173913044</v>
      </c>
      <c r="Q84">
        <v>5.3658571428571431</v>
      </c>
      <c r="R84">
        <v>19.12</v>
      </c>
      <c r="S84">
        <v>60.073822172891369</v>
      </c>
      <c r="T84">
        <v>80.64592657646574</v>
      </c>
    </row>
    <row r="85" spans="1:20">
      <c r="A85" t="s">
        <v>194</v>
      </c>
      <c r="B85">
        <v>1485.75</v>
      </c>
      <c r="C85">
        <v>38.200000000000003</v>
      </c>
      <c r="D85">
        <v>32.4</v>
      </c>
      <c r="E85">
        <v>2177.5999827072101</v>
      </c>
      <c r="F85">
        <v>385.27249145507801</v>
      </c>
      <c r="G85">
        <v>12.97</v>
      </c>
      <c r="H85">
        <v>2.6899998982747402</v>
      </c>
      <c r="I85">
        <v>3.79</v>
      </c>
      <c r="J85">
        <v>2.4910000000000001</v>
      </c>
      <c r="K85">
        <v>7713.15771484375</v>
      </c>
      <c r="L85">
        <v>18.27</v>
      </c>
      <c r="M85">
        <v>17</v>
      </c>
      <c r="N85">
        <v>20.420000000000002</v>
      </c>
      <c r="O85">
        <v>129.62500000000003</v>
      </c>
      <c r="P85">
        <v>392.24750000000006</v>
      </c>
      <c r="Q85">
        <v>5.1613249999999997</v>
      </c>
      <c r="R85">
        <v>18.559999999999999</v>
      </c>
      <c r="S85">
        <v>58.419281234336374</v>
      </c>
      <c r="T85">
        <v>77.467236109678595</v>
      </c>
    </row>
    <row r="86" spans="1:20">
      <c r="A86" t="s">
        <v>195</v>
      </c>
      <c r="B86">
        <v>1460.02172851563</v>
      </c>
      <c r="C86">
        <v>38.4</v>
      </c>
      <c r="D86">
        <v>32.1</v>
      </c>
      <c r="E86">
        <v>1983.9347997177099</v>
      </c>
      <c r="F86">
        <v>383.58636474609398</v>
      </c>
      <c r="G86">
        <v>12.97</v>
      </c>
      <c r="H86">
        <v>2.6899998982747402</v>
      </c>
      <c r="I86">
        <v>3.79</v>
      </c>
      <c r="J86">
        <v>2.5587499999999999</v>
      </c>
      <c r="K86">
        <v>7202.60888671875</v>
      </c>
      <c r="L86">
        <v>19.61</v>
      </c>
      <c r="M86">
        <v>17.79</v>
      </c>
      <c r="N86">
        <v>21.29</v>
      </c>
      <c r="O86">
        <v>131.84130434782611</v>
      </c>
      <c r="P86">
        <v>393.65652173913043</v>
      </c>
      <c r="Q86">
        <v>5.0639782608695647</v>
      </c>
      <c r="R86">
        <v>19.559999999999999</v>
      </c>
      <c r="S86">
        <v>59.1071776894076</v>
      </c>
      <c r="T86">
        <v>78.669190265121088</v>
      </c>
    </row>
    <row r="87" spans="1:20">
      <c r="A87" t="s">
        <v>196</v>
      </c>
      <c r="B87">
        <v>1466.78576660156</v>
      </c>
      <c r="C87">
        <v>38.35</v>
      </c>
      <c r="D87">
        <v>32.03</v>
      </c>
      <c r="E87">
        <v>2017.85720584564</v>
      </c>
      <c r="F87">
        <v>387.471435546875</v>
      </c>
      <c r="G87">
        <v>12.97</v>
      </c>
      <c r="H87">
        <v>2.6899998982747402</v>
      </c>
      <c r="I87">
        <v>3.87</v>
      </c>
      <c r="J87">
        <v>2.0419999999999998</v>
      </c>
      <c r="K87">
        <v>7037.619140625</v>
      </c>
      <c r="L87">
        <v>19.96</v>
      </c>
      <c r="M87">
        <v>18.68</v>
      </c>
      <c r="N87">
        <v>21.94</v>
      </c>
      <c r="O87">
        <v>126.80227272727274</v>
      </c>
      <c r="P87">
        <v>400.03045454545457</v>
      </c>
      <c r="Q87">
        <v>5.1296666666666662</v>
      </c>
      <c r="R87">
        <v>20.190000000000001</v>
      </c>
      <c r="S87">
        <v>58.89430959320206</v>
      </c>
      <c r="T87">
        <v>77.474728086495745</v>
      </c>
    </row>
    <row r="88" spans="1:20">
      <c r="A88" t="s">
        <v>197</v>
      </c>
      <c r="B88">
        <v>1405.76196289063</v>
      </c>
      <c r="C88">
        <v>38.1</v>
      </c>
      <c r="D88">
        <v>33.380000000000003</v>
      </c>
      <c r="E88">
        <v>1935.0714306091299</v>
      </c>
      <c r="F88">
        <v>382.96499633789102</v>
      </c>
      <c r="G88">
        <v>12.97</v>
      </c>
      <c r="H88">
        <v>2.6899998982747402</v>
      </c>
      <c r="I88">
        <v>3.81</v>
      </c>
      <c r="J88">
        <v>1.8316250000000001</v>
      </c>
      <c r="K88">
        <v>7329.8095703125</v>
      </c>
      <c r="L88">
        <v>22.06</v>
      </c>
      <c r="M88">
        <v>20.350000000000001</v>
      </c>
      <c r="N88">
        <v>24.01</v>
      </c>
      <c r="O88">
        <v>121.45952380952382</v>
      </c>
      <c r="P88">
        <v>389.8642857142857</v>
      </c>
      <c r="Q88">
        <v>5.0365476190476182</v>
      </c>
      <c r="R88">
        <v>22.14</v>
      </c>
      <c r="S88">
        <v>58.383093218152631</v>
      </c>
      <c r="T88">
        <v>71.340531890796825</v>
      </c>
    </row>
    <row r="89" spans="1:20">
      <c r="A89" t="s">
        <v>198</v>
      </c>
      <c r="B89">
        <v>1336.02172851563</v>
      </c>
      <c r="C89">
        <v>37.6</v>
      </c>
      <c r="D89">
        <v>34.25</v>
      </c>
      <c r="E89">
        <v>1960.1956751953101</v>
      </c>
      <c r="F89">
        <v>381.07272338867199</v>
      </c>
      <c r="G89">
        <v>12.97</v>
      </c>
      <c r="H89">
        <v>2.9399998982747499</v>
      </c>
      <c r="I89">
        <v>4.04</v>
      </c>
      <c r="J89">
        <v>2.2725</v>
      </c>
      <c r="K89">
        <v>7028.69580078125</v>
      </c>
      <c r="L89">
        <v>23.68</v>
      </c>
      <c r="M89">
        <v>21.72</v>
      </c>
      <c r="N89">
        <v>24.9</v>
      </c>
      <c r="O89">
        <v>117.43478260869566</v>
      </c>
      <c r="P89">
        <v>384.18478260869563</v>
      </c>
      <c r="Q89">
        <v>4.9275869565217381</v>
      </c>
      <c r="R89">
        <v>23.43</v>
      </c>
      <c r="S89">
        <v>59.156332243766094</v>
      </c>
      <c r="T89">
        <v>68.743956293194429</v>
      </c>
    </row>
    <row r="90" spans="1:20">
      <c r="A90" t="s">
        <v>199</v>
      </c>
      <c r="B90">
        <v>1451.04760742188</v>
      </c>
      <c r="C90">
        <v>35.700000000000003</v>
      </c>
      <c r="D90">
        <v>34.14</v>
      </c>
      <c r="E90">
        <v>2215.4286460739099</v>
      </c>
      <c r="F90">
        <v>378.51666259765602</v>
      </c>
      <c r="G90">
        <v>12.97</v>
      </c>
      <c r="H90">
        <v>2.9399998982747499</v>
      </c>
      <c r="I90">
        <v>4.41</v>
      </c>
      <c r="J90">
        <v>3.0804</v>
      </c>
      <c r="K90">
        <v>6960.71435546875</v>
      </c>
      <c r="L90">
        <v>22.28</v>
      </c>
      <c r="M90">
        <v>20.87</v>
      </c>
      <c r="N90">
        <v>23.61</v>
      </c>
      <c r="O90">
        <v>117.02380952380952</v>
      </c>
      <c r="P90">
        <v>381.98095238095237</v>
      </c>
      <c r="Q90">
        <v>4.8314761904761898</v>
      </c>
      <c r="R90">
        <v>22.25</v>
      </c>
      <c r="S90">
        <v>59.828801024814332</v>
      </c>
      <c r="T90">
        <v>68.577343363820248</v>
      </c>
    </row>
    <row r="91" spans="1:20">
      <c r="A91" t="s">
        <v>200</v>
      </c>
      <c r="B91">
        <v>1500.97619628906</v>
      </c>
      <c r="C91">
        <v>35.35</v>
      </c>
      <c r="D91">
        <v>35.04</v>
      </c>
      <c r="E91">
        <v>2264.5952782638501</v>
      </c>
      <c r="F91">
        <v>368.97766113281301</v>
      </c>
      <c r="G91">
        <v>12.97</v>
      </c>
      <c r="H91">
        <v>2.9399998982747499</v>
      </c>
      <c r="I91">
        <v>4.32</v>
      </c>
      <c r="J91">
        <v>3.8144999999999998</v>
      </c>
      <c r="K91">
        <v>6571.0478515625</v>
      </c>
      <c r="L91">
        <v>23.52</v>
      </c>
      <c r="M91">
        <v>21.64</v>
      </c>
      <c r="N91">
        <v>25.37</v>
      </c>
      <c r="O91">
        <v>117.45454545454545</v>
      </c>
      <c r="P91">
        <v>370.70454545454544</v>
      </c>
      <c r="Q91">
        <v>4.8224999999999998</v>
      </c>
      <c r="R91">
        <v>23.51</v>
      </c>
      <c r="S91">
        <v>62.543119659471209</v>
      </c>
      <c r="T91">
        <v>73.479327120205454</v>
      </c>
    </row>
    <row r="92" spans="1:20">
      <c r="A92" t="s">
        <v>201</v>
      </c>
      <c r="B92">
        <v>1575.13635253906</v>
      </c>
      <c r="C92">
        <v>35.229999999999997</v>
      </c>
      <c r="D92">
        <v>34.57</v>
      </c>
      <c r="E92">
        <v>2427.2727940292398</v>
      </c>
      <c r="F92">
        <v>355.20001220703102</v>
      </c>
      <c r="G92">
        <v>13.04</v>
      </c>
      <c r="H92">
        <v>3</v>
      </c>
      <c r="I92">
        <v>4.29</v>
      </c>
      <c r="J92">
        <v>3.2791000000000001</v>
      </c>
      <c r="K92">
        <v>7069.13623046875</v>
      </c>
      <c r="L92">
        <v>23.47</v>
      </c>
      <c r="M92">
        <v>21.24</v>
      </c>
      <c r="N92">
        <v>25.17</v>
      </c>
      <c r="O92">
        <v>121.09347826086957</v>
      </c>
      <c r="P92">
        <v>360.0978260869565</v>
      </c>
      <c r="Q92">
        <v>4.7736136363636366</v>
      </c>
      <c r="R92">
        <v>23.29</v>
      </c>
      <c r="S92">
        <v>61.61889081015628</v>
      </c>
      <c r="T92">
        <v>73.037712457529949</v>
      </c>
    </row>
    <row r="93" spans="1:20">
      <c r="A93" t="s">
        <v>202</v>
      </c>
      <c r="B93">
        <v>1582.05297851563</v>
      </c>
      <c r="C93">
        <v>34.6</v>
      </c>
      <c r="D93">
        <v>33.799999999999997</v>
      </c>
      <c r="E93">
        <v>2406.6315615936301</v>
      </c>
      <c r="F93">
        <v>346.71319580078102</v>
      </c>
      <c r="G93">
        <v>13.04</v>
      </c>
      <c r="H93">
        <v>2.9444444444444402</v>
      </c>
      <c r="I93">
        <v>4.4000000000000004</v>
      </c>
      <c r="J93">
        <v>2.1343749999999999</v>
      </c>
      <c r="K93">
        <v>7736.5791015625</v>
      </c>
      <c r="L93">
        <v>20.83</v>
      </c>
      <c r="M93">
        <v>18.59</v>
      </c>
      <c r="N93">
        <v>22.19</v>
      </c>
      <c r="O93">
        <v>136.44499999999999</v>
      </c>
      <c r="P93">
        <v>365.01249999999999</v>
      </c>
      <c r="Q93">
        <v>5.0721749999999997</v>
      </c>
      <c r="R93">
        <v>20.54</v>
      </c>
      <c r="S93">
        <v>58.680507827360586</v>
      </c>
      <c r="T93">
        <v>73.601398953203969</v>
      </c>
    </row>
    <row r="94" spans="1:20">
      <c r="A94" t="s">
        <v>203</v>
      </c>
      <c r="B94">
        <v>1631.18420410156</v>
      </c>
      <c r="C94">
        <v>34.5</v>
      </c>
      <c r="D94">
        <v>33.4</v>
      </c>
      <c r="E94">
        <v>2420.1842087264999</v>
      </c>
      <c r="F94">
        <v>351.80526733398398</v>
      </c>
      <c r="G94">
        <v>13.04</v>
      </c>
      <c r="H94">
        <v>2.7600000169542098</v>
      </c>
      <c r="I94">
        <v>4.1100000000000003</v>
      </c>
      <c r="J94">
        <v>1.8923749999999999</v>
      </c>
      <c r="K94">
        <v>7893.21044921875</v>
      </c>
      <c r="L94">
        <v>19.21</v>
      </c>
      <c r="M94">
        <v>18.07</v>
      </c>
      <c r="N94">
        <v>20.98</v>
      </c>
      <c r="O94">
        <v>148.38095238095238</v>
      </c>
      <c r="P94">
        <v>378.90476190476193</v>
      </c>
      <c r="Q94">
        <v>5.203157894736842</v>
      </c>
      <c r="R94">
        <v>19.420000000000002</v>
      </c>
      <c r="S94">
        <v>57.858943650238587</v>
      </c>
      <c r="T94">
        <v>73.931476024043192</v>
      </c>
    </row>
    <row r="95" spans="1:20">
      <c r="A95" t="s">
        <v>204</v>
      </c>
      <c r="B95">
        <v>1561.11364746094</v>
      </c>
      <c r="C95">
        <v>35.4</v>
      </c>
      <c r="D95">
        <v>32.99</v>
      </c>
      <c r="E95">
        <v>2389.3181494934101</v>
      </c>
      <c r="F95">
        <v>344.58334350585898</v>
      </c>
      <c r="G95">
        <v>13.04</v>
      </c>
      <c r="H95">
        <v>2.7299999660915799</v>
      </c>
      <c r="I95">
        <v>3.72</v>
      </c>
      <c r="J95">
        <v>2.0105</v>
      </c>
      <c r="K95">
        <v>7313.13623046875</v>
      </c>
      <c r="L95">
        <v>17.47</v>
      </c>
      <c r="M95">
        <v>16.77</v>
      </c>
      <c r="N95">
        <v>19.71</v>
      </c>
      <c r="O95">
        <v>153.46590909090909</v>
      </c>
      <c r="P95">
        <v>371.07954545454544</v>
      </c>
      <c r="Q95">
        <v>4.7725681818181815</v>
      </c>
      <c r="R95">
        <v>17.98</v>
      </c>
      <c r="S95">
        <v>56.001535358506672</v>
      </c>
      <c r="T95">
        <v>72.484150223369383</v>
      </c>
    </row>
    <row r="96" spans="1:20">
      <c r="A96" t="s">
        <v>205</v>
      </c>
      <c r="B96">
        <v>1625.44995117188</v>
      </c>
      <c r="C96">
        <v>35.729999999999997</v>
      </c>
      <c r="D96">
        <v>32.53</v>
      </c>
      <c r="E96">
        <v>2513.2999352340698</v>
      </c>
      <c r="F96">
        <v>343.70278930664102</v>
      </c>
      <c r="G96">
        <v>13.04</v>
      </c>
      <c r="H96">
        <v>2.7299999660915799</v>
      </c>
      <c r="I96">
        <v>3.73</v>
      </c>
      <c r="J96">
        <v>2.2166000000000001</v>
      </c>
      <c r="K96">
        <v>7476</v>
      </c>
      <c r="L96">
        <v>19.14</v>
      </c>
      <c r="M96">
        <v>18.45</v>
      </c>
      <c r="N96">
        <v>20.83</v>
      </c>
      <c r="O96">
        <v>169.49318181818182</v>
      </c>
      <c r="P96">
        <v>387.5</v>
      </c>
      <c r="Q96">
        <v>4.7594000000000003</v>
      </c>
      <c r="R96">
        <v>19.47</v>
      </c>
      <c r="S96">
        <v>57.389130431805512</v>
      </c>
      <c r="T96">
        <v>70.648824114016776</v>
      </c>
    </row>
    <row r="97" spans="1:20">
      <c r="A97" t="s">
        <v>206</v>
      </c>
      <c r="B97">
        <v>1567.1904296875</v>
      </c>
      <c r="C97">
        <v>34.5</v>
      </c>
      <c r="D97">
        <v>32.28</v>
      </c>
      <c r="E97">
        <v>2611.2857001541101</v>
      </c>
      <c r="F97">
        <v>340.476318359375</v>
      </c>
      <c r="G97">
        <v>13.04</v>
      </c>
      <c r="H97">
        <v>2.7299999660915799</v>
      </c>
      <c r="I97">
        <v>3.66</v>
      </c>
      <c r="J97">
        <v>2.2029999999999998</v>
      </c>
      <c r="K97">
        <v>7060</v>
      </c>
      <c r="L97">
        <v>17.55</v>
      </c>
      <c r="M97">
        <v>17.34</v>
      </c>
      <c r="N97">
        <v>19.170000000000002</v>
      </c>
      <c r="O97">
        <v>201.97619047619048</v>
      </c>
      <c r="P97">
        <v>430.76190476190476</v>
      </c>
      <c r="Q97">
        <v>4.7552380952380942</v>
      </c>
      <c r="R97">
        <v>18.02</v>
      </c>
      <c r="S97">
        <v>55.020962630027256</v>
      </c>
      <c r="T97">
        <v>67.64642664055539</v>
      </c>
    </row>
    <row r="98" spans="1:20">
      <c r="A98" t="s">
        <v>207</v>
      </c>
      <c r="B98">
        <v>1591.5869140625</v>
      </c>
      <c r="C98">
        <v>35</v>
      </c>
      <c r="D98">
        <v>31.27</v>
      </c>
      <c r="E98">
        <v>2449.19570404663</v>
      </c>
      <c r="F98">
        <v>324.088623046875</v>
      </c>
      <c r="G98">
        <v>13.04</v>
      </c>
      <c r="H98">
        <v>2.5999999576144699</v>
      </c>
      <c r="I98">
        <v>3.5</v>
      </c>
      <c r="J98">
        <v>2.1738749999999998</v>
      </c>
      <c r="K98">
        <v>6832.7392578125</v>
      </c>
      <c r="L98">
        <v>18.43</v>
      </c>
      <c r="M98">
        <v>17.29</v>
      </c>
      <c r="N98">
        <v>19.63</v>
      </c>
      <c r="O98">
        <v>187.55434782608697</v>
      </c>
      <c r="P98">
        <v>415.52173913043481</v>
      </c>
      <c r="Q98">
        <v>4.3724347826086953</v>
      </c>
      <c r="R98">
        <v>18.45</v>
      </c>
      <c r="S98">
        <v>54.453573517043878</v>
      </c>
      <c r="T98">
        <v>67.079398205541551</v>
      </c>
    </row>
    <row r="99" spans="1:20">
      <c r="A99" t="s">
        <v>208</v>
      </c>
      <c r="B99">
        <v>1710.02502441406</v>
      </c>
      <c r="C99">
        <v>36.93</v>
      </c>
      <c r="D99">
        <v>31.03</v>
      </c>
      <c r="E99">
        <v>2250.1000430511499</v>
      </c>
      <c r="F99">
        <v>324.04998779296898</v>
      </c>
      <c r="G99">
        <v>13.04</v>
      </c>
      <c r="H99">
        <v>2.5999999576144699</v>
      </c>
      <c r="I99">
        <v>3.43</v>
      </c>
      <c r="J99">
        <v>2.4420000000000002</v>
      </c>
      <c r="K99">
        <v>6764.4501953125</v>
      </c>
      <c r="L99">
        <v>18.690000000000001</v>
      </c>
      <c r="M99">
        <v>17.77</v>
      </c>
      <c r="N99">
        <v>19.920000000000002</v>
      </c>
      <c r="O99">
        <v>211.66666666666666</v>
      </c>
      <c r="P99">
        <v>424.54761904761904</v>
      </c>
      <c r="Q99">
        <v>4.4961750000000009</v>
      </c>
      <c r="R99">
        <v>18.79</v>
      </c>
      <c r="S99">
        <v>54.722498534215518</v>
      </c>
      <c r="T99">
        <v>66.646500149725398</v>
      </c>
    </row>
    <row r="100" spans="1:20">
      <c r="A100" t="s">
        <v>209</v>
      </c>
      <c r="B100">
        <v>1611.61901855469</v>
      </c>
      <c r="C100">
        <v>37.15</v>
      </c>
      <c r="D100">
        <v>29.88</v>
      </c>
      <c r="E100">
        <v>2104.30955452118</v>
      </c>
      <c r="F100">
        <v>324.47619628906301</v>
      </c>
      <c r="G100">
        <v>13.04</v>
      </c>
      <c r="H100">
        <v>2.5999999576144699</v>
      </c>
      <c r="I100">
        <v>3.5</v>
      </c>
      <c r="J100">
        <v>2.8504999999999998</v>
      </c>
      <c r="K100">
        <v>6498.28564453125</v>
      </c>
      <c r="L100">
        <v>18.45</v>
      </c>
      <c r="M100">
        <v>17.95</v>
      </c>
      <c r="N100">
        <v>19.77</v>
      </c>
      <c r="O100">
        <v>190.47727272727272</v>
      </c>
      <c r="P100">
        <v>424.72727272727275</v>
      </c>
      <c r="Q100">
        <v>4.7318636363636379</v>
      </c>
      <c r="R100">
        <v>18.73</v>
      </c>
      <c r="S100">
        <v>54.812083801260925</v>
      </c>
      <c r="T100">
        <v>66.639482766219189</v>
      </c>
    </row>
    <row r="101" spans="1:20">
      <c r="A101" t="s">
        <v>210</v>
      </c>
      <c r="B101">
        <v>1607.32604980469</v>
      </c>
      <c r="C101">
        <v>37.15</v>
      </c>
      <c r="D101">
        <v>29</v>
      </c>
      <c r="E101">
        <v>2050.6955684021</v>
      </c>
      <c r="F101">
        <v>323.88333129882801</v>
      </c>
      <c r="G101">
        <v>13.04</v>
      </c>
      <c r="H101">
        <v>2.44999991522895</v>
      </c>
      <c r="I101">
        <v>3.5</v>
      </c>
      <c r="J101">
        <v>3.0604</v>
      </c>
      <c r="K101">
        <v>6373.47802734375</v>
      </c>
      <c r="L101">
        <v>20.05</v>
      </c>
      <c r="M101">
        <v>19.059999999999999</v>
      </c>
      <c r="N101">
        <v>21.25</v>
      </c>
      <c r="O101">
        <v>205.02173913043478</v>
      </c>
      <c r="P101">
        <v>423.11956521739131</v>
      </c>
      <c r="Q101">
        <v>5.0348043478260873</v>
      </c>
      <c r="R101">
        <v>20.12</v>
      </c>
      <c r="S101">
        <v>55.483110439274732</v>
      </c>
      <c r="T101">
        <v>66.587674716352012</v>
      </c>
    </row>
    <row r="102" spans="1:20">
      <c r="A102" t="s">
        <v>211</v>
      </c>
      <c r="B102">
        <v>1598.32495117188</v>
      </c>
      <c r="C102">
        <v>33.6</v>
      </c>
      <c r="D102">
        <v>27.69</v>
      </c>
      <c r="E102">
        <v>1918.4999449935899</v>
      </c>
      <c r="F102">
        <v>305.34616088867199</v>
      </c>
      <c r="G102">
        <v>13.04</v>
      </c>
      <c r="H102">
        <v>2.44999991522895</v>
      </c>
      <c r="I102">
        <v>3.63</v>
      </c>
      <c r="J102">
        <v>2.9321250000000001</v>
      </c>
      <c r="K102">
        <v>6137.25</v>
      </c>
      <c r="L102">
        <v>19</v>
      </c>
      <c r="M102">
        <v>18.38</v>
      </c>
      <c r="N102">
        <v>20.100000000000001</v>
      </c>
      <c r="O102">
        <v>207.9</v>
      </c>
      <c r="P102">
        <v>392.28750000000002</v>
      </c>
      <c r="Q102">
        <v>5.0779249999999996</v>
      </c>
      <c r="R102">
        <v>19.16</v>
      </c>
      <c r="S102">
        <v>54.348841874000541</v>
      </c>
      <c r="T102">
        <v>67.116935452322807</v>
      </c>
    </row>
    <row r="103" spans="1:20">
      <c r="A103" t="s">
        <v>212</v>
      </c>
      <c r="B103">
        <v>1530.52380371094</v>
      </c>
      <c r="C103">
        <v>31.4</v>
      </c>
      <c r="D103">
        <v>27.75</v>
      </c>
      <c r="E103">
        <v>1761.4523914352401</v>
      </c>
      <c r="F103">
        <v>287.61999511718801</v>
      </c>
      <c r="G103">
        <v>13.04</v>
      </c>
      <c r="H103">
        <v>2.44999991522895</v>
      </c>
      <c r="I103">
        <v>3.66</v>
      </c>
      <c r="J103">
        <v>2.3276249999999998</v>
      </c>
      <c r="K103">
        <v>5942.380859375</v>
      </c>
      <c r="L103">
        <v>17.100000000000001</v>
      </c>
      <c r="M103">
        <v>16.309999999999999</v>
      </c>
      <c r="N103">
        <v>18.3</v>
      </c>
      <c r="O103">
        <v>197.82608695652175</v>
      </c>
      <c r="P103">
        <v>365.42391304347825</v>
      </c>
      <c r="Q103">
        <v>5.7945238095238087</v>
      </c>
      <c r="R103">
        <v>17.239999999999998</v>
      </c>
      <c r="S103">
        <v>53.081179446348067</v>
      </c>
      <c r="T103">
        <v>71.614807774840301</v>
      </c>
    </row>
    <row r="104" spans="1:20">
      <c r="A104" t="s">
        <v>213</v>
      </c>
      <c r="B104">
        <v>1485.47497558594</v>
      </c>
      <c r="C104">
        <v>31.4</v>
      </c>
      <c r="D104">
        <v>27.5</v>
      </c>
      <c r="E104">
        <v>1687.6000098632801</v>
      </c>
      <c r="F104">
        <v>289.5</v>
      </c>
      <c r="G104">
        <v>13.41</v>
      </c>
      <c r="H104">
        <v>2.4899999830457902</v>
      </c>
      <c r="I104">
        <v>3.46</v>
      </c>
      <c r="J104">
        <v>2.1093000000000002</v>
      </c>
      <c r="K104">
        <v>5489</v>
      </c>
      <c r="L104">
        <v>15.09</v>
      </c>
      <c r="M104">
        <v>13.4</v>
      </c>
      <c r="N104">
        <v>16.7</v>
      </c>
      <c r="O104">
        <v>223.73863636363637</v>
      </c>
      <c r="P104">
        <v>373.8568181818182</v>
      </c>
      <c r="Q104">
        <v>5.8819523809523808</v>
      </c>
      <c r="R104">
        <v>15.07</v>
      </c>
      <c r="S104">
        <v>50.166781782716242</v>
      </c>
      <c r="T104">
        <v>68.531238635070125</v>
      </c>
    </row>
    <row r="105" spans="1:20">
      <c r="A105" t="s">
        <v>214</v>
      </c>
      <c r="B105">
        <v>1465.17504882813</v>
      </c>
      <c r="C105">
        <v>33.44</v>
      </c>
      <c r="D105">
        <v>26.76</v>
      </c>
      <c r="E105">
        <v>1663.9999860443099</v>
      </c>
      <c r="F105">
        <v>297.45526123046898</v>
      </c>
      <c r="G105">
        <v>13.41</v>
      </c>
      <c r="H105">
        <v>2.4899999830457902</v>
      </c>
      <c r="I105">
        <v>2.98</v>
      </c>
      <c r="J105">
        <v>2.2115</v>
      </c>
      <c r="K105">
        <v>5367.25</v>
      </c>
      <c r="L105">
        <v>14.06</v>
      </c>
      <c r="M105">
        <v>12.43</v>
      </c>
      <c r="N105">
        <v>16.059999999999999</v>
      </c>
      <c r="O105">
        <v>237.05</v>
      </c>
      <c r="P105">
        <v>386.08000000000004</v>
      </c>
      <c r="Q105">
        <v>6.8316749999999997</v>
      </c>
      <c r="R105">
        <v>14.18</v>
      </c>
      <c r="S105">
        <v>49.584118551256566</v>
      </c>
      <c r="T105">
        <v>67.986532082205386</v>
      </c>
    </row>
    <row r="106" spans="1:20">
      <c r="A106" t="s">
        <v>215</v>
      </c>
      <c r="B106">
        <v>1438.31823730469</v>
      </c>
      <c r="C106">
        <v>31.88</v>
      </c>
      <c r="D106">
        <v>26.74</v>
      </c>
      <c r="E106">
        <v>1747.15916341095</v>
      </c>
      <c r="F106">
        <v>295.95455932617199</v>
      </c>
      <c r="G106">
        <v>13.41</v>
      </c>
      <c r="H106">
        <v>2.4899999830457902</v>
      </c>
      <c r="I106">
        <v>2.81</v>
      </c>
      <c r="J106">
        <v>2.2229999999999999</v>
      </c>
      <c r="K106">
        <v>5397.04541015625</v>
      </c>
      <c r="L106">
        <v>13.08</v>
      </c>
      <c r="M106">
        <v>11.53</v>
      </c>
      <c r="N106">
        <v>15.11</v>
      </c>
      <c r="O106">
        <v>262.52272727272725</v>
      </c>
      <c r="P106">
        <v>398.98863636363637</v>
      </c>
      <c r="Q106">
        <v>6.2429318181818187</v>
      </c>
      <c r="R106">
        <v>13.24</v>
      </c>
      <c r="S106">
        <v>48.887517511261741</v>
      </c>
      <c r="T106">
        <v>68.63575604412668</v>
      </c>
    </row>
    <row r="107" spans="1:20">
      <c r="A107" t="s">
        <v>216</v>
      </c>
      <c r="B107">
        <v>1417.55004882813</v>
      </c>
      <c r="C107">
        <v>31.18</v>
      </c>
      <c r="D107">
        <v>27.35</v>
      </c>
      <c r="E107">
        <v>1800.1250781753499</v>
      </c>
      <c r="F107">
        <v>308.28500366210898</v>
      </c>
      <c r="G107">
        <v>13.41</v>
      </c>
      <c r="H107">
        <v>2.36999999152289</v>
      </c>
      <c r="I107">
        <v>2.61</v>
      </c>
      <c r="J107">
        <v>2.4518749999999998</v>
      </c>
      <c r="K107">
        <v>5391</v>
      </c>
      <c r="L107">
        <v>13.39</v>
      </c>
      <c r="M107">
        <v>11.47</v>
      </c>
      <c r="N107">
        <v>15.32</v>
      </c>
      <c r="O107">
        <v>320.25</v>
      </c>
      <c r="P107">
        <v>413.75</v>
      </c>
      <c r="Q107">
        <v>6.3326250000000019</v>
      </c>
      <c r="R107">
        <v>13.39</v>
      </c>
      <c r="S107">
        <v>49.93166226729312</v>
      </c>
      <c r="T107">
        <v>70.744700626943327</v>
      </c>
    </row>
    <row r="108" spans="1:20">
      <c r="A108" t="s">
        <v>217</v>
      </c>
      <c r="B108">
        <v>1364.31579589844</v>
      </c>
      <c r="C108">
        <v>30.28</v>
      </c>
      <c r="D108">
        <v>27.63</v>
      </c>
      <c r="E108">
        <v>1731.65792903595</v>
      </c>
      <c r="F108">
        <v>298.97894287109398</v>
      </c>
      <c r="G108">
        <v>13.41</v>
      </c>
      <c r="H108">
        <v>2.36999999152289</v>
      </c>
      <c r="I108">
        <v>2.67</v>
      </c>
      <c r="J108">
        <v>2.1539000000000001</v>
      </c>
      <c r="K108">
        <v>5016.84228515625</v>
      </c>
      <c r="L108">
        <v>14.39</v>
      </c>
      <c r="M108">
        <v>12.63</v>
      </c>
      <c r="N108">
        <v>14.9</v>
      </c>
      <c r="O108">
        <v>353.8095238095238</v>
      </c>
      <c r="P108">
        <v>388.90476190476193</v>
      </c>
      <c r="Q108">
        <v>5.5609999999999999</v>
      </c>
      <c r="R108">
        <v>13.97</v>
      </c>
      <c r="S108">
        <v>49.741432194074783</v>
      </c>
      <c r="T108">
        <v>71.116171407031572</v>
      </c>
    </row>
    <row r="109" spans="1:20">
      <c r="A109" t="s">
        <v>218</v>
      </c>
      <c r="B109">
        <v>1305.52380371094</v>
      </c>
      <c r="C109">
        <v>30</v>
      </c>
      <c r="D109">
        <v>27.33</v>
      </c>
      <c r="E109">
        <v>1656.59518632507</v>
      </c>
      <c r="F109">
        <v>292.53863525390602</v>
      </c>
      <c r="G109">
        <v>13.41</v>
      </c>
      <c r="H109">
        <v>2.36999999152289</v>
      </c>
      <c r="I109">
        <v>2.66</v>
      </c>
      <c r="J109">
        <v>2.145</v>
      </c>
      <c r="K109">
        <v>4456.90478515625</v>
      </c>
      <c r="L109">
        <v>12.06</v>
      </c>
      <c r="M109">
        <v>11.68</v>
      </c>
      <c r="N109">
        <v>13.71</v>
      </c>
      <c r="O109">
        <v>286.11363636363637</v>
      </c>
      <c r="P109">
        <v>355.43181818181819</v>
      </c>
      <c r="Q109">
        <v>5.2667045454545454</v>
      </c>
      <c r="R109">
        <v>12.48</v>
      </c>
      <c r="S109">
        <v>47.563374992091539</v>
      </c>
      <c r="T109">
        <v>69.061427349997331</v>
      </c>
    </row>
    <row r="110" spans="1:20">
      <c r="A110" t="s">
        <v>219</v>
      </c>
      <c r="B110">
        <v>1312.66662597656</v>
      </c>
      <c r="C110">
        <v>30</v>
      </c>
      <c r="D110">
        <v>26.55</v>
      </c>
      <c r="E110">
        <v>1655.6667269744901</v>
      </c>
      <c r="F110">
        <v>292.75225830078102</v>
      </c>
      <c r="G110">
        <v>13.41</v>
      </c>
      <c r="H110">
        <v>2.2099999321831598</v>
      </c>
      <c r="I110">
        <v>2.57</v>
      </c>
      <c r="J110">
        <v>2.1920000000000002</v>
      </c>
      <c r="K110">
        <v>4332.619140625</v>
      </c>
      <c r="L110">
        <v>12.04</v>
      </c>
      <c r="M110">
        <v>12</v>
      </c>
      <c r="N110">
        <v>14.12</v>
      </c>
      <c r="O110">
        <v>306.43478260869563</v>
      </c>
      <c r="P110">
        <v>378.43478260869563</v>
      </c>
      <c r="Q110">
        <v>5.4552173913043482</v>
      </c>
      <c r="R110">
        <v>12.72</v>
      </c>
      <c r="S110">
        <v>46.644167550385951</v>
      </c>
      <c r="T110">
        <v>66.221294780804868</v>
      </c>
    </row>
    <row r="111" spans="1:20">
      <c r="A111" t="s">
        <v>220</v>
      </c>
      <c r="B111">
        <v>1310.55004882813</v>
      </c>
      <c r="C111">
        <v>26.2</v>
      </c>
      <c r="D111">
        <v>26.3</v>
      </c>
      <c r="E111">
        <v>1619.92507875671</v>
      </c>
      <c r="F111">
        <v>284.10998535156301</v>
      </c>
      <c r="G111">
        <v>13.41</v>
      </c>
      <c r="H111">
        <v>2.2099999321831598</v>
      </c>
      <c r="I111">
        <v>2.57</v>
      </c>
      <c r="J111">
        <v>1.8560000000000001</v>
      </c>
      <c r="K111">
        <v>4078</v>
      </c>
      <c r="L111">
        <v>11.88</v>
      </c>
      <c r="M111">
        <v>12.18</v>
      </c>
      <c r="N111">
        <v>13.4</v>
      </c>
      <c r="O111">
        <v>285.6904761904762</v>
      </c>
      <c r="P111">
        <v>369.17857142857144</v>
      </c>
      <c r="Q111">
        <v>5.163095238095238</v>
      </c>
      <c r="R111">
        <v>12.49</v>
      </c>
      <c r="S111">
        <v>45.222398128924858</v>
      </c>
      <c r="T111">
        <v>63.873507697654432</v>
      </c>
    </row>
    <row r="112" spans="1:20">
      <c r="A112" t="s">
        <v>221</v>
      </c>
      <c r="B112">
        <v>1341.88635253906</v>
      </c>
      <c r="C112">
        <v>27.09</v>
      </c>
      <c r="D112">
        <v>26.43</v>
      </c>
      <c r="E112">
        <v>1646.7726919128399</v>
      </c>
      <c r="F112">
        <v>288.98181152343801</v>
      </c>
      <c r="G112">
        <v>13.41</v>
      </c>
      <c r="H112">
        <v>2.2099999321831598</v>
      </c>
      <c r="I112">
        <v>2.65</v>
      </c>
      <c r="J112">
        <v>1.962</v>
      </c>
      <c r="K112">
        <v>4100.9091796875</v>
      </c>
      <c r="L112">
        <v>13.36</v>
      </c>
      <c r="M112">
        <v>13.07</v>
      </c>
      <c r="N112">
        <v>14.98</v>
      </c>
      <c r="O112">
        <v>284.29545454545456</v>
      </c>
      <c r="P112">
        <v>361.14772727272725</v>
      </c>
      <c r="Q112">
        <v>4.9992045454545462</v>
      </c>
      <c r="R112">
        <v>13.8</v>
      </c>
      <c r="S112">
        <v>46.057520187567746</v>
      </c>
      <c r="T112">
        <v>62.983520370818745</v>
      </c>
    </row>
    <row r="113" spans="1:20">
      <c r="A113" t="s">
        <v>222</v>
      </c>
      <c r="B113">
        <v>1303.70458984375</v>
      </c>
      <c r="C113">
        <v>27.1</v>
      </c>
      <c r="D113">
        <v>26.08</v>
      </c>
      <c r="E113">
        <v>1585.49992534637</v>
      </c>
      <c r="F113">
        <v>295.71499633789102</v>
      </c>
      <c r="G113">
        <v>13.41</v>
      </c>
      <c r="H113">
        <v>1.9100000593397399</v>
      </c>
      <c r="I113">
        <v>2.76</v>
      </c>
      <c r="J113">
        <v>1.9252</v>
      </c>
      <c r="K113">
        <v>3870.45458984375</v>
      </c>
      <c r="L113">
        <v>12.56</v>
      </c>
      <c r="M113">
        <v>12.81</v>
      </c>
      <c r="N113">
        <v>14.42</v>
      </c>
      <c r="O113">
        <v>278.375</v>
      </c>
      <c r="P113">
        <v>342.60227272727275</v>
      </c>
      <c r="Q113">
        <v>4.9987500000000002</v>
      </c>
      <c r="R113">
        <v>13.26</v>
      </c>
      <c r="S113">
        <v>45.78721755033947</v>
      </c>
      <c r="T113">
        <v>64.778176933270615</v>
      </c>
    </row>
    <row r="114" spans="1:20">
      <c r="A114" t="s">
        <v>223</v>
      </c>
      <c r="B114">
        <v>1295.30004882813</v>
      </c>
      <c r="C114">
        <v>26.1</v>
      </c>
      <c r="D114">
        <v>26.7</v>
      </c>
      <c r="E114">
        <v>1573.72497511139</v>
      </c>
      <c r="F114">
        <v>293.71667480468801</v>
      </c>
      <c r="G114">
        <v>13.41</v>
      </c>
      <c r="H114">
        <v>1.9100000593397399</v>
      </c>
      <c r="I114">
        <v>2.67</v>
      </c>
      <c r="J114">
        <v>2.1027499999999999</v>
      </c>
      <c r="K114">
        <v>4117.25</v>
      </c>
      <c r="L114">
        <v>10.92</v>
      </c>
      <c r="M114">
        <v>11.76</v>
      </c>
      <c r="N114">
        <v>12.96</v>
      </c>
      <c r="O114">
        <v>278.29761904761904</v>
      </c>
      <c r="P114">
        <v>347.17857142857144</v>
      </c>
      <c r="Q114">
        <v>4.9732142857142865</v>
      </c>
      <c r="R114">
        <v>11.88</v>
      </c>
      <c r="S114">
        <v>45.166089537940508</v>
      </c>
      <c r="T114">
        <v>65.645399682221353</v>
      </c>
    </row>
    <row r="115" spans="1:20">
      <c r="A115" t="s">
        <v>224</v>
      </c>
      <c r="B115">
        <v>1250.39477539063</v>
      </c>
      <c r="C115">
        <v>26.1</v>
      </c>
      <c r="D115">
        <v>26.7</v>
      </c>
      <c r="E115">
        <v>1475.76309447174</v>
      </c>
      <c r="F115">
        <v>291.678955078125</v>
      </c>
      <c r="G115">
        <v>13.41</v>
      </c>
      <c r="H115">
        <v>1.9100000593397399</v>
      </c>
      <c r="I115">
        <v>2.64</v>
      </c>
      <c r="J115">
        <v>1.7217499999999999</v>
      </c>
      <c r="K115">
        <v>3865.76318359375</v>
      </c>
      <c r="L115">
        <v>9.8000000000000007</v>
      </c>
      <c r="M115">
        <v>10.119999999999999</v>
      </c>
      <c r="N115">
        <v>11.31</v>
      </c>
      <c r="O115">
        <v>299.29347826086956</v>
      </c>
      <c r="P115">
        <v>351.79347826086956</v>
      </c>
      <c r="Q115">
        <v>4.8755952380952392</v>
      </c>
      <c r="R115">
        <v>10.41</v>
      </c>
      <c r="S115">
        <v>42.924983750092984</v>
      </c>
      <c r="T115">
        <v>63.740981358944381</v>
      </c>
    </row>
    <row r="116" spans="1:20">
      <c r="A116" t="s">
        <v>225</v>
      </c>
      <c r="B116">
        <v>1219.40002441406</v>
      </c>
      <c r="C116">
        <v>26.1</v>
      </c>
      <c r="D116">
        <v>26.5</v>
      </c>
      <c r="E116">
        <v>1432.00002842255</v>
      </c>
      <c r="F116">
        <v>286.93682860000001</v>
      </c>
      <c r="G116">
        <v>11.93</v>
      </c>
      <c r="H116">
        <v>1.7888888888888901</v>
      </c>
      <c r="I116">
        <v>2.64</v>
      </c>
      <c r="J116">
        <v>1.8452</v>
      </c>
      <c r="K116">
        <v>4264</v>
      </c>
      <c r="L116">
        <v>10.95</v>
      </c>
      <c r="M116">
        <v>10.67</v>
      </c>
      <c r="N116">
        <v>12.34</v>
      </c>
      <c r="O116">
        <v>322.39285714285717</v>
      </c>
      <c r="P116">
        <v>355.10714285714283</v>
      </c>
      <c r="Q116">
        <v>5.1460000000000017</v>
      </c>
      <c r="R116">
        <v>11.32</v>
      </c>
      <c r="S116">
        <v>43.770700544053</v>
      </c>
      <c r="T116">
        <v>64.630326571218049</v>
      </c>
    </row>
    <row r="117" spans="1:20">
      <c r="A117" t="s">
        <v>226</v>
      </c>
      <c r="B117">
        <v>1186.4749999999999</v>
      </c>
      <c r="C117">
        <v>26.1</v>
      </c>
      <c r="D117">
        <v>26.38</v>
      </c>
      <c r="E117">
        <v>1412.95</v>
      </c>
      <c r="F117">
        <v>287.65499999999997</v>
      </c>
      <c r="G117">
        <v>11.93</v>
      </c>
      <c r="H117">
        <v>1.7888888888888901</v>
      </c>
      <c r="I117">
        <v>2.57</v>
      </c>
      <c r="J117">
        <v>1.7767500000000001</v>
      </c>
      <c r="K117">
        <v>4623.25</v>
      </c>
      <c r="L117">
        <v>10.199999999999999</v>
      </c>
      <c r="M117">
        <v>10.050000000000001</v>
      </c>
      <c r="N117">
        <v>11.99</v>
      </c>
      <c r="O117">
        <v>350.5625</v>
      </c>
      <c r="P117">
        <v>364.07499999999999</v>
      </c>
      <c r="Q117">
        <v>5.5306250000000006</v>
      </c>
      <c r="R117">
        <v>10.75</v>
      </c>
      <c r="S117">
        <v>42.01254254568908</v>
      </c>
      <c r="T117">
        <v>59.730250661013706</v>
      </c>
    </row>
    <row r="118" spans="1:20">
      <c r="A118" t="s">
        <v>227</v>
      </c>
      <c r="B118">
        <v>1179.8636363636399</v>
      </c>
      <c r="C118">
        <v>26.1</v>
      </c>
      <c r="D118">
        <v>25.05</v>
      </c>
      <c r="E118">
        <v>1378.47727272727</v>
      </c>
      <c r="F118">
        <v>286.21363639999998</v>
      </c>
      <c r="G118">
        <v>11.93</v>
      </c>
      <c r="H118">
        <v>1.7888888888888901</v>
      </c>
      <c r="I118">
        <v>2.61</v>
      </c>
      <c r="J118">
        <v>1.7745</v>
      </c>
      <c r="K118">
        <v>5002.9545454545496</v>
      </c>
      <c r="L118">
        <v>12.12</v>
      </c>
      <c r="M118">
        <v>12.08</v>
      </c>
      <c r="N118">
        <v>14.36</v>
      </c>
      <c r="O118">
        <v>352.43478260869563</v>
      </c>
      <c r="P118">
        <v>369.93478260869563</v>
      </c>
      <c r="Q118">
        <v>5.1903260869565226</v>
      </c>
      <c r="R118">
        <v>12.86</v>
      </c>
      <c r="S118">
        <v>42.982701293428725</v>
      </c>
      <c r="T118">
        <v>57.937052288626049</v>
      </c>
    </row>
    <row r="119" spans="1:20">
      <c r="A119" t="s">
        <v>228</v>
      </c>
      <c r="B119">
        <v>1277.8499999999999</v>
      </c>
      <c r="C119">
        <v>26.1</v>
      </c>
      <c r="D119">
        <v>25.05</v>
      </c>
      <c r="E119">
        <v>1463.7249999999999</v>
      </c>
      <c r="F119">
        <v>282.61750000000001</v>
      </c>
      <c r="G119">
        <v>11.93</v>
      </c>
      <c r="H119">
        <v>1.67</v>
      </c>
      <c r="I119">
        <v>2.68</v>
      </c>
      <c r="J119">
        <v>2.1099000000000001</v>
      </c>
      <c r="K119">
        <v>5054.75</v>
      </c>
      <c r="L119">
        <v>15.16</v>
      </c>
      <c r="M119">
        <v>14.81</v>
      </c>
      <c r="N119">
        <v>17.23</v>
      </c>
      <c r="O119">
        <v>360.01363636363635</v>
      </c>
      <c r="P119">
        <v>357.14545454545453</v>
      </c>
      <c r="Q119">
        <v>5.0668749999999996</v>
      </c>
      <c r="R119">
        <v>15.73</v>
      </c>
      <c r="S119">
        <v>45.675819154705465</v>
      </c>
      <c r="T119">
        <v>59.170833708037776</v>
      </c>
    </row>
    <row r="120" spans="1:20">
      <c r="A120" t="s">
        <v>229</v>
      </c>
      <c r="B120">
        <v>1323.1315789473699</v>
      </c>
      <c r="C120">
        <v>26.1</v>
      </c>
      <c r="D120">
        <v>25.05</v>
      </c>
      <c r="E120">
        <v>1510.44736842105</v>
      </c>
      <c r="F120">
        <v>276.91000000000003</v>
      </c>
      <c r="G120">
        <v>11.93</v>
      </c>
      <c r="H120">
        <v>1.67</v>
      </c>
      <c r="I120">
        <v>3.02</v>
      </c>
      <c r="J120">
        <v>2.2595000000000001</v>
      </c>
      <c r="K120">
        <v>5395.78947368421</v>
      </c>
      <c r="L120">
        <v>15.22</v>
      </c>
      <c r="M120">
        <v>15.38</v>
      </c>
      <c r="N120">
        <v>17.75</v>
      </c>
      <c r="O120">
        <v>328.78571428571428</v>
      </c>
      <c r="P120">
        <v>356.01190476190476</v>
      </c>
      <c r="Q120">
        <v>5.2697368421052619</v>
      </c>
      <c r="R120">
        <v>16.12</v>
      </c>
      <c r="S120">
        <v>46.513152685500174</v>
      </c>
      <c r="T120">
        <v>59.728118426114939</v>
      </c>
    </row>
    <row r="121" spans="1:20">
      <c r="A121" t="s">
        <v>230</v>
      </c>
      <c r="B121">
        <v>1315.52272727273</v>
      </c>
      <c r="C121">
        <v>26.1</v>
      </c>
      <c r="D121">
        <v>25.25</v>
      </c>
      <c r="E121">
        <v>1422.1590909090901</v>
      </c>
      <c r="F121">
        <v>261.31363640000001</v>
      </c>
      <c r="G121">
        <v>11.93</v>
      </c>
      <c r="H121">
        <v>1.67</v>
      </c>
      <c r="I121">
        <v>3.19</v>
      </c>
      <c r="J121">
        <v>2.308125</v>
      </c>
      <c r="K121">
        <v>5194.7727272727298</v>
      </c>
      <c r="L121">
        <v>15.6</v>
      </c>
      <c r="M121">
        <v>15.4</v>
      </c>
      <c r="N121">
        <v>17.72</v>
      </c>
      <c r="O121">
        <v>336.72954545454547</v>
      </c>
      <c r="P121">
        <v>356.78409090909093</v>
      </c>
      <c r="Q121">
        <v>5.0343181818181826</v>
      </c>
      <c r="R121">
        <v>16.239999999999998</v>
      </c>
      <c r="S121">
        <v>45.981520588685875</v>
      </c>
      <c r="T121">
        <v>57.970115270052368</v>
      </c>
    </row>
    <row r="122" spans="1:20">
      <c r="A122" t="s">
        <v>231</v>
      </c>
      <c r="B122">
        <v>1403.3636363636399</v>
      </c>
      <c r="C122">
        <v>26.1</v>
      </c>
      <c r="D122">
        <v>23.78</v>
      </c>
      <c r="E122">
        <v>1639.1818181818201</v>
      </c>
      <c r="F122">
        <v>256.69318179999999</v>
      </c>
      <c r="G122">
        <v>11.93</v>
      </c>
      <c r="H122">
        <v>1.73</v>
      </c>
      <c r="I122">
        <v>3.23</v>
      </c>
      <c r="J122">
        <v>2.2993000000000001</v>
      </c>
      <c r="K122">
        <v>5696.3636363636397</v>
      </c>
      <c r="L122">
        <v>18.71</v>
      </c>
      <c r="M122">
        <v>17.66</v>
      </c>
      <c r="N122">
        <v>19.89</v>
      </c>
      <c r="O122">
        <v>332.70454545454544</v>
      </c>
      <c r="P122">
        <v>349.05681818181819</v>
      </c>
      <c r="Q122">
        <v>5.1792499999999997</v>
      </c>
      <c r="R122">
        <v>18.75</v>
      </c>
      <c r="S122">
        <v>47.504032013175809</v>
      </c>
      <c r="T122">
        <v>56.29503328733967</v>
      </c>
    </row>
    <row r="123" spans="1:20">
      <c r="A123" t="s">
        <v>232</v>
      </c>
      <c r="B123">
        <v>1421.69047619048</v>
      </c>
      <c r="C123">
        <v>26.1</v>
      </c>
      <c r="D123">
        <v>23.14</v>
      </c>
      <c r="E123">
        <v>1646.7380952381</v>
      </c>
      <c r="F123">
        <v>256.90526319999998</v>
      </c>
      <c r="G123">
        <v>11.93</v>
      </c>
      <c r="H123">
        <v>1.73</v>
      </c>
      <c r="I123">
        <v>3.52</v>
      </c>
      <c r="J123">
        <v>2.7865000000000002</v>
      </c>
      <c r="K123">
        <v>6431.4285714285697</v>
      </c>
      <c r="L123">
        <v>20.170000000000002</v>
      </c>
      <c r="M123">
        <v>19.29</v>
      </c>
      <c r="N123">
        <v>21.17</v>
      </c>
      <c r="O123">
        <v>339.94318181818181</v>
      </c>
      <c r="P123">
        <v>350.05681818181819</v>
      </c>
      <c r="Q123">
        <v>5.272619047619048</v>
      </c>
      <c r="R123">
        <v>20.21</v>
      </c>
      <c r="S123">
        <v>49.754481718219353</v>
      </c>
      <c r="T123">
        <v>57.952559231891115</v>
      </c>
    </row>
    <row r="124" spans="1:20">
      <c r="A124" t="s">
        <v>233</v>
      </c>
      <c r="B124">
        <v>1492.0681818181799</v>
      </c>
      <c r="C124">
        <v>26.1</v>
      </c>
      <c r="D124">
        <v>22.5</v>
      </c>
      <c r="E124">
        <v>1749.6818181818201</v>
      </c>
      <c r="F124">
        <v>264.31086959999999</v>
      </c>
      <c r="G124">
        <v>11.93</v>
      </c>
      <c r="H124">
        <v>1.73</v>
      </c>
      <c r="I124">
        <v>3.83</v>
      </c>
      <c r="J124">
        <v>2.59775</v>
      </c>
      <c r="K124">
        <v>7029.0909090909099</v>
      </c>
      <c r="L124">
        <v>22.11</v>
      </c>
      <c r="M124">
        <v>21.48</v>
      </c>
      <c r="N124">
        <v>23.52</v>
      </c>
      <c r="O124">
        <v>361.625</v>
      </c>
      <c r="P124">
        <v>370.93181818181819</v>
      </c>
      <c r="Q124">
        <v>5.2313636363636355</v>
      </c>
      <c r="R124">
        <v>22.37</v>
      </c>
      <c r="S124">
        <v>51.773463767410021</v>
      </c>
      <c r="T124">
        <v>58.694530675097809</v>
      </c>
    </row>
    <row r="125" spans="1:20">
      <c r="A125" t="s">
        <v>234</v>
      </c>
      <c r="B125">
        <v>1473.3333333333301</v>
      </c>
      <c r="C125">
        <v>25.6</v>
      </c>
      <c r="D125">
        <v>22.5</v>
      </c>
      <c r="E125">
        <v>1723.2857142857099</v>
      </c>
      <c r="F125">
        <v>310.7815789</v>
      </c>
      <c r="G125">
        <v>11.93</v>
      </c>
      <c r="H125">
        <v>2.0388888888888901</v>
      </c>
      <c r="I125">
        <v>4.1399999999999997</v>
      </c>
      <c r="J125">
        <v>2.6896</v>
      </c>
      <c r="K125">
        <v>7317.6190476190504</v>
      </c>
      <c r="L125">
        <v>22.12</v>
      </c>
      <c r="M125">
        <v>21.5</v>
      </c>
      <c r="N125">
        <v>22.94</v>
      </c>
      <c r="O125">
        <v>386.92857142857144</v>
      </c>
      <c r="P125">
        <v>421.14285714285717</v>
      </c>
      <c r="Q125">
        <v>5.4115476190476182</v>
      </c>
      <c r="R125">
        <v>22.19</v>
      </c>
      <c r="S125">
        <v>52.531908599555827</v>
      </c>
      <c r="T125">
        <v>58.351762532984615</v>
      </c>
    </row>
    <row r="126" spans="1:20">
      <c r="A126" t="s">
        <v>235</v>
      </c>
      <c r="B126">
        <v>1472.4318181818201</v>
      </c>
      <c r="C126">
        <v>25.1</v>
      </c>
      <c r="D126">
        <v>23.5</v>
      </c>
      <c r="E126">
        <v>1726.77272727273</v>
      </c>
      <c r="F126">
        <v>293.1840909</v>
      </c>
      <c r="G126">
        <v>11.93</v>
      </c>
      <c r="H126">
        <v>2.0388888888888901</v>
      </c>
      <c r="I126">
        <v>4.25</v>
      </c>
      <c r="J126">
        <v>2.3330000000000002</v>
      </c>
      <c r="K126">
        <v>7946.8181818181802</v>
      </c>
      <c r="L126">
        <v>24.55</v>
      </c>
      <c r="M126">
        <v>23.06</v>
      </c>
      <c r="N126">
        <v>25.06</v>
      </c>
      <c r="O126">
        <v>400.90909090909093</v>
      </c>
      <c r="P126">
        <v>434.02272727272725</v>
      </c>
      <c r="Q126">
        <v>5.1551136363636365</v>
      </c>
      <c r="R126">
        <v>24.22</v>
      </c>
      <c r="S126">
        <v>53.283696650811649</v>
      </c>
      <c r="T126">
        <v>57.35641925721108</v>
      </c>
    </row>
    <row r="127" spans="1:20">
      <c r="A127" t="s">
        <v>236</v>
      </c>
      <c r="B127">
        <v>1554.73529411765</v>
      </c>
      <c r="C127">
        <v>25.1</v>
      </c>
      <c r="D127">
        <v>22.58</v>
      </c>
      <c r="E127">
        <v>1764.88235294118</v>
      </c>
      <c r="F127">
        <v>282.95263160000002</v>
      </c>
      <c r="G127">
        <v>11.93</v>
      </c>
      <c r="H127">
        <v>2.0388888888888901</v>
      </c>
      <c r="I127">
        <v>4.43</v>
      </c>
      <c r="J127">
        <v>2.3525999999999998</v>
      </c>
      <c r="K127">
        <v>8073.2352941176496</v>
      </c>
      <c r="L127">
        <v>25.48</v>
      </c>
      <c r="M127">
        <v>23.53</v>
      </c>
      <c r="N127">
        <v>26.02</v>
      </c>
      <c r="O127">
        <v>427.97826086956519</v>
      </c>
      <c r="P127">
        <v>439.13043478260869</v>
      </c>
      <c r="Q127">
        <v>5.1593750000000007</v>
      </c>
      <c r="R127">
        <v>25.01</v>
      </c>
      <c r="S127">
        <v>54.006932850482215</v>
      </c>
      <c r="T127">
        <v>57.648097166439925</v>
      </c>
    </row>
    <row r="128" spans="1:20">
      <c r="A128" t="s">
        <v>237</v>
      </c>
      <c r="B128">
        <v>1679.85</v>
      </c>
      <c r="C128">
        <v>25.1</v>
      </c>
      <c r="D128">
        <v>22.78</v>
      </c>
      <c r="E128">
        <v>1843.85</v>
      </c>
      <c r="F128">
        <v>284.06562500000001</v>
      </c>
      <c r="G128">
        <v>12.45</v>
      </c>
      <c r="H128">
        <v>3.0555555555555598</v>
      </c>
      <c r="I128">
        <v>4.54</v>
      </c>
      <c r="J128">
        <v>2.4027500000000002</v>
      </c>
      <c r="K128">
        <v>8315.25</v>
      </c>
      <c r="L128">
        <v>25.22</v>
      </c>
      <c r="M128">
        <v>23.18</v>
      </c>
      <c r="N128">
        <v>27.24</v>
      </c>
      <c r="O128">
        <v>452.61904761904759</v>
      </c>
      <c r="P128">
        <v>441</v>
      </c>
      <c r="Q128">
        <v>5.1881250000000003</v>
      </c>
      <c r="R128">
        <v>25.21</v>
      </c>
      <c r="S128">
        <v>55.572421245011917</v>
      </c>
      <c r="T128">
        <v>58.498818810584289</v>
      </c>
    </row>
    <row r="129" spans="1:20">
      <c r="A129" t="s">
        <v>238</v>
      </c>
      <c r="B129">
        <v>1679.425</v>
      </c>
      <c r="C129">
        <v>25.1</v>
      </c>
      <c r="D129">
        <v>23.62</v>
      </c>
      <c r="E129">
        <v>1807.0250000000001</v>
      </c>
      <c r="F129">
        <v>299.71499999999997</v>
      </c>
      <c r="G129">
        <v>12.45</v>
      </c>
      <c r="H129">
        <v>3.0555555555555598</v>
      </c>
      <c r="I129">
        <v>4.58</v>
      </c>
      <c r="J129">
        <v>2.657375</v>
      </c>
      <c r="K129">
        <v>9583.75</v>
      </c>
      <c r="L129">
        <v>27.63</v>
      </c>
      <c r="M129">
        <v>24.62</v>
      </c>
      <c r="N129">
        <v>29.21</v>
      </c>
      <c r="O129">
        <v>635.09523809523807</v>
      </c>
      <c r="P129">
        <v>519.71428571428567</v>
      </c>
      <c r="Q129">
        <v>5.246547619047619</v>
      </c>
      <c r="R129">
        <v>27.15</v>
      </c>
      <c r="S129">
        <v>58.042724064283043</v>
      </c>
      <c r="T129">
        <v>59.247223439211645</v>
      </c>
    </row>
    <row r="130" spans="1:20">
      <c r="A130" t="s">
        <v>239</v>
      </c>
      <c r="B130">
        <v>1579.64</v>
      </c>
      <c r="C130">
        <v>25.1</v>
      </c>
      <c r="D130">
        <v>24.4</v>
      </c>
      <c r="E130">
        <v>1739.8</v>
      </c>
      <c r="F130">
        <v>286.92399999999998</v>
      </c>
      <c r="G130">
        <v>12.45</v>
      </c>
      <c r="H130">
        <v>3.0555555555555598</v>
      </c>
      <c r="I130">
        <v>4.95</v>
      </c>
      <c r="J130">
        <v>2.7816000000000001</v>
      </c>
      <c r="K130">
        <v>10255.4</v>
      </c>
      <c r="L130">
        <v>27.47</v>
      </c>
      <c r="M130">
        <v>25.08</v>
      </c>
      <c r="N130">
        <v>29.92</v>
      </c>
      <c r="O130">
        <v>664.3478260869565</v>
      </c>
      <c r="P130">
        <v>479.32608695652175</v>
      </c>
      <c r="Q130">
        <v>5.0638043478260863</v>
      </c>
      <c r="R130">
        <v>27.49</v>
      </c>
      <c r="S130">
        <v>58.487300099091016</v>
      </c>
      <c r="T130">
        <v>60.339641997151617</v>
      </c>
    </row>
    <row r="131" spans="1:20">
      <c r="A131" t="s">
        <v>240</v>
      </c>
      <c r="B131">
        <v>1458.7449999999999</v>
      </c>
      <c r="C131">
        <v>25.1</v>
      </c>
      <c r="D131">
        <v>24.94</v>
      </c>
      <c r="E131">
        <v>1681.9075</v>
      </c>
      <c r="F131">
        <v>279.65263160000001</v>
      </c>
      <c r="G131">
        <v>12.45</v>
      </c>
      <c r="H131">
        <v>3.24</v>
      </c>
      <c r="I131">
        <v>5.08</v>
      </c>
      <c r="J131">
        <v>3.03526315833333</v>
      </c>
      <c r="K131">
        <v>9746.5</v>
      </c>
      <c r="L131">
        <v>22.54</v>
      </c>
      <c r="M131">
        <v>22.03</v>
      </c>
      <c r="N131">
        <v>25.78</v>
      </c>
      <c r="O131">
        <v>573.1</v>
      </c>
      <c r="P131">
        <v>497.55</v>
      </c>
      <c r="Q131">
        <v>5.0612499999999994</v>
      </c>
      <c r="R131">
        <v>23.45</v>
      </c>
      <c r="S131">
        <v>56.455139929054596</v>
      </c>
      <c r="T131">
        <v>63.093430607026008</v>
      </c>
    </row>
    <row r="132" spans="1:20">
      <c r="A132" t="s">
        <v>241</v>
      </c>
      <c r="B132">
        <v>1468.0652173912999</v>
      </c>
      <c r="C132">
        <v>25.6</v>
      </c>
      <c r="D132">
        <v>26.05</v>
      </c>
      <c r="E132">
        <v>1785.0978260869599</v>
      </c>
      <c r="F132">
        <v>276.74090910000001</v>
      </c>
      <c r="G132">
        <v>12.45</v>
      </c>
      <c r="H132">
        <v>3.24</v>
      </c>
      <c r="I132">
        <v>4.58</v>
      </c>
      <c r="J132">
        <v>3.5895454555555601</v>
      </c>
      <c r="K132">
        <v>10122.9130434783</v>
      </c>
      <c r="L132">
        <v>27.4</v>
      </c>
      <c r="M132">
        <v>25.51</v>
      </c>
      <c r="N132">
        <v>28.78</v>
      </c>
      <c r="O132">
        <v>572.21739130434787</v>
      </c>
      <c r="P132">
        <v>525.89130434782612</v>
      </c>
      <c r="Q132">
        <v>4.9859523809523818</v>
      </c>
      <c r="R132">
        <v>27.23</v>
      </c>
      <c r="S132">
        <v>59.404059590312833</v>
      </c>
      <c r="T132">
        <v>62.17224723328048</v>
      </c>
    </row>
    <row r="133" spans="1:20">
      <c r="A133" t="s">
        <v>242</v>
      </c>
      <c r="B133">
        <v>1509.3727272727299</v>
      </c>
      <c r="C133">
        <v>25.6</v>
      </c>
      <c r="D133">
        <v>27</v>
      </c>
      <c r="E133">
        <v>1752.0727272727299</v>
      </c>
      <c r="F133">
        <v>285.73181820000002</v>
      </c>
      <c r="G133">
        <v>12.45</v>
      </c>
      <c r="H133">
        <v>3.24</v>
      </c>
      <c r="I133">
        <v>5.14</v>
      </c>
      <c r="J133">
        <v>4.28727272777778</v>
      </c>
      <c r="K133">
        <v>8384.3181818181802</v>
      </c>
      <c r="L133">
        <v>29.68</v>
      </c>
      <c r="M133">
        <v>27.32</v>
      </c>
      <c r="N133">
        <v>31.86</v>
      </c>
      <c r="O133">
        <v>645.9545454545455</v>
      </c>
      <c r="P133">
        <v>559.72727272727275</v>
      </c>
      <c r="Q133">
        <v>4.9971590909090899</v>
      </c>
      <c r="R133">
        <v>29.62</v>
      </c>
      <c r="S133">
        <v>61.322121760203203</v>
      </c>
      <c r="T133">
        <v>59.982856209854766</v>
      </c>
    </row>
    <row r="134" spans="1:20">
      <c r="A134" t="s">
        <v>243</v>
      </c>
      <c r="B134">
        <v>1564.37619047619</v>
      </c>
      <c r="C134">
        <v>25.6</v>
      </c>
      <c r="D134">
        <v>27</v>
      </c>
      <c r="E134">
        <v>1803.1428571428601</v>
      </c>
      <c r="F134">
        <v>281.58571430000001</v>
      </c>
      <c r="G134">
        <v>12.45</v>
      </c>
      <c r="H134">
        <v>3.59</v>
      </c>
      <c r="I134">
        <v>5.38</v>
      </c>
      <c r="J134">
        <v>3.9895</v>
      </c>
      <c r="K134">
        <v>8174.8095238095202</v>
      </c>
      <c r="L134">
        <v>28.51</v>
      </c>
      <c r="M134">
        <v>26.01</v>
      </c>
      <c r="N134">
        <v>29.97</v>
      </c>
      <c r="O134">
        <v>703.52380952380952</v>
      </c>
      <c r="P134">
        <v>560.28571428571433</v>
      </c>
      <c r="Q134">
        <v>4.9691666666666672</v>
      </c>
      <c r="R134">
        <v>28.16</v>
      </c>
      <c r="S134">
        <v>59.845570214637576</v>
      </c>
      <c r="T134">
        <v>58.090686754699227</v>
      </c>
    </row>
    <row r="135" spans="1:20">
      <c r="A135" t="s">
        <v>244</v>
      </c>
      <c r="B135">
        <v>1530.3347826086999</v>
      </c>
      <c r="C135">
        <v>25.6</v>
      </c>
      <c r="D135">
        <v>27</v>
      </c>
      <c r="E135">
        <v>1857.1239130434799</v>
      </c>
      <c r="F135">
        <v>274.42500000000001</v>
      </c>
      <c r="G135">
        <v>12.45</v>
      </c>
      <c r="H135">
        <v>3.59</v>
      </c>
      <c r="I135">
        <v>5.51</v>
      </c>
      <c r="J135">
        <v>4.4265217388888898</v>
      </c>
      <c r="K135">
        <v>8038.4347826086996</v>
      </c>
      <c r="L135">
        <v>29.89</v>
      </c>
      <c r="M135">
        <v>27.05</v>
      </c>
      <c r="N135">
        <v>31.31</v>
      </c>
      <c r="O135">
        <v>762.08695652173913</v>
      </c>
      <c r="P135">
        <v>577.60869565217388</v>
      </c>
      <c r="Q135">
        <v>4.8843181818181822</v>
      </c>
      <c r="R135">
        <v>29.41</v>
      </c>
      <c r="S135">
        <v>60.751760401179176</v>
      </c>
      <c r="T135">
        <v>57.046077473042409</v>
      </c>
    </row>
    <row r="136" spans="1:20">
      <c r="A136" t="s">
        <v>245</v>
      </c>
      <c r="B136">
        <v>1602.30952380952</v>
      </c>
      <c r="C136">
        <v>27.15</v>
      </c>
      <c r="D136">
        <v>27</v>
      </c>
      <c r="E136">
        <v>1961.8928571428601</v>
      </c>
      <c r="F136">
        <v>273.52999999999997</v>
      </c>
      <c r="G136">
        <v>12.45</v>
      </c>
      <c r="H136">
        <v>3.59</v>
      </c>
      <c r="I136">
        <v>5.56</v>
      </c>
      <c r="J136">
        <v>5.0644999999999998</v>
      </c>
      <c r="K136">
        <v>8624.8095238095193</v>
      </c>
      <c r="L136">
        <v>32.619999999999997</v>
      </c>
      <c r="M136">
        <v>29.74</v>
      </c>
      <c r="N136">
        <v>33.89</v>
      </c>
      <c r="O136">
        <v>728.52380952380952</v>
      </c>
      <c r="P136">
        <v>591.90476190476193</v>
      </c>
      <c r="Q136">
        <v>4.8902380952380957</v>
      </c>
      <c r="R136">
        <v>32.08</v>
      </c>
      <c r="S136">
        <v>63.581800343973732</v>
      </c>
      <c r="T136">
        <v>56.554046795306341</v>
      </c>
    </row>
    <row r="137" spans="1:20">
      <c r="A137" t="s">
        <v>246</v>
      </c>
      <c r="B137">
        <v>1501.24545454545</v>
      </c>
      <c r="C137">
        <v>27.15</v>
      </c>
      <c r="D137">
        <v>28.18</v>
      </c>
      <c r="E137">
        <v>1894.3727272727299</v>
      </c>
      <c r="F137">
        <v>269.92857140000001</v>
      </c>
      <c r="G137">
        <v>12.45</v>
      </c>
      <c r="H137">
        <v>3.93</v>
      </c>
      <c r="I137">
        <v>5.92</v>
      </c>
      <c r="J137">
        <v>5.0213636361111096</v>
      </c>
      <c r="K137">
        <v>7650.6363636363603</v>
      </c>
      <c r="L137">
        <v>30.93</v>
      </c>
      <c r="M137">
        <v>30.22</v>
      </c>
      <c r="N137">
        <v>33.049999999999997</v>
      </c>
      <c r="O137">
        <v>739.86363636363637</v>
      </c>
      <c r="P137">
        <v>579.71590909090912</v>
      </c>
      <c r="Q137">
        <v>4.8302272727272717</v>
      </c>
      <c r="R137">
        <v>31.4</v>
      </c>
      <c r="S137">
        <v>62.862487781064189</v>
      </c>
      <c r="T137">
        <v>56.219321083768186</v>
      </c>
    </row>
    <row r="138" spans="1:20">
      <c r="A138" t="s">
        <v>247</v>
      </c>
      <c r="B138">
        <v>1475.55454545455</v>
      </c>
      <c r="C138">
        <v>27.15</v>
      </c>
      <c r="D138">
        <v>26.17</v>
      </c>
      <c r="E138">
        <v>1795.60227272727</v>
      </c>
      <c r="F138">
        <v>266.29736839999998</v>
      </c>
      <c r="G138">
        <v>12.45</v>
      </c>
      <c r="H138">
        <v>3.93</v>
      </c>
      <c r="I138">
        <v>5.86</v>
      </c>
      <c r="J138">
        <v>5.5220000000000002</v>
      </c>
      <c r="K138">
        <v>7350.5909090909099</v>
      </c>
      <c r="L138">
        <v>32.520000000000003</v>
      </c>
      <c r="M138">
        <v>30.1</v>
      </c>
      <c r="N138">
        <v>34.369999999999997</v>
      </c>
      <c r="O138">
        <v>784.13636363636363</v>
      </c>
      <c r="P138">
        <v>593.34090909090912</v>
      </c>
      <c r="Q138">
        <v>4.679204545454545</v>
      </c>
      <c r="R138">
        <v>32.33</v>
      </c>
      <c r="S138">
        <v>63.932729778261745</v>
      </c>
      <c r="T138">
        <v>56.8741265500244</v>
      </c>
    </row>
    <row r="139" spans="1:20">
      <c r="A139" t="s">
        <v>248</v>
      </c>
      <c r="B139">
        <v>1569.0550000000001</v>
      </c>
      <c r="C139">
        <v>30.75</v>
      </c>
      <c r="D139">
        <v>34.700000000000003</v>
      </c>
      <c r="E139">
        <v>1852.4</v>
      </c>
      <c r="F139">
        <v>271.45</v>
      </c>
      <c r="G139">
        <v>12.45</v>
      </c>
      <c r="H139">
        <v>3.93</v>
      </c>
      <c r="I139">
        <v>5.72</v>
      </c>
      <c r="J139">
        <v>8.9135000000000009</v>
      </c>
      <c r="K139">
        <v>7318.8</v>
      </c>
      <c r="L139">
        <v>25.28</v>
      </c>
      <c r="M139">
        <v>22.16</v>
      </c>
      <c r="N139">
        <v>28.4</v>
      </c>
      <c r="O139">
        <v>918.71428571428567</v>
      </c>
      <c r="P139">
        <v>609.5</v>
      </c>
      <c r="Q139">
        <v>4.6413157894736843</v>
      </c>
      <c r="R139">
        <v>25.28</v>
      </c>
      <c r="S139">
        <v>64.43627420256081</v>
      </c>
      <c r="T139">
        <v>60.217217729259467</v>
      </c>
    </row>
    <row r="140" spans="1:20">
      <c r="A140" t="s">
        <v>249</v>
      </c>
      <c r="B140">
        <v>1619.8772727272701</v>
      </c>
      <c r="C140">
        <v>32.1</v>
      </c>
      <c r="D140">
        <v>34.950000000000003</v>
      </c>
      <c r="E140">
        <v>1787.0568181818201</v>
      </c>
      <c r="F140">
        <v>265.4863636</v>
      </c>
      <c r="G140">
        <v>12.99</v>
      </c>
      <c r="H140">
        <v>4.22</v>
      </c>
      <c r="I140">
        <v>4.9800000000000004</v>
      </c>
      <c r="J140">
        <v>8.17285714166667</v>
      </c>
      <c r="K140">
        <v>6975.9090909090901</v>
      </c>
      <c r="L140">
        <v>25.64</v>
      </c>
      <c r="M140">
        <v>22.69</v>
      </c>
      <c r="N140">
        <v>29.52</v>
      </c>
      <c r="O140">
        <v>1037.7739130434782</v>
      </c>
      <c r="P140">
        <v>620.46608695652174</v>
      </c>
      <c r="Q140">
        <v>4.6628409090909102</v>
      </c>
      <c r="R140">
        <v>25.95</v>
      </c>
      <c r="S140">
        <v>63.945196494789045</v>
      </c>
      <c r="T140">
        <v>58.583314942456084</v>
      </c>
    </row>
    <row r="141" spans="1:20">
      <c r="A141" t="s">
        <v>250</v>
      </c>
      <c r="B141">
        <v>1607.03</v>
      </c>
      <c r="C141">
        <v>32.1</v>
      </c>
      <c r="D141">
        <v>34.35</v>
      </c>
      <c r="E141">
        <v>1766.125</v>
      </c>
      <c r="F141">
        <v>262.08947369999999</v>
      </c>
      <c r="G141">
        <v>12.99</v>
      </c>
      <c r="H141">
        <v>4.22</v>
      </c>
      <c r="I141">
        <v>4.66</v>
      </c>
      <c r="J141">
        <v>5.5515789472222199</v>
      </c>
      <c r="K141">
        <v>6546.8</v>
      </c>
      <c r="L141">
        <v>27.41</v>
      </c>
      <c r="M141">
        <v>24.74</v>
      </c>
      <c r="N141">
        <v>29.57</v>
      </c>
      <c r="O141">
        <v>971.6</v>
      </c>
      <c r="P141">
        <v>600.92499999999995</v>
      </c>
      <c r="Q141">
        <v>4.5503749999999998</v>
      </c>
      <c r="R141">
        <v>27.24</v>
      </c>
      <c r="S141">
        <v>60.983646199212465</v>
      </c>
      <c r="T141">
        <v>57.566907993219026</v>
      </c>
    </row>
    <row r="142" spans="1:20">
      <c r="A142" t="s">
        <v>251</v>
      </c>
      <c r="B142">
        <v>1512.1727272727301</v>
      </c>
      <c r="C142">
        <v>32.6</v>
      </c>
      <c r="D142">
        <v>35.5</v>
      </c>
      <c r="E142">
        <v>1742.1590909090901</v>
      </c>
      <c r="F142">
        <v>263.02727270000003</v>
      </c>
      <c r="G142">
        <v>12.99</v>
      </c>
      <c r="H142">
        <v>4.22</v>
      </c>
      <c r="I142">
        <v>4.8499999999999996</v>
      </c>
      <c r="J142">
        <v>5.1777272722222198</v>
      </c>
      <c r="K142">
        <v>6165.1818181818198</v>
      </c>
      <c r="L142">
        <v>24.4</v>
      </c>
      <c r="M142">
        <v>23.43</v>
      </c>
      <c r="N142">
        <v>27.24</v>
      </c>
      <c r="O142">
        <v>779.40909090909088</v>
      </c>
      <c r="P142">
        <v>584.22727272727275</v>
      </c>
      <c r="Q142">
        <v>4.3996590909090907</v>
      </c>
      <c r="R142">
        <v>25.02</v>
      </c>
      <c r="S142">
        <v>59.033493733351129</v>
      </c>
      <c r="T142">
        <v>58.986931821439022</v>
      </c>
    </row>
    <row r="143" spans="1:20">
      <c r="A143" t="s">
        <v>252</v>
      </c>
      <c r="B143">
        <v>1499.4833333333299</v>
      </c>
      <c r="C143">
        <v>33.5</v>
      </c>
      <c r="D143">
        <v>35.53</v>
      </c>
      <c r="E143">
        <v>1665.9722222222199</v>
      </c>
      <c r="F143">
        <v>260.33055560000003</v>
      </c>
      <c r="G143">
        <v>12.99</v>
      </c>
      <c r="H143">
        <v>4.26</v>
      </c>
      <c r="I143">
        <v>4.79</v>
      </c>
      <c r="J143">
        <v>5.1825000000000001</v>
      </c>
      <c r="K143">
        <v>6363.1111111111104</v>
      </c>
      <c r="L143">
        <v>25.55</v>
      </c>
      <c r="M143">
        <v>24.06</v>
      </c>
      <c r="N143">
        <v>27.37</v>
      </c>
      <c r="O143">
        <v>692.28571428571433</v>
      </c>
      <c r="P143">
        <v>594.85714285714289</v>
      </c>
      <c r="Q143">
        <v>4.367105263157895</v>
      </c>
      <c r="R143">
        <v>25.66</v>
      </c>
      <c r="S143">
        <v>59.394886237193965</v>
      </c>
      <c r="T143">
        <v>59.415533502641416</v>
      </c>
    </row>
    <row r="144" spans="1:20">
      <c r="A144" t="s">
        <v>253</v>
      </c>
      <c r="B144">
        <v>1542.3904761904801</v>
      </c>
      <c r="C144">
        <v>33.799999999999997</v>
      </c>
      <c r="D144">
        <v>34.75</v>
      </c>
      <c r="E144">
        <v>1684.85</v>
      </c>
      <c r="F144">
        <v>272.09318180000002</v>
      </c>
      <c r="G144">
        <v>12.99</v>
      </c>
      <c r="H144">
        <v>4.26</v>
      </c>
      <c r="I144">
        <v>4.95</v>
      </c>
      <c r="J144">
        <v>4.1950000000000003</v>
      </c>
      <c r="K144">
        <v>7086.4761904761899</v>
      </c>
      <c r="L144">
        <v>28.45</v>
      </c>
      <c r="M144">
        <v>25.58</v>
      </c>
      <c r="N144">
        <v>28.61</v>
      </c>
      <c r="O144">
        <v>655.86956521739125</v>
      </c>
      <c r="P144">
        <v>610.695652173913</v>
      </c>
      <c r="Q144">
        <v>4.4290476190476191</v>
      </c>
      <c r="R144">
        <v>27.55</v>
      </c>
      <c r="S144">
        <v>59.98114721131757</v>
      </c>
      <c r="T144">
        <v>60.901621755655661</v>
      </c>
    </row>
    <row r="145" spans="1:20">
      <c r="A145" t="s">
        <v>254</v>
      </c>
      <c r="B145">
        <v>1470.8333333333301</v>
      </c>
      <c r="C145">
        <v>33.9</v>
      </c>
      <c r="D145">
        <v>34.75</v>
      </c>
      <c r="E145">
        <v>1610.4690476190499</v>
      </c>
      <c r="F145">
        <v>270.202381</v>
      </c>
      <c r="G145">
        <v>12.99</v>
      </c>
      <c r="H145">
        <v>4.26</v>
      </c>
      <c r="I145">
        <v>5.1100000000000003</v>
      </c>
      <c r="J145">
        <v>3.7271428583333299</v>
      </c>
      <c r="K145">
        <v>6674.3333333333303</v>
      </c>
      <c r="L145">
        <v>27.72</v>
      </c>
      <c r="M145">
        <v>25.61</v>
      </c>
      <c r="N145">
        <v>27.56</v>
      </c>
      <c r="O145">
        <v>614.09523809523807</v>
      </c>
      <c r="P145">
        <v>579.72095238095233</v>
      </c>
      <c r="Q145">
        <v>4.362619047619047</v>
      </c>
      <c r="R145">
        <v>26.97</v>
      </c>
      <c r="S145">
        <v>58.427839818111337</v>
      </c>
      <c r="T145">
        <v>60.678317200713607</v>
      </c>
    </row>
    <row r="146" spans="1:20">
      <c r="A146" t="s">
        <v>255</v>
      </c>
      <c r="B146">
        <v>1418.6227272727299</v>
      </c>
      <c r="C146">
        <v>34</v>
      </c>
      <c r="D146">
        <v>34.35</v>
      </c>
      <c r="E146">
        <v>1526.7704545454501</v>
      </c>
      <c r="F146">
        <v>267.52619049999998</v>
      </c>
      <c r="G146">
        <v>12.99</v>
      </c>
      <c r="H146">
        <v>3.78</v>
      </c>
      <c r="I146">
        <v>5.05</v>
      </c>
      <c r="J146">
        <v>3.1071428583333298</v>
      </c>
      <c r="K146">
        <v>5962.5454545454604</v>
      </c>
      <c r="L146">
        <v>24.54</v>
      </c>
      <c r="M146">
        <v>23.43</v>
      </c>
      <c r="N146">
        <v>26.44</v>
      </c>
      <c r="O146">
        <v>524.5</v>
      </c>
      <c r="P146">
        <v>530.84090909090912</v>
      </c>
      <c r="Q146">
        <v>4.2543181818181814</v>
      </c>
      <c r="R146">
        <v>24.8</v>
      </c>
      <c r="S146">
        <v>55.898913532468576</v>
      </c>
      <c r="T146">
        <v>62.228078515987619</v>
      </c>
    </row>
    <row r="147" spans="1:20">
      <c r="A147" t="s">
        <v>256</v>
      </c>
      <c r="B147">
        <v>1377.8454545454499</v>
      </c>
      <c r="C147">
        <v>33.799999999999997</v>
      </c>
      <c r="D147">
        <v>34.15</v>
      </c>
      <c r="E147">
        <v>1466.41136363636</v>
      </c>
      <c r="F147">
        <v>272.09210530000001</v>
      </c>
      <c r="G147">
        <v>12.99</v>
      </c>
      <c r="H147">
        <v>3.78</v>
      </c>
      <c r="I147">
        <v>4.7300000000000004</v>
      </c>
      <c r="J147">
        <v>2.9543478250000001</v>
      </c>
      <c r="K147">
        <v>5525.6363636363603</v>
      </c>
      <c r="L147">
        <v>25.67</v>
      </c>
      <c r="M147">
        <v>24.31</v>
      </c>
      <c r="N147">
        <v>27.45</v>
      </c>
      <c r="O147">
        <v>454.04347826086956</v>
      </c>
      <c r="P147">
        <v>451.69565217391306</v>
      </c>
      <c r="Q147">
        <v>4.2</v>
      </c>
      <c r="R147">
        <v>25.81</v>
      </c>
      <c r="S147">
        <v>56.129081326551933</v>
      </c>
      <c r="T147">
        <v>62.275000448874053</v>
      </c>
    </row>
    <row r="148" spans="1:20">
      <c r="A148" t="s">
        <v>257</v>
      </c>
      <c r="B148">
        <v>1345.9949999999999</v>
      </c>
      <c r="C148">
        <v>32.799999999999997</v>
      </c>
      <c r="D148">
        <v>33.06</v>
      </c>
      <c r="E148">
        <v>1427.69736842105</v>
      </c>
      <c r="F148">
        <v>284.47235289999998</v>
      </c>
      <c r="G148">
        <v>12.99</v>
      </c>
      <c r="H148">
        <v>3.78</v>
      </c>
      <c r="I148">
        <v>4.63</v>
      </c>
      <c r="J148">
        <v>2.1905263158333299</v>
      </c>
      <c r="K148">
        <v>5057.6499999999996</v>
      </c>
      <c r="L148">
        <v>25.54</v>
      </c>
      <c r="M148">
        <v>23.96</v>
      </c>
      <c r="N148">
        <v>25.59</v>
      </c>
      <c r="O148">
        <v>443.3</v>
      </c>
      <c r="P148">
        <v>457.9</v>
      </c>
      <c r="Q148">
        <v>4.3519999999999994</v>
      </c>
      <c r="R148">
        <v>25.03</v>
      </c>
      <c r="S148">
        <v>54.040797402358756</v>
      </c>
      <c r="T148">
        <v>60.202419997114177</v>
      </c>
    </row>
    <row r="149" spans="1:20">
      <c r="A149" t="s">
        <v>258</v>
      </c>
      <c r="B149">
        <v>1283.53043478261</v>
      </c>
      <c r="C149">
        <v>32.4</v>
      </c>
      <c r="D149">
        <v>33.03</v>
      </c>
      <c r="E149">
        <v>1377.3760869565201</v>
      </c>
      <c r="F149">
        <v>282.26714290000001</v>
      </c>
      <c r="G149">
        <v>12.99</v>
      </c>
      <c r="H149">
        <v>3.24</v>
      </c>
      <c r="I149">
        <v>4.6500000000000004</v>
      </c>
      <c r="J149">
        <v>2.4704347824999999</v>
      </c>
      <c r="K149">
        <v>4830.7826086956502</v>
      </c>
      <c r="L149">
        <v>20.48</v>
      </c>
      <c r="M149">
        <v>19.54</v>
      </c>
      <c r="N149">
        <v>22.18</v>
      </c>
      <c r="O149">
        <v>335.21739130434781</v>
      </c>
      <c r="P149">
        <v>431.39130434782606</v>
      </c>
      <c r="Q149">
        <v>4.4011956521739126</v>
      </c>
      <c r="R149">
        <v>20.73</v>
      </c>
      <c r="S149">
        <v>50.394672067582555</v>
      </c>
      <c r="T149">
        <v>59.030629487333833</v>
      </c>
    </row>
    <row r="150" spans="1:20">
      <c r="A150" t="s">
        <v>259</v>
      </c>
      <c r="B150">
        <v>1334.45454545455</v>
      </c>
      <c r="C150">
        <v>29.4</v>
      </c>
      <c r="D150">
        <v>31.5</v>
      </c>
      <c r="E150">
        <v>1434.2931818181801</v>
      </c>
      <c r="F150">
        <v>277.18437499999999</v>
      </c>
      <c r="G150">
        <v>12.99</v>
      </c>
      <c r="H150">
        <v>3.24</v>
      </c>
      <c r="I150">
        <v>3.95</v>
      </c>
      <c r="J150">
        <v>2.3555000000000001</v>
      </c>
      <c r="K150">
        <v>5131.3181818181802</v>
      </c>
      <c r="L150">
        <v>18.940000000000001</v>
      </c>
      <c r="M150">
        <v>17.53</v>
      </c>
      <c r="N150">
        <v>19.59</v>
      </c>
      <c r="O150">
        <v>329.11363636363637</v>
      </c>
      <c r="P150">
        <v>429.88636363636363</v>
      </c>
      <c r="Q150">
        <v>4.1217045454545449</v>
      </c>
      <c r="R150">
        <v>18.690000000000001</v>
      </c>
      <c r="S150">
        <v>48.172844383348604</v>
      </c>
      <c r="T150">
        <v>57.812665291316186</v>
      </c>
    </row>
    <row r="151" spans="1:20">
      <c r="A151" t="s">
        <v>260</v>
      </c>
      <c r="B151">
        <v>1348.72352941176</v>
      </c>
      <c r="C151">
        <v>27.35</v>
      </c>
      <c r="D151">
        <v>30.45</v>
      </c>
      <c r="E151">
        <v>1472.84705882353</v>
      </c>
      <c r="F151">
        <v>275.83571430000001</v>
      </c>
      <c r="G151">
        <v>12.99</v>
      </c>
      <c r="H151">
        <v>3.21857142857142</v>
      </c>
      <c r="I151">
        <v>3.68</v>
      </c>
      <c r="J151">
        <v>2.4231578947222201</v>
      </c>
      <c r="K151">
        <v>5315.8235294117603</v>
      </c>
      <c r="L151">
        <v>18.600000000000001</v>
      </c>
      <c r="M151">
        <v>17.64</v>
      </c>
      <c r="N151">
        <v>19.309999999999999</v>
      </c>
      <c r="O151">
        <v>402.71428571428572</v>
      </c>
      <c r="P151">
        <v>461.72619047619048</v>
      </c>
      <c r="Q151">
        <v>4.3548684210526316</v>
      </c>
      <c r="R151">
        <v>18.52</v>
      </c>
      <c r="S151">
        <v>47.897347429038959</v>
      </c>
      <c r="T151">
        <v>57.541376357772663</v>
      </c>
    </row>
    <row r="152" spans="1:20">
      <c r="A152" t="s">
        <v>261</v>
      </c>
      <c r="B152">
        <v>1371.3636363636399</v>
      </c>
      <c r="C152">
        <v>29.1</v>
      </c>
      <c r="D152">
        <v>29.7</v>
      </c>
      <c r="E152">
        <v>1508.22727272727</v>
      </c>
      <c r="F152">
        <v>281</v>
      </c>
      <c r="G152">
        <v>12.68</v>
      </c>
      <c r="H152">
        <v>2.79</v>
      </c>
      <c r="I152">
        <v>3.57</v>
      </c>
      <c r="J152">
        <v>2.2580952380555601</v>
      </c>
      <c r="K152">
        <v>6061.3636363636397</v>
      </c>
      <c r="L152">
        <v>19.48</v>
      </c>
      <c r="M152">
        <v>18.29</v>
      </c>
      <c r="N152">
        <v>19.690000000000001</v>
      </c>
      <c r="O152">
        <v>410.39130434782606</v>
      </c>
      <c r="P152">
        <v>472.10869565217394</v>
      </c>
      <c r="Q152">
        <v>4.5144318181818184</v>
      </c>
      <c r="R152">
        <v>19.149999999999999</v>
      </c>
      <c r="S152">
        <v>48.532129882995406</v>
      </c>
      <c r="T152">
        <v>59.197918833502982</v>
      </c>
    </row>
    <row r="153" spans="1:20">
      <c r="A153" t="s">
        <v>262</v>
      </c>
      <c r="B153">
        <v>1371.08</v>
      </c>
      <c r="C153">
        <v>29.85</v>
      </c>
      <c r="D153">
        <v>28.95</v>
      </c>
      <c r="E153">
        <v>1561.3675000000001</v>
      </c>
      <c r="F153">
        <v>295.28750000000002</v>
      </c>
      <c r="G153">
        <v>12.68</v>
      </c>
      <c r="H153">
        <v>2.79</v>
      </c>
      <c r="I153">
        <v>3.64</v>
      </c>
      <c r="J153">
        <v>2.31052631583333</v>
      </c>
      <c r="K153">
        <v>6039.95</v>
      </c>
      <c r="L153">
        <v>20.29</v>
      </c>
      <c r="M153">
        <v>18.91</v>
      </c>
      <c r="N153">
        <v>20.72</v>
      </c>
      <c r="O153">
        <v>374.15</v>
      </c>
      <c r="P153">
        <v>471.15</v>
      </c>
      <c r="Q153">
        <v>4.42225</v>
      </c>
      <c r="R153">
        <v>19.98</v>
      </c>
      <c r="S153">
        <v>49.549359235783854</v>
      </c>
      <c r="T153">
        <v>59.467522190379647</v>
      </c>
    </row>
    <row r="154" spans="1:20">
      <c r="A154" t="s">
        <v>263</v>
      </c>
      <c r="B154">
        <v>1404.9849999999999</v>
      </c>
      <c r="C154">
        <v>29.55</v>
      </c>
      <c r="D154">
        <v>28.35</v>
      </c>
      <c r="E154">
        <v>1607.3924999999999</v>
      </c>
      <c r="F154">
        <v>294.04750000000001</v>
      </c>
      <c r="G154">
        <v>12.68</v>
      </c>
      <c r="H154">
        <v>2.79</v>
      </c>
      <c r="I154">
        <v>3.69</v>
      </c>
      <c r="J154">
        <v>3.0314999999999999</v>
      </c>
      <c r="K154">
        <v>6543.2</v>
      </c>
      <c r="L154">
        <v>23.69</v>
      </c>
      <c r="M154">
        <v>22.85</v>
      </c>
      <c r="N154">
        <v>24.38</v>
      </c>
      <c r="O154">
        <v>375.04761904761904</v>
      </c>
      <c r="P154">
        <v>512.04761904761904</v>
      </c>
      <c r="Q154">
        <v>4.5322249999999986</v>
      </c>
      <c r="R154">
        <v>23.64</v>
      </c>
      <c r="S154">
        <v>53.973066550186815</v>
      </c>
      <c r="T154">
        <v>62.297234582993049</v>
      </c>
    </row>
    <row r="155" spans="1:20">
      <c r="A155" t="s">
        <v>264</v>
      </c>
      <c r="B155">
        <v>1370.38571428571</v>
      </c>
      <c r="C155">
        <v>28.84</v>
      </c>
      <c r="D155">
        <v>26.83</v>
      </c>
      <c r="E155">
        <v>1588.57142857143</v>
      </c>
      <c r="F155">
        <v>302.68333330000002</v>
      </c>
      <c r="G155">
        <v>12.68</v>
      </c>
      <c r="H155">
        <v>2.56</v>
      </c>
      <c r="I155">
        <v>4.07</v>
      </c>
      <c r="J155">
        <v>3.4277272722222198</v>
      </c>
      <c r="K155">
        <v>6956.8095238095202</v>
      </c>
      <c r="L155">
        <v>25.65</v>
      </c>
      <c r="M155">
        <v>24.41</v>
      </c>
      <c r="N155">
        <v>26.24</v>
      </c>
      <c r="O155">
        <v>370.09090909090907</v>
      </c>
      <c r="P155">
        <v>539.2045454545455</v>
      </c>
      <c r="Q155">
        <v>4.5709523809523818</v>
      </c>
      <c r="R155">
        <v>25.43</v>
      </c>
      <c r="S155">
        <v>55.780683891944044</v>
      </c>
      <c r="T155">
        <v>62.47134494285983</v>
      </c>
    </row>
    <row r="156" spans="1:20">
      <c r="A156" t="s">
        <v>265</v>
      </c>
      <c r="B156">
        <v>1344.4272727272701</v>
      </c>
      <c r="C156">
        <v>28.63</v>
      </c>
      <c r="D156">
        <v>25.75</v>
      </c>
      <c r="E156">
        <v>1597.02272727273</v>
      </c>
      <c r="F156">
        <v>314.4931818</v>
      </c>
      <c r="G156">
        <v>12.68</v>
      </c>
      <c r="H156">
        <v>2.56</v>
      </c>
      <c r="I156">
        <v>4.4400000000000004</v>
      </c>
      <c r="J156">
        <v>3.5045454555555602</v>
      </c>
      <c r="K156">
        <v>6771.1818181818198</v>
      </c>
      <c r="L156">
        <v>25.43</v>
      </c>
      <c r="M156">
        <v>24.59</v>
      </c>
      <c r="N156">
        <v>27.04</v>
      </c>
      <c r="O156">
        <v>356.52173913043481</v>
      </c>
      <c r="P156">
        <v>533.85</v>
      </c>
      <c r="Q156">
        <v>4.7078409090909092</v>
      </c>
      <c r="R156">
        <v>25.69</v>
      </c>
      <c r="S156">
        <v>55.938491184883318</v>
      </c>
      <c r="T156">
        <v>61.743797620409666</v>
      </c>
    </row>
    <row r="157" spans="1:20">
      <c r="A157" t="s">
        <v>266</v>
      </c>
      <c r="B157">
        <v>1356.93333333333</v>
      </c>
      <c r="C157">
        <v>26.65</v>
      </c>
      <c r="D157">
        <v>24.38</v>
      </c>
      <c r="E157">
        <v>1650.5944444444399</v>
      </c>
      <c r="F157">
        <v>321.1777778</v>
      </c>
      <c r="G157">
        <v>12.68</v>
      </c>
      <c r="H157">
        <v>2.56</v>
      </c>
      <c r="I157">
        <v>4.53</v>
      </c>
      <c r="J157">
        <v>3.2250000000000001</v>
      </c>
      <c r="K157">
        <v>7147.6111111111104</v>
      </c>
      <c r="L157">
        <v>24.13</v>
      </c>
      <c r="M157">
        <v>23.83</v>
      </c>
      <c r="N157">
        <v>25.51</v>
      </c>
      <c r="O157">
        <v>336.15</v>
      </c>
      <c r="P157">
        <v>554.70000000000005</v>
      </c>
      <c r="Q157">
        <v>4.8934722222222211</v>
      </c>
      <c r="R157">
        <v>24.49</v>
      </c>
      <c r="S157">
        <v>54.935387472317402</v>
      </c>
      <c r="T157">
        <v>61.145856655787199</v>
      </c>
    </row>
    <row r="158" spans="1:20">
      <c r="A158" t="s">
        <v>267</v>
      </c>
      <c r="B158">
        <v>1337.8652173912999</v>
      </c>
      <c r="C158">
        <v>24.9</v>
      </c>
      <c r="D158">
        <v>22.73</v>
      </c>
      <c r="E158">
        <v>1588.2847826087</v>
      </c>
      <c r="F158">
        <v>313.29130429999998</v>
      </c>
      <c r="G158">
        <v>12.68</v>
      </c>
      <c r="H158">
        <v>2.52</v>
      </c>
      <c r="I158">
        <v>5.76</v>
      </c>
      <c r="J158">
        <v>2.99</v>
      </c>
      <c r="K158">
        <v>7137.6956521739103</v>
      </c>
      <c r="L158">
        <v>25.77</v>
      </c>
      <c r="M158">
        <v>24.57</v>
      </c>
      <c r="N158">
        <v>26.92</v>
      </c>
      <c r="O158">
        <v>322.73913043478262</v>
      </c>
      <c r="P158">
        <v>526.195652173913</v>
      </c>
      <c r="Q158">
        <v>4.9185869565217386</v>
      </c>
      <c r="R158">
        <v>25.75</v>
      </c>
      <c r="S158">
        <v>56.43252603121077</v>
      </c>
      <c r="T158">
        <v>63.147708652120329</v>
      </c>
    </row>
    <row r="159" spans="1:20">
      <c r="A159" t="s">
        <v>268</v>
      </c>
      <c r="B159">
        <v>1293.3571428571399</v>
      </c>
      <c r="C159">
        <v>24</v>
      </c>
      <c r="D159">
        <v>21.25</v>
      </c>
      <c r="E159">
        <v>1482.9166666666699</v>
      </c>
      <c r="F159">
        <v>310.28095239999999</v>
      </c>
      <c r="G159">
        <v>12.68</v>
      </c>
      <c r="H159">
        <v>2.52</v>
      </c>
      <c r="I159">
        <v>4.5199999999999996</v>
      </c>
      <c r="J159">
        <v>3.0872727277777798</v>
      </c>
      <c r="K159">
        <v>6736.8571428571404</v>
      </c>
      <c r="L159">
        <v>26.63</v>
      </c>
      <c r="M159">
        <v>25.32</v>
      </c>
      <c r="N159">
        <v>28.37</v>
      </c>
      <c r="O159">
        <v>323.72727272727275</v>
      </c>
      <c r="P159">
        <v>544.84090909090912</v>
      </c>
      <c r="Q159">
        <v>4.5475000000000003</v>
      </c>
      <c r="R159">
        <v>26.78</v>
      </c>
      <c r="S159">
        <v>56.680580848711287</v>
      </c>
      <c r="T159">
        <v>62.971954640688999</v>
      </c>
    </row>
    <row r="160" spans="1:20">
      <c r="A160" t="s">
        <v>269</v>
      </c>
      <c r="B160">
        <v>1301.7</v>
      </c>
      <c r="C160">
        <v>24.45</v>
      </c>
      <c r="D160">
        <v>23.08</v>
      </c>
      <c r="E160">
        <v>1478.93333333333</v>
      </c>
      <c r="F160">
        <v>319.13571430000002</v>
      </c>
      <c r="G160">
        <v>12.68</v>
      </c>
      <c r="H160">
        <v>2.53238095238095</v>
      </c>
      <c r="I160">
        <v>4.63</v>
      </c>
      <c r="J160">
        <v>3.5529999999999999</v>
      </c>
      <c r="K160">
        <v>6664.9523809523798</v>
      </c>
      <c r="L160">
        <v>28.34</v>
      </c>
      <c r="M160">
        <v>26.83</v>
      </c>
      <c r="N160">
        <v>29.67</v>
      </c>
      <c r="O160">
        <v>327.38095238095241</v>
      </c>
      <c r="P160">
        <v>556.33333333333337</v>
      </c>
      <c r="Q160">
        <v>4.5533333333333346</v>
      </c>
      <c r="R160">
        <v>28.28</v>
      </c>
      <c r="S160">
        <v>58.926202341575554</v>
      </c>
      <c r="T160">
        <v>63.556123879622596</v>
      </c>
    </row>
    <row r="161" spans="1:20">
      <c r="A161" t="s">
        <v>270</v>
      </c>
      <c r="B161">
        <v>1311.46086956522</v>
      </c>
      <c r="C161">
        <v>26.25</v>
      </c>
      <c r="D161">
        <v>27.35</v>
      </c>
      <c r="E161">
        <v>1486.1717391304301</v>
      </c>
      <c r="F161">
        <v>316.55652170000002</v>
      </c>
      <c r="G161">
        <v>12.68</v>
      </c>
      <c r="H161">
        <v>2.78</v>
      </c>
      <c r="I161">
        <v>4.76</v>
      </c>
      <c r="J161">
        <v>4.1330434777777798</v>
      </c>
      <c r="K161">
        <v>6818.9130434782601</v>
      </c>
      <c r="L161">
        <v>27.55</v>
      </c>
      <c r="M161">
        <v>26.18</v>
      </c>
      <c r="N161">
        <v>28.85</v>
      </c>
      <c r="O161">
        <v>316.60869565217394</v>
      </c>
      <c r="P161">
        <v>580.195652173913</v>
      </c>
      <c r="Q161">
        <v>4.4029347826086953</v>
      </c>
      <c r="R161">
        <v>27.53</v>
      </c>
      <c r="S161">
        <v>60.104252707809451</v>
      </c>
      <c r="T161">
        <v>66.07938924868526</v>
      </c>
    </row>
    <row r="162" spans="1:20">
      <c r="A162" t="s">
        <v>271</v>
      </c>
      <c r="B162">
        <v>1373.2666666666701</v>
      </c>
      <c r="C162">
        <v>26.25</v>
      </c>
      <c r="D162">
        <v>26.88</v>
      </c>
      <c r="E162">
        <v>1581.0357142857099</v>
      </c>
      <c r="F162">
        <v>320.43571429999997</v>
      </c>
      <c r="G162">
        <v>12.68</v>
      </c>
      <c r="H162">
        <v>2.78</v>
      </c>
      <c r="I162">
        <v>4.8</v>
      </c>
      <c r="J162">
        <v>4.0621052638888901</v>
      </c>
      <c r="K162">
        <v>7314.8095238095202</v>
      </c>
      <c r="L162">
        <v>24.5</v>
      </c>
      <c r="M162">
        <v>23.32</v>
      </c>
      <c r="N162">
        <v>26.56</v>
      </c>
      <c r="O162">
        <v>285.23809523809524</v>
      </c>
      <c r="P162">
        <v>588.09523809523807</v>
      </c>
      <c r="Q162">
        <v>4.5108333333333333</v>
      </c>
      <c r="R162">
        <v>24.79</v>
      </c>
      <c r="S162">
        <v>58.025543595115906</v>
      </c>
      <c r="T162">
        <v>64.738061782533762</v>
      </c>
    </row>
    <row r="163" spans="1:20">
      <c r="A163" t="s">
        <v>272</v>
      </c>
      <c r="B163">
        <v>1375.8619047619</v>
      </c>
      <c r="C163">
        <v>26.25</v>
      </c>
      <c r="D163">
        <v>26.88</v>
      </c>
      <c r="E163">
        <v>1592.9642857142901</v>
      </c>
      <c r="F163">
        <v>332.03611110000003</v>
      </c>
      <c r="G163">
        <v>12.68</v>
      </c>
      <c r="H163">
        <v>2.8136363636363599</v>
      </c>
      <c r="I163">
        <v>4.71</v>
      </c>
      <c r="J163">
        <v>4.7476190472222202</v>
      </c>
      <c r="K163">
        <v>7206.3333333333303</v>
      </c>
      <c r="L163">
        <v>28.52</v>
      </c>
      <c r="M163">
        <v>25.71</v>
      </c>
      <c r="N163">
        <v>29.44</v>
      </c>
      <c r="O163">
        <v>240.45454545454547</v>
      </c>
      <c r="P163">
        <v>595.44318181818187</v>
      </c>
      <c r="Q163">
        <v>4.6328750000000003</v>
      </c>
      <c r="R163">
        <v>27.89</v>
      </c>
      <c r="S163">
        <v>61.332141880027926</v>
      </c>
      <c r="T163">
        <v>65.685024286277041</v>
      </c>
    </row>
    <row r="164" spans="1:20">
      <c r="A164" t="s">
        <v>273</v>
      </c>
      <c r="B164">
        <v>1379.2681818181818</v>
      </c>
      <c r="C164">
        <v>26.678571428571399</v>
      </c>
      <c r="D164">
        <v>27.46</v>
      </c>
      <c r="E164">
        <v>1650.3113636363635</v>
      </c>
      <c r="F164">
        <v>356.85909090909087</v>
      </c>
      <c r="G164">
        <v>13.82</v>
      </c>
      <c r="H164">
        <v>3.15</v>
      </c>
      <c r="I164">
        <v>5.01</v>
      </c>
      <c r="J164">
        <v>5.4614285714285717</v>
      </c>
      <c r="K164">
        <v>8032.806818181818</v>
      </c>
      <c r="L164">
        <v>31.23086956521739</v>
      </c>
      <c r="M164">
        <v>27.985652173913042</v>
      </c>
      <c r="N164">
        <v>32.915217391304338</v>
      </c>
      <c r="O164">
        <v>254.13043478260869</v>
      </c>
      <c r="P164">
        <v>627.91304347826087</v>
      </c>
      <c r="Q164">
        <v>4.8127272727272725</v>
      </c>
      <c r="R164">
        <v>30.71057971014493</v>
      </c>
      <c r="S164">
        <v>65.339345388398627</v>
      </c>
      <c r="T164">
        <v>65.987927054122096</v>
      </c>
    </row>
    <row r="165" spans="1:20">
      <c r="A165" t="s">
        <v>274</v>
      </c>
      <c r="B165">
        <v>1421.5350000000001</v>
      </c>
      <c r="C165">
        <v>26.946428571428601</v>
      </c>
      <c r="D165">
        <v>27.25</v>
      </c>
      <c r="E165">
        <v>1682.145</v>
      </c>
      <c r="F165">
        <v>358.97</v>
      </c>
      <c r="G165">
        <v>13.82</v>
      </c>
      <c r="H165">
        <v>3.15</v>
      </c>
      <c r="I165">
        <v>5.31</v>
      </c>
      <c r="J165">
        <v>7.8626315789473677</v>
      </c>
      <c r="K165">
        <v>8607.9</v>
      </c>
      <c r="L165">
        <v>32.648499999999999</v>
      </c>
      <c r="M165">
        <v>30.198999999999995</v>
      </c>
      <c r="N165">
        <v>35.852500000000013</v>
      </c>
      <c r="O165">
        <v>253.25</v>
      </c>
      <c r="P165">
        <v>681.7</v>
      </c>
      <c r="Q165">
        <v>4.6523750000000001</v>
      </c>
      <c r="R165">
        <v>32.899999999999991</v>
      </c>
      <c r="S165">
        <v>70.345482082631449</v>
      </c>
      <c r="T165">
        <v>66.252295599339561</v>
      </c>
    </row>
    <row r="166" spans="1:20">
      <c r="A166" t="s">
        <v>275</v>
      </c>
      <c r="B166">
        <v>1386.5238095238096</v>
      </c>
      <c r="C166">
        <v>26.1428571428571</v>
      </c>
      <c r="D166">
        <v>23.83</v>
      </c>
      <c r="E166">
        <v>1655.6928571428573</v>
      </c>
      <c r="F166">
        <v>340.55</v>
      </c>
      <c r="G166">
        <v>13.82</v>
      </c>
      <c r="H166">
        <v>3.1703703703703598</v>
      </c>
      <c r="I166">
        <v>5.44</v>
      </c>
      <c r="J166">
        <v>5.9442857142857148</v>
      </c>
      <c r="K166">
        <v>8339.6190476190477</v>
      </c>
      <c r="L166">
        <v>30.339047619047626</v>
      </c>
      <c r="M166">
        <v>27.422857142857136</v>
      </c>
      <c r="N166">
        <v>33.315714285714279</v>
      </c>
      <c r="O166">
        <v>223.8095238095238</v>
      </c>
      <c r="P166">
        <v>674.33333333333337</v>
      </c>
      <c r="Q166">
        <v>4.5283333333333324</v>
      </c>
      <c r="R166">
        <v>30.359206349206353</v>
      </c>
      <c r="S166">
        <v>65.827640913316955</v>
      </c>
      <c r="T166">
        <v>66.016238797048061</v>
      </c>
    </row>
    <row r="167" spans="1:20">
      <c r="A167" t="s">
        <v>276</v>
      </c>
      <c r="B167">
        <v>1334.29</v>
      </c>
      <c r="C167">
        <v>25.125</v>
      </c>
      <c r="D167">
        <v>23.83</v>
      </c>
      <c r="E167">
        <v>1587.8675000000001</v>
      </c>
      <c r="F167">
        <v>328.18</v>
      </c>
      <c r="G167">
        <v>13.82</v>
      </c>
      <c r="H167">
        <v>3.5777777777777802</v>
      </c>
      <c r="I167">
        <v>5.18</v>
      </c>
      <c r="J167">
        <v>5.2766666666666699</v>
      </c>
      <c r="K167">
        <v>7930.5249999999996</v>
      </c>
      <c r="L167">
        <v>25.108181818181819</v>
      </c>
      <c r="M167">
        <v>23.456363636363633</v>
      </c>
      <c r="N167">
        <v>28.328181818181818</v>
      </c>
      <c r="O167">
        <v>161.5</v>
      </c>
      <c r="P167">
        <v>624.90909090909088</v>
      </c>
      <c r="Q167">
        <v>4.4928571428571429</v>
      </c>
      <c r="R167">
        <v>25.630909090909089</v>
      </c>
      <c r="S167">
        <v>61.866212481553376</v>
      </c>
      <c r="T167">
        <v>67.563603641649607</v>
      </c>
    </row>
    <row r="168" spans="1:20">
      <c r="A168" t="s">
        <v>277</v>
      </c>
      <c r="B168">
        <v>1400.3975</v>
      </c>
      <c r="C168">
        <v>24.964285714285701</v>
      </c>
      <c r="D168">
        <v>23.4</v>
      </c>
      <c r="E168">
        <v>1651.1</v>
      </c>
      <c r="F168">
        <v>355.6825</v>
      </c>
      <c r="G168">
        <v>13.82</v>
      </c>
      <c r="H168">
        <v>3.5777777777777802</v>
      </c>
      <c r="I168">
        <v>4.87</v>
      </c>
      <c r="J168">
        <v>5.8133333333333299</v>
      </c>
      <c r="K168">
        <v>8347.7250000000004</v>
      </c>
      <c r="L168">
        <v>25.750454545454545</v>
      </c>
      <c r="M168">
        <v>24.273181818181818</v>
      </c>
      <c r="N168">
        <v>28.201818181818179</v>
      </c>
      <c r="O168">
        <v>167.09090909090909</v>
      </c>
      <c r="P168">
        <v>650.3649999999999</v>
      </c>
      <c r="Q168">
        <v>4.7403750000000002</v>
      </c>
      <c r="R168">
        <v>26.075151515151518</v>
      </c>
      <c r="S168">
        <v>63.061043287896659</v>
      </c>
      <c r="T168">
        <v>68.001437219843851</v>
      </c>
    </row>
    <row r="169" spans="1:20">
      <c r="A169" t="s">
        <v>278</v>
      </c>
      <c r="B169">
        <v>1410.5166666666667</v>
      </c>
      <c r="C169">
        <v>25.821428571428601</v>
      </c>
      <c r="D169">
        <v>26.75</v>
      </c>
      <c r="E169">
        <v>1685.1071428571429</v>
      </c>
      <c r="F169">
        <v>356.352380952381</v>
      </c>
      <c r="G169">
        <v>13.82</v>
      </c>
      <c r="H169">
        <v>3.58</v>
      </c>
      <c r="I169">
        <v>4.7</v>
      </c>
      <c r="J169">
        <v>5.8290476190476195</v>
      </c>
      <c r="K169">
        <v>8839.0238095238092</v>
      </c>
      <c r="L169">
        <v>27.545714285714283</v>
      </c>
      <c r="M169">
        <v>25.47190476190476</v>
      </c>
      <c r="N169">
        <v>30.71</v>
      </c>
      <c r="O169">
        <v>179.52380952380952</v>
      </c>
      <c r="P169">
        <v>661.66666666666663</v>
      </c>
      <c r="Q169">
        <v>4.526190476190477</v>
      </c>
      <c r="R169">
        <v>27.90920634920635</v>
      </c>
      <c r="S169">
        <v>64.359330156815076</v>
      </c>
      <c r="T169">
        <v>67.562137279515881</v>
      </c>
    </row>
    <row r="170" spans="1:20">
      <c r="A170" t="s">
        <v>279</v>
      </c>
      <c r="B170">
        <v>1440.8804347826087</v>
      </c>
      <c r="C170">
        <v>26.089285714285701</v>
      </c>
      <c r="D170">
        <v>29.5</v>
      </c>
      <c r="E170">
        <v>1712.8260869565217</v>
      </c>
      <c r="F170">
        <v>351.01956521739135</v>
      </c>
      <c r="G170">
        <v>13.82</v>
      </c>
      <c r="H170">
        <v>3.61</v>
      </c>
      <c r="I170">
        <v>4.67</v>
      </c>
      <c r="J170">
        <v>5.0272727272727264</v>
      </c>
      <c r="K170">
        <v>8831.7000000000007</v>
      </c>
      <c r="L170">
        <v>28.39826086956522</v>
      </c>
      <c r="M170">
        <v>26.626956521739128</v>
      </c>
      <c r="N170">
        <v>30.734347826086957</v>
      </c>
      <c r="O170">
        <v>173.43478260869566</v>
      </c>
      <c r="P170">
        <v>681.52173913043475</v>
      </c>
      <c r="Q170">
        <v>4.7969565217391308</v>
      </c>
      <c r="R170">
        <v>28.586521739130436</v>
      </c>
      <c r="S170">
        <v>63.284879755601949</v>
      </c>
      <c r="T170">
        <v>64.700086464893687</v>
      </c>
    </row>
    <row r="171" spans="1:20">
      <c r="A171" t="s">
        <v>280</v>
      </c>
      <c r="B171">
        <v>1457.2249999999999</v>
      </c>
      <c r="C171">
        <v>27.133928571428601</v>
      </c>
      <c r="D171">
        <v>30.1875</v>
      </c>
      <c r="E171">
        <v>1756.7249999999999</v>
      </c>
      <c r="F171">
        <v>359.76749999999998</v>
      </c>
      <c r="G171">
        <v>13.82</v>
      </c>
      <c r="H171">
        <v>3.61</v>
      </c>
      <c r="I171">
        <v>4.75</v>
      </c>
      <c r="J171">
        <v>4.9861904761904752</v>
      </c>
      <c r="K171">
        <v>9359.875</v>
      </c>
      <c r="L171">
        <v>29.82571428571428</v>
      </c>
      <c r="M171">
        <v>27.617142857142859</v>
      </c>
      <c r="N171">
        <v>31.583809523809528</v>
      </c>
      <c r="O171">
        <v>182.11904761904762</v>
      </c>
      <c r="P171">
        <v>692.19047619047615</v>
      </c>
      <c r="Q171">
        <v>4.9910000000000014</v>
      </c>
      <c r="R171">
        <v>29.675555555555555</v>
      </c>
      <c r="S171">
        <v>64.43682375815645</v>
      </c>
      <c r="T171">
        <v>65.127403484444173</v>
      </c>
    </row>
    <row r="172" spans="1:20">
      <c r="A172" t="s">
        <v>281</v>
      </c>
      <c r="B172">
        <v>1416.5772727272727</v>
      </c>
      <c r="C172">
        <v>28.6071428571429</v>
      </c>
      <c r="D172">
        <v>34.137500000000003</v>
      </c>
      <c r="E172">
        <v>1789.6704545454545</v>
      </c>
      <c r="F172">
        <v>378.9454545454546</v>
      </c>
      <c r="G172">
        <v>13.82</v>
      </c>
      <c r="H172">
        <v>3.61</v>
      </c>
      <c r="I172">
        <v>4.93</v>
      </c>
      <c r="J172">
        <v>4.6209523809523807</v>
      </c>
      <c r="K172">
        <v>9995.7727272727279</v>
      </c>
      <c r="L172">
        <v>27.098181818181818</v>
      </c>
      <c r="M172">
        <v>25.265000000000001</v>
      </c>
      <c r="N172">
        <v>28.433181818181819</v>
      </c>
      <c r="O172">
        <v>210.90909090909091</v>
      </c>
      <c r="P172">
        <v>705.25</v>
      </c>
      <c r="Q172">
        <v>5.1705681818181812</v>
      </c>
      <c r="R172">
        <v>26.932121212121206</v>
      </c>
      <c r="S172">
        <v>64.499129021476435</v>
      </c>
      <c r="T172">
        <v>71.488981937453687</v>
      </c>
    </row>
    <row r="173" spans="1:20">
      <c r="A173" t="s">
        <v>282</v>
      </c>
      <c r="B173">
        <v>1477.2239130434784</v>
      </c>
      <c r="C173">
        <v>29.464285714285701</v>
      </c>
      <c r="D173">
        <v>36.6875</v>
      </c>
      <c r="E173">
        <v>1925.5826086956522</v>
      </c>
      <c r="F173">
        <v>378.91956521739121</v>
      </c>
      <c r="G173">
        <v>13.82</v>
      </c>
      <c r="H173">
        <v>3.6</v>
      </c>
      <c r="I173">
        <v>4.82</v>
      </c>
      <c r="J173">
        <v>4.6339130434782598</v>
      </c>
      <c r="K173">
        <v>11040.282608695652</v>
      </c>
      <c r="L173">
        <v>29.590434782608693</v>
      </c>
      <c r="M173">
        <v>27.131304347826084</v>
      </c>
      <c r="N173">
        <v>30.321739130434782</v>
      </c>
      <c r="O173">
        <v>201.10869565217391</v>
      </c>
      <c r="P173">
        <v>732.47826086956525</v>
      </c>
      <c r="Q173">
        <v>5.002173913043479</v>
      </c>
      <c r="R173">
        <v>29.014492753623184</v>
      </c>
      <c r="S173">
        <v>67.454702821394164</v>
      </c>
      <c r="T173">
        <v>74.891508438380001</v>
      </c>
    </row>
    <row r="174" spans="1:20">
      <c r="A174" t="s">
        <v>283</v>
      </c>
      <c r="B174">
        <v>1511.585</v>
      </c>
      <c r="C174">
        <v>32.049107142857103</v>
      </c>
      <c r="D174">
        <v>39.1875</v>
      </c>
      <c r="E174">
        <v>2053.2750000000001</v>
      </c>
      <c r="F174">
        <v>389.91</v>
      </c>
      <c r="G174">
        <v>13.82</v>
      </c>
      <c r="H174">
        <v>3.6</v>
      </c>
      <c r="I174">
        <v>5.05</v>
      </c>
      <c r="J174">
        <v>4.4916666666666698</v>
      </c>
      <c r="K174">
        <v>12052.375</v>
      </c>
      <c r="L174">
        <v>28.771999999999998</v>
      </c>
      <c r="M174">
        <v>27.503999999999998</v>
      </c>
      <c r="N174">
        <v>31.024000000000001</v>
      </c>
      <c r="O174">
        <v>196.75</v>
      </c>
      <c r="P174">
        <v>760.375</v>
      </c>
      <c r="Q174">
        <v>5.1777499999999987</v>
      </c>
      <c r="R174">
        <v>29.099999999999994</v>
      </c>
      <c r="S174">
        <v>67.381914623776552</v>
      </c>
      <c r="T174">
        <v>72.546460364963039</v>
      </c>
    </row>
    <row r="175" spans="1:20">
      <c r="A175" t="s">
        <v>284</v>
      </c>
      <c r="B175">
        <v>1557.7785714285715</v>
      </c>
      <c r="C175">
        <v>36.428571428571402</v>
      </c>
      <c r="D175">
        <v>38.6875</v>
      </c>
      <c r="E175">
        <v>2202.0357142857142</v>
      </c>
      <c r="F175">
        <v>406.95263157894732</v>
      </c>
      <c r="G175">
        <v>13.82</v>
      </c>
      <c r="H175">
        <v>3.6</v>
      </c>
      <c r="I175">
        <v>5.04</v>
      </c>
      <c r="J175">
        <v>6.14</v>
      </c>
      <c r="K175">
        <v>14185.209523809524</v>
      </c>
      <c r="L175">
        <v>29.831304347826091</v>
      </c>
      <c r="M175">
        <v>27.827391304347824</v>
      </c>
      <c r="N175">
        <v>32.178695652173907</v>
      </c>
      <c r="O175">
        <v>198.55434782608697</v>
      </c>
      <c r="P175">
        <v>807.86956521739125</v>
      </c>
      <c r="Q175">
        <v>5.6204761904761904</v>
      </c>
      <c r="R175">
        <v>29.945797101449276</v>
      </c>
      <c r="S175">
        <v>70.506307864989296</v>
      </c>
      <c r="T175">
        <v>71.890856095193257</v>
      </c>
    </row>
    <row r="176" spans="1:20">
      <c r="A176" t="s">
        <v>285</v>
      </c>
      <c r="B176">
        <v>1608.8928571428571</v>
      </c>
      <c r="C176">
        <v>40.446428571428598</v>
      </c>
      <c r="D176">
        <v>41.25</v>
      </c>
      <c r="E176">
        <v>2421.4761904761899</v>
      </c>
      <c r="F176">
        <v>413.78809523809531</v>
      </c>
      <c r="G176">
        <v>16.39</v>
      </c>
      <c r="H176">
        <v>3.39</v>
      </c>
      <c r="I176">
        <v>5.14</v>
      </c>
      <c r="J176">
        <v>6.1505263157894738</v>
      </c>
      <c r="K176">
        <v>15089.333333333334</v>
      </c>
      <c r="L176">
        <v>31.143636363636357</v>
      </c>
      <c r="M176">
        <v>28.649090909090912</v>
      </c>
      <c r="N176">
        <v>34.12409090909091</v>
      </c>
      <c r="O176">
        <v>215.94318181818181</v>
      </c>
      <c r="P176">
        <v>849.93181818181813</v>
      </c>
      <c r="Q176">
        <v>6.3164285714285722</v>
      </c>
      <c r="R176">
        <v>31.305606060606067</v>
      </c>
      <c r="S176">
        <v>73.123356583902293</v>
      </c>
      <c r="T176">
        <v>73.40397925304022</v>
      </c>
    </row>
    <row r="177" spans="1:20">
      <c r="A177" t="s">
        <v>286</v>
      </c>
      <c r="B177">
        <v>1685.2249999999999</v>
      </c>
      <c r="C177">
        <v>44.732142857142897</v>
      </c>
      <c r="D177">
        <v>42.25</v>
      </c>
      <c r="E177">
        <v>2751.7175000000002</v>
      </c>
      <c r="F177">
        <v>404.8775</v>
      </c>
      <c r="G177">
        <v>16.39</v>
      </c>
      <c r="H177">
        <v>3.39</v>
      </c>
      <c r="I177">
        <v>5.2</v>
      </c>
      <c r="J177">
        <v>5.3763157894736837</v>
      </c>
      <c r="K177">
        <v>15099.35</v>
      </c>
      <c r="L177">
        <v>30.865999999999996</v>
      </c>
      <c r="M177">
        <v>28.398000000000003</v>
      </c>
      <c r="N177">
        <v>34.721499999999999</v>
      </c>
      <c r="O177">
        <v>235.4375</v>
      </c>
      <c r="P177">
        <v>846.32500000000005</v>
      </c>
      <c r="Q177">
        <v>6.4405000000000001</v>
      </c>
      <c r="R177">
        <v>31.328500000000009</v>
      </c>
      <c r="S177">
        <v>72.879843902980284</v>
      </c>
      <c r="T177">
        <v>74.04557710392335</v>
      </c>
    </row>
    <row r="178" spans="1:20">
      <c r="A178" t="s">
        <v>287</v>
      </c>
      <c r="B178">
        <v>1657.3543478260867</v>
      </c>
      <c r="C178">
        <v>52.433035714285701</v>
      </c>
      <c r="D178">
        <v>42.5</v>
      </c>
      <c r="E178">
        <v>3000.2826086956502</v>
      </c>
      <c r="F178">
        <v>406.66739130434786</v>
      </c>
      <c r="G178">
        <v>16.39</v>
      </c>
      <c r="H178">
        <v>3.39</v>
      </c>
      <c r="I178">
        <v>5.29</v>
      </c>
      <c r="J178">
        <v>5.3960869565217386</v>
      </c>
      <c r="K178">
        <v>13786.54347826087</v>
      </c>
      <c r="L178">
        <v>33.799130434782612</v>
      </c>
      <c r="M178">
        <v>30.464782608695653</v>
      </c>
      <c r="N178">
        <v>36.731304347826089</v>
      </c>
      <c r="O178">
        <v>269.66304347826087</v>
      </c>
      <c r="P178">
        <v>899.76086956521738</v>
      </c>
      <c r="Q178">
        <v>7.225434782608696</v>
      </c>
      <c r="R178">
        <v>33.665072463768126</v>
      </c>
      <c r="S178">
        <v>75.532671786665915</v>
      </c>
      <c r="T178">
        <v>78.580753259058639</v>
      </c>
    </row>
    <row r="179" spans="1:20">
      <c r="A179" t="s">
        <v>288</v>
      </c>
      <c r="B179">
        <v>1731.68</v>
      </c>
      <c r="C179">
        <v>57.053571428571402</v>
      </c>
      <c r="D179">
        <v>47.25</v>
      </c>
      <c r="E179">
        <v>2926.9749999999999</v>
      </c>
      <c r="F179">
        <v>403.26</v>
      </c>
      <c r="G179">
        <v>16.39</v>
      </c>
      <c r="H179">
        <v>3.48</v>
      </c>
      <c r="I179">
        <v>5.5</v>
      </c>
      <c r="J179">
        <v>5.7152380952380959</v>
      </c>
      <c r="K179">
        <v>12725.9</v>
      </c>
      <c r="L179">
        <v>33.362727272727277</v>
      </c>
      <c r="M179">
        <v>31.062272727272724</v>
      </c>
      <c r="N179">
        <v>36.740454545454547</v>
      </c>
      <c r="O179">
        <v>296.93181818181819</v>
      </c>
      <c r="P179">
        <v>880.63636363636363</v>
      </c>
      <c r="Q179">
        <v>7.0549999999999979</v>
      </c>
      <c r="R179">
        <v>33.721818181818186</v>
      </c>
      <c r="S179">
        <v>76.475278060629407</v>
      </c>
      <c r="T179">
        <v>80.111032102864087</v>
      </c>
    </row>
    <row r="180" spans="1:20">
      <c r="A180" t="s">
        <v>289</v>
      </c>
      <c r="B180">
        <v>1625.25</v>
      </c>
      <c r="C180">
        <v>60.46875</v>
      </c>
      <c r="D180">
        <v>52.5625</v>
      </c>
      <c r="E180">
        <v>2728.4605263157896</v>
      </c>
      <c r="F180">
        <v>383.77894736842103</v>
      </c>
      <c r="G180">
        <v>16.39</v>
      </c>
      <c r="H180">
        <v>3.48</v>
      </c>
      <c r="I180">
        <v>5.47</v>
      </c>
      <c r="J180">
        <v>6.335</v>
      </c>
      <c r="K180">
        <v>11228.6052631579</v>
      </c>
      <c r="L180">
        <v>37.740952380952379</v>
      </c>
      <c r="M180">
        <v>34.472380952380952</v>
      </c>
      <c r="N180">
        <v>40.265714285714282</v>
      </c>
      <c r="O180">
        <v>246.4047619047619</v>
      </c>
      <c r="P180">
        <v>809.83333333333337</v>
      </c>
      <c r="Q180">
        <v>5.8473684210526322</v>
      </c>
      <c r="R180">
        <v>37.493015873015871</v>
      </c>
      <c r="S180">
        <v>79.744699167295465</v>
      </c>
      <c r="T180">
        <v>81.19071912552451</v>
      </c>
    </row>
    <row r="181" spans="1:20">
      <c r="A181" t="s">
        <v>290</v>
      </c>
      <c r="B181">
        <v>1682.0295454545455</v>
      </c>
      <c r="C181">
        <v>63.803571428571402</v>
      </c>
      <c r="D181">
        <v>62.55</v>
      </c>
      <c r="E181">
        <v>2689.0454545454545</v>
      </c>
      <c r="F181">
        <v>392.37272727272722</v>
      </c>
      <c r="G181">
        <v>16.39</v>
      </c>
      <c r="H181">
        <v>3.48</v>
      </c>
      <c r="I181">
        <v>5.88</v>
      </c>
      <c r="J181">
        <v>6.267142857142856</v>
      </c>
      <c r="K181">
        <v>13599.363636363636</v>
      </c>
      <c r="L181">
        <v>35.192727272727261</v>
      </c>
      <c r="M181">
        <v>33.405909090909091</v>
      </c>
      <c r="N181">
        <v>38.049999999999997</v>
      </c>
      <c r="O181">
        <v>228.81818181818181</v>
      </c>
      <c r="P181">
        <v>807.5454545454545</v>
      </c>
      <c r="Q181">
        <v>5.8618181818181805</v>
      </c>
      <c r="R181">
        <v>35.549545454545459</v>
      </c>
      <c r="S181">
        <v>78.388236608536332</v>
      </c>
      <c r="T181">
        <v>77.782201829543808</v>
      </c>
    </row>
    <row r="182" spans="1:20">
      <c r="A182" t="s">
        <v>291</v>
      </c>
      <c r="B182">
        <v>1707.840909090909</v>
      </c>
      <c r="C182">
        <v>65.758928571428598</v>
      </c>
      <c r="D182">
        <v>68.5</v>
      </c>
      <c r="E182">
        <v>2816.7954545454545</v>
      </c>
      <c r="F182">
        <v>398.09090909090907</v>
      </c>
      <c r="G182">
        <v>16.39</v>
      </c>
      <c r="H182">
        <v>3.81</v>
      </c>
      <c r="I182">
        <v>5.73</v>
      </c>
      <c r="J182">
        <v>5.9350000000000005</v>
      </c>
      <c r="K182">
        <v>15020.068181818182</v>
      </c>
      <c r="L182">
        <v>38.37136363636364</v>
      </c>
      <c r="M182">
        <v>34.483636363636364</v>
      </c>
      <c r="N182">
        <v>40.711363636363629</v>
      </c>
      <c r="O182">
        <v>219.94318181818181</v>
      </c>
      <c r="P182">
        <v>809.52272727272725</v>
      </c>
      <c r="Q182">
        <v>6.3140909090909085</v>
      </c>
      <c r="R182">
        <v>37.855454545454542</v>
      </c>
      <c r="S182">
        <v>79.723485328560187</v>
      </c>
      <c r="T182">
        <v>75.185296091583126</v>
      </c>
    </row>
    <row r="183" spans="1:20">
      <c r="A183" t="s">
        <v>292</v>
      </c>
      <c r="B183">
        <v>1692.0714285714287</v>
      </c>
      <c r="C183">
        <v>63.482142857142897</v>
      </c>
      <c r="D183">
        <v>63.625</v>
      </c>
      <c r="E183">
        <v>2844.2023809523807</v>
      </c>
      <c r="F183">
        <v>400.50952380952384</v>
      </c>
      <c r="G183">
        <v>16.39</v>
      </c>
      <c r="H183">
        <v>3.81</v>
      </c>
      <c r="I183">
        <v>5.9</v>
      </c>
      <c r="J183">
        <v>5.407727272727274</v>
      </c>
      <c r="K183">
        <v>13639.619047619048</v>
      </c>
      <c r="L183">
        <v>43.030909090909084</v>
      </c>
      <c r="M183">
        <v>38.277727272727276</v>
      </c>
      <c r="N183">
        <v>44.923636363636369</v>
      </c>
      <c r="O183">
        <v>215.10227272727272</v>
      </c>
      <c r="P183">
        <v>848.68181818181813</v>
      </c>
      <c r="Q183">
        <v>6.6592857142857156</v>
      </c>
      <c r="R183">
        <v>42.077424242424243</v>
      </c>
      <c r="S183">
        <v>80.960427181324377</v>
      </c>
      <c r="T183">
        <v>71.099113218796077</v>
      </c>
    </row>
    <row r="184" spans="1:20">
      <c r="A184" t="s">
        <v>293</v>
      </c>
      <c r="B184">
        <v>1731</v>
      </c>
      <c r="C184">
        <v>59.330357142857103</v>
      </c>
      <c r="D184">
        <v>61</v>
      </c>
      <c r="E184">
        <v>2903.1704545454545</v>
      </c>
      <c r="F184">
        <v>405.27499999999998</v>
      </c>
      <c r="G184">
        <v>16.39</v>
      </c>
      <c r="H184">
        <v>3.81</v>
      </c>
      <c r="I184">
        <v>6.44</v>
      </c>
      <c r="J184">
        <v>5.1671428571428564</v>
      </c>
      <c r="K184">
        <v>13430.363636363636</v>
      </c>
      <c r="L184">
        <v>43.382272727272728</v>
      </c>
      <c r="M184">
        <v>35.478636363636362</v>
      </c>
      <c r="N184">
        <v>45.842272727272729</v>
      </c>
      <c r="O184">
        <v>211.35227272727272</v>
      </c>
      <c r="P184">
        <v>847.88636363636363</v>
      </c>
      <c r="Q184">
        <v>6.3870454545454542</v>
      </c>
      <c r="R184">
        <v>41.567727272727268</v>
      </c>
      <c r="S184">
        <v>80.592641227070217</v>
      </c>
      <c r="T184">
        <v>71.82913203891016</v>
      </c>
    </row>
    <row r="185" spans="1:20">
      <c r="A185" t="s">
        <v>294</v>
      </c>
      <c r="B185">
        <v>1830.3571428571429</v>
      </c>
      <c r="C185">
        <v>60.669642857142897</v>
      </c>
      <c r="D185">
        <v>59.6875</v>
      </c>
      <c r="E185">
        <v>3009.4047619047601</v>
      </c>
      <c r="F185">
        <v>420.46428571428572</v>
      </c>
      <c r="G185">
        <v>16.39</v>
      </c>
      <c r="H185">
        <v>4.34</v>
      </c>
      <c r="I185">
        <v>6.66</v>
      </c>
      <c r="J185">
        <v>6.378571428571429</v>
      </c>
      <c r="K185">
        <v>14378.476190476191</v>
      </c>
      <c r="L185">
        <v>49.770476190476195</v>
      </c>
      <c r="M185">
        <v>37.579047619047614</v>
      </c>
      <c r="N185">
        <v>53.246190476190456</v>
      </c>
      <c r="O185">
        <v>218.14285714285714</v>
      </c>
      <c r="P185">
        <v>841.42857142857144</v>
      </c>
      <c r="Q185">
        <v>7.0950000000000006</v>
      </c>
      <c r="R185">
        <v>46.865238095238098</v>
      </c>
      <c r="S185">
        <v>86.393911268308528</v>
      </c>
      <c r="T185">
        <v>71.211963321607783</v>
      </c>
    </row>
    <row r="186" spans="1:20">
      <c r="A186" t="s">
        <v>295</v>
      </c>
      <c r="B186">
        <v>1817.340909090909</v>
      </c>
      <c r="C186">
        <v>56.598214285714299</v>
      </c>
      <c r="D186">
        <v>60.75</v>
      </c>
      <c r="E186">
        <v>3130.3090909090902</v>
      </c>
      <c r="F186">
        <v>439.375</v>
      </c>
      <c r="G186">
        <v>16.39</v>
      </c>
      <c r="H186">
        <v>4.34</v>
      </c>
      <c r="I186">
        <v>6.94</v>
      </c>
      <c r="J186">
        <v>6.1870000000000003</v>
      </c>
      <c r="K186">
        <v>14089.512272727274</v>
      </c>
      <c r="L186">
        <v>43.055</v>
      </c>
      <c r="M186">
        <v>34.784090909090907</v>
      </c>
      <c r="N186">
        <v>48.520454545454555</v>
      </c>
      <c r="O186">
        <v>213.70454545454547</v>
      </c>
      <c r="P186">
        <v>854.40909090909088</v>
      </c>
      <c r="Q186">
        <v>7.4926136363636351</v>
      </c>
      <c r="R186">
        <v>42.119848484848482</v>
      </c>
      <c r="S186">
        <v>83.725383206240551</v>
      </c>
      <c r="T186">
        <v>73.097471418185108</v>
      </c>
    </row>
    <row r="187" spans="1:20">
      <c r="A187" t="s">
        <v>296</v>
      </c>
      <c r="B187">
        <v>1852.9095238095238</v>
      </c>
      <c r="C187">
        <v>55.982142857142897</v>
      </c>
      <c r="D187">
        <v>54.287500000000001</v>
      </c>
      <c r="E187">
        <v>3139.7857142857142</v>
      </c>
      <c r="F187">
        <v>442.07894736842104</v>
      </c>
      <c r="G187">
        <v>16.39</v>
      </c>
      <c r="H187">
        <v>4.34</v>
      </c>
      <c r="I187">
        <v>6.54</v>
      </c>
      <c r="J187">
        <v>6.5819047619047621</v>
      </c>
      <c r="K187">
        <v>13764.976190476191</v>
      </c>
      <c r="L187">
        <v>39.656086956521733</v>
      </c>
      <c r="M187">
        <v>34.221304347826091</v>
      </c>
      <c r="N187">
        <v>43.27347826086956</v>
      </c>
      <c r="O187">
        <v>190.2391304347826</v>
      </c>
      <c r="P187">
        <v>848.23913043478262</v>
      </c>
      <c r="Q187">
        <v>7.1040476190476189</v>
      </c>
      <c r="R187">
        <v>39.050289855072471</v>
      </c>
      <c r="S187">
        <v>82.567941349484101</v>
      </c>
      <c r="T187">
        <v>76.94867231844853</v>
      </c>
    </row>
    <row r="188" spans="1:20">
      <c r="A188" t="s">
        <v>297</v>
      </c>
      <c r="B188">
        <v>1836.175</v>
      </c>
      <c r="C188">
        <v>56.833928571428601</v>
      </c>
      <c r="D188">
        <v>51.417499999999997</v>
      </c>
      <c r="E188">
        <v>3168.1</v>
      </c>
      <c r="F188">
        <v>424.03</v>
      </c>
      <c r="G188">
        <v>28.11</v>
      </c>
      <c r="H188">
        <v>5.0599999999999996</v>
      </c>
      <c r="I188">
        <v>5.82</v>
      </c>
      <c r="J188">
        <v>6.1520000000000001</v>
      </c>
      <c r="K188">
        <v>14563.75</v>
      </c>
      <c r="L188">
        <v>44.284285714285701</v>
      </c>
      <c r="M188">
        <v>37.853809523809524</v>
      </c>
      <c r="N188">
        <v>46.894285714285715</v>
      </c>
      <c r="O188">
        <v>185.92857142857142</v>
      </c>
      <c r="P188">
        <v>859.07142857142856</v>
      </c>
      <c r="Q188">
        <v>6.6092500000000003</v>
      </c>
      <c r="R188">
        <v>43.010793650793644</v>
      </c>
      <c r="S188">
        <v>85.426576137206041</v>
      </c>
      <c r="T188">
        <v>76.506190259974034</v>
      </c>
    </row>
    <row r="189" spans="1:20">
      <c r="A189" t="s">
        <v>298</v>
      </c>
      <c r="B189">
        <v>1882.7750000000001</v>
      </c>
      <c r="C189">
        <v>53.461607142857098</v>
      </c>
      <c r="D189">
        <v>46.625</v>
      </c>
      <c r="E189">
        <v>3247.1</v>
      </c>
      <c r="F189">
        <v>423.35</v>
      </c>
      <c r="G189">
        <v>28.11</v>
      </c>
      <c r="H189">
        <v>5.0599999999999996</v>
      </c>
      <c r="I189">
        <v>6.1</v>
      </c>
      <c r="J189">
        <v>6.1384210526315801</v>
      </c>
      <c r="K189">
        <v>15415.6</v>
      </c>
      <c r="L189">
        <v>45.556999999999995</v>
      </c>
      <c r="M189">
        <v>39.590499999999999</v>
      </c>
      <c r="N189">
        <v>47.981999999999992</v>
      </c>
      <c r="O189">
        <v>182.02500000000001</v>
      </c>
      <c r="P189">
        <v>864.32500000000005</v>
      </c>
      <c r="Q189">
        <v>7.0299999999999985</v>
      </c>
      <c r="R189">
        <v>44.3765</v>
      </c>
      <c r="S189">
        <v>87.444290736521424</v>
      </c>
      <c r="T189">
        <v>79.020403355956915</v>
      </c>
    </row>
    <row r="190" spans="1:20">
      <c r="A190" t="s">
        <v>299</v>
      </c>
      <c r="B190">
        <v>1987.5</v>
      </c>
      <c r="C190">
        <v>54.5625</v>
      </c>
      <c r="D190">
        <v>45.3</v>
      </c>
      <c r="E190">
        <v>3378.9047619047601</v>
      </c>
      <c r="F190">
        <v>434.32142857142856</v>
      </c>
      <c r="G190">
        <v>28.11</v>
      </c>
      <c r="H190">
        <v>5.0599999999999996</v>
      </c>
      <c r="I190">
        <v>6.46</v>
      </c>
      <c r="J190">
        <v>6.955454545454546</v>
      </c>
      <c r="K190">
        <v>16239.904761904761</v>
      </c>
      <c r="L190">
        <v>53.072608695652178</v>
      </c>
      <c r="M190">
        <v>45.638260869565222</v>
      </c>
      <c r="N190">
        <v>54.04304347826087</v>
      </c>
      <c r="O190">
        <v>197.40217391304347</v>
      </c>
      <c r="P190">
        <v>866.82608695652175</v>
      </c>
      <c r="Q190">
        <v>7.2560714285714285</v>
      </c>
      <c r="R190">
        <v>50.917971014492771</v>
      </c>
      <c r="S190">
        <v>94.520957850600951</v>
      </c>
      <c r="T190">
        <v>80.939394567975015</v>
      </c>
    </row>
    <row r="191" spans="1:20">
      <c r="A191" t="s">
        <v>300</v>
      </c>
      <c r="B191">
        <v>1891.9880952380952</v>
      </c>
      <c r="C191">
        <v>54.910714285714299</v>
      </c>
      <c r="D191">
        <v>46.25</v>
      </c>
      <c r="E191">
        <v>3389.8095238095239</v>
      </c>
      <c r="F191">
        <v>429.23333333333341</v>
      </c>
      <c r="G191">
        <v>28.11</v>
      </c>
      <c r="H191">
        <v>5.51</v>
      </c>
      <c r="I191">
        <v>7.04</v>
      </c>
      <c r="J191">
        <v>7.175714285714287</v>
      </c>
      <c r="K191">
        <v>16138.333333333334</v>
      </c>
      <c r="L191">
        <v>51.857142857142854</v>
      </c>
      <c r="M191">
        <v>47.101428571428571</v>
      </c>
      <c r="N191">
        <v>52.962857142857146</v>
      </c>
      <c r="O191">
        <v>198.8095238095238</v>
      </c>
      <c r="P191">
        <v>864.85714285714289</v>
      </c>
      <c r="Q191">
        <v>7.1188095238095244</v>
      </c>
      <c r="R191">
        <v>50.640476190476193</v>
      </c>
      <c r="S191">
        <v>94.072981951669718</v>
      </c>
      <c r="T191">
        <v>78.496379464833609</v>
      </c>
    </row>
    <row r="192" spans="1:20">
      <c r="A192" t="s">
        <v>301</v>
      </c>
      <c r="B192">
        <v>1741.45</v>
      </c>
      <c r="C192">
        <v>54.977678571428598</v>
      </c>
      <c r="D192">
        <v>45.875</v>
      </c>
      <c r="E192">
        <v>3241.9</v>
      </c>
      <c r="F192">
        <v>421.8725</v>
      </c>
      <c r="G192">
        <v>28.11</v>
      </c>
      <c r="H192">
        <v>5.51</v>
      </c>
      <c r="I192">
        <v>7.22</v>
      </c>
      <c r="J192">
        <v>6.4738095238095248</v>
      </c>
      <c r="K192">
        <v>17002.25</v>
      </c>
      <c r="L192">
        <v>48.666363636363627</v>
      </c>
      <c r="M192">
        <v>45.065000000000005</v>
      </c>
      <c r="N192">
        <v>49.906363636363629</v>
      </c>
      <c r="O192">
        <v>189.63636363636363</v>
      </c>
      <c r="P192">
        <v>866.22727272727275</v>
      </c>
      <c r="Q192">
        <v>7.0171250000000001</v>
      </c>
      <c r="R192">
        <v>47.87924242424242</v>
      </c>
      <c r="S192">
        <v>91.604278184742896</v>
      </c>
      <c r="T192">
        <v>79.541590275141886</v>
      </c>
    </row>
    <row r="193" spans="1:20">
      <c r="A193" t="s">
        <v>302</v>
      </c>
      <c r="B193">
        <v>1731.9431818181818</v>
      </c>
      <c r="C193">
        <v>54.642857142857103</v>
      </c>
      <c r="D193">
        <v>49.125</v>
      </c>
      <c r="E193">
        <v>3529.7272727272725</v>
      </c>
      <c r="F193">
        <v>430.65681818181815</v>
      </c>
      <c r="G193">
        <v>28.11</v>
      </c>
      <c r="H193">
        <v>5.51</v>
      </c>
      <c r="I193">
        <v>6.55</v>
      </c>
      <c r="J193">
        <v>7.1845454545454546</v>
      </c>
      <c r="K193">
        <v>16113.181818181818</v>
      </c>
      <c r="L193">
        <v>54.30772727272727</v>
      </c>
      <c r="M193">
        <v>50.975000000000001</v>
      </c>
      <c r="N193">
        <v>56.389090909090918</v>
      </c>
      <c r="O193">
        <v>186.54545454545453</v>
      </c>
      <c r="P193">
        <v>880.09090909090912</v>
      </c>
      <c r="Q193">
        <v>7.3104545454545447</v>
      </c>
      <c r="R193">
        <v>53.890606060606054</v>
      </c>
      <c r="S193">
        <v>95.469709798161787</v>
      </c>
      <c r="T193">
        <v>75.929298518109107</v>
      </c>
    </row>
    <row r="194" spans="1:20">
      <c r="A194" t="s">
        <v>303</v>
      </c>
      <c r="B194">
        <v>1783.2619047619048</v>
      </c>
      <c r="C194">
        <v>54.535714285714299</v>
      </c>
      <c r="D194">
        <v>51.3125</v>
      </c>
      <c r="E194">
        <v>3608.4761904761899</v>
      </c>
      <c r="F194">
        <v>424.4785714285714</v>
      </c>
      <c r="G194">
        <v>28.11</v>
      </c>
      <c r="H194">
        <v>6.13</v>
      </c>
      <c r="I194">
        <v>7.06</v>
      </c>
      <c r="J194">
        <v>7.6164999999999976</v>
      </c>
      <c r="K194">
        <v>14587.595238095239</v>
      </c>
      <c r="L194">
        <v>57.579047619047635</v>
      </c>
      <c r="M194">
        <v>52.852380952380955</v>
      </c>
      <c r="N194">
        <v>58.67</v>
      </c>
      <c r="O194">
        <v>184.4047619047619</v>
      </c>
      <c r="P194">
        <v>873.66666666666663</v>
      </c>
      <c r="Q194">
        <v>7.0145238095238103</v>
      </c>
      <c r="R194">
        <v>56.367142857142859</v>
      </c>
      <c r="S194">
        <v>97.8478711178076</v>
      </c>
      <c r="T194">
        <v>75.522063823273399</v>
      </c>
    </row>
    <row r="195" spans="1:20">
      <c r="A195" t="s">
        <v>304</v>
      </c>
      <c r="B195">
        <v>1871.2727272727273</v>
      </c>
      <c r="C195">
        <v>50.6907467532467</v>
      </c>
      <c r="D195">
        <v>48.029545454545399</v>
      </c>
      <c r="E195">
        <v>3791.9090909090901</v>
      </c>
      <c r="F195">
        <v>437.9295454545454</v>
      </c>
      <c r="G195">
        <v>28.11</v>
      </c>
      <c r="H195">
        <v>6.13</v>
      </c>
      <c r="I195">
        <v>7.22</v>
      </c>
      <c r="J195">
        <v>9.524782608695654</v>
      </c>
      <c r="K195">
        <v>14962</v>
      </c>
      <c r="L195">
        <v>64.124782608695654</v>
      </c>
      <c r="M195">
        <v>56.576521739130428</v>
      </c>
      <c r="N195">
        <v>64.955652173913037</v>
      </c>
      <c r="O195">
        <v>186.47826086956522</v>
      </c>
      <c r="P195">
        <v>898.43478260869563</v>
      </c>
      <c r="Q195">
        <v>7.0419318181818173</v>
      </c>
      <c r="R195">
        <v>61.885652173913051</v>
      </c>
      <c r="S195">
        <v>103.80457349774026</v>
      </c>
      <c r="T195">
        <v>74.045845755367637</v>
      </c>
    </row>
    <row r="196" spans="1:20">
      <c r="A196" t="s">
        <v>305</v>
      </c>
      <c r="B196">
        <v>1837.6931818181818</v>
      </c>
      <c r="C196">
        <v>48.321428571428598</v>
      </c>
      <c r="D196">
        <v>46.345454545454501</v>
      </c>
      <c r="E196">
        <v>3850.6590909090901</v>
      </c>
      <c r="F196">
        <v>456.04772727272723</v>
      </c>
      <c r="G196">
        <v>28.11</v>
      </c>
      <c r="H196">
        <v>6.13</v>
      </c>
      <c r="I196">
        <v>7.71</v>
      </c>
      <c r="J196">
        <v>12.531538095238094</v>
      </c>
      <c r="K196">
        <v>14154.545454545454</v>
      </c>
      <c r="L196">
        <v>62.982272727272736</v>
      </c>
      <c r="M196">
        <v>56.543181818181822</v>
      </c>
      <c r="N196">
        <v>65.630454545454526</v>
      </c>
      <c r="O196">
        <v>188.93181818181819</v>
      </c>
      <c r="P196">
        <v>914.63636363636363</v>
      </c>
      <c r="Q196">
        <v>7.1536363636363633</v>
      </c>
      <c r="R196">
        <v>61.718636363636371</v>
      </c>
      <c r="S196">
        <v>107.68722831945206</v>
      </c>
      <c r="T196">
        <v>74.155410894360372</v>
      </c>
    </row>
    <row r="197" spans="1:20">
      <c r="A197" t="s">
        <v>306</v>
      </c>
      <c r="B197">
        <v>1934.1428571428571</v>
      </c>
      <c r="C197">
        <v>44.528061224489797</v>
      </c>
      <c r="D197">
        <v>41.959523809523802</v>
      </c>
      <c r="E197">
        <v>4056.1666666666665</v>
      </c>
      <c r="F197">
        <v>469.89761904761906</v>
      </c>
      <c r="G197">
        <v>28.11</v>
      </c>
      <c r="H197">
        <v>6.96</v>
      </c>
      <c r="I197">
        <v>8.01</v>
      </c>
      <c r="J197">
        <v>13.633809523809523</v>
      </c>
      <c r="K197">
        <v>12431.119047619048</v>
      </c>
      <c r="L197">
        <v>58.522380952380942</v>
      </c>
      <c r="M197">
        <v>53.669523809523795</v>
      </c>
      <c r="N197">
        <v>62.363809523809529</v>
      </c>
      <c r="O197">
        <v>207.6904761904762</v>
      </c>
      <c r="P197">
        <v>931</v>
      </c>
      <c r="Q197">
        <v>7.6704761904761893</v>
      </c>
      <c r="R197">
        <v>58.185238095238098</v>
      </c>
      <c r="S197">
        <v>107.17850558761279</v>
      </c>
      <c r="T197">
        <v>73.964461306429257</v>
      </c>
    </row>
    <row r="198" spans="1:20">
      <c r="A198" t="s">
        <v>307</v>
      </c>
      <c r="B198">
        <v>2056.9704545454547</v>
      </c>
      <c r="C198">
        <v>40.641233766233803</v>
      </c>
      <c r="D198">
        <v>38.5772727272727</v>
      </c>
      <c r="E198">
        <v>4278.1590909090901</v>
      </c>
      <c r="F198">
        <v>476.66590909090905</v>
      </c>
      <c r="G198">
        <v>28.11</v>
      </c>
      <c r="H198">
        <v>6.96</v>
      </c>
      <c r="I198">
        <v>8.11</v>
      </c>
      <c r="J198">
        <v>10.3005</v>
      </c>
      <c r="K198">
        <v>12235.045454545454</v>
      </c>
      <c r="L198">
        <v>55.535909090909087</v>
      </c>
      <c r="M198">
        <v>51.368636363636369</v>
      </c>
      <c r="N198">
        <v>58.299090909090907</v>
      </c>
      <c r="O198">
        <v>245.29545454545453</v>
      </c>
      <c r="P198">
        <v>962.61363636363637</v>
      </c>
      <c r="Q198">
        <v>7.8724999999999996</v>
      </c>
      <c r="R198">
        <v>55.067878787878797</v>
      </c>
      <c r="S198">
        <v>101.19612831277179</v>
      </c>
      <c r="T198">
        <v>73.187725597903764</v>
      </c>
    </row>
    <row r="199" spans="1:20">
      <c r="A199" t="s">
        <v>308</v>
      </c>
      <c r="B199">
        <v>2250.9</v>
      </c>
      <c r="C199">
        <v>41.689285714285703</v>
      </c>
      <c r="D199">
        <v>40.6175</v>
      </c>
      <c r="E199">
        <v>4577.0249999999996</v>
      </c>
      <c r="F199">
        <v>510.09722222222223</v>
      </c>
      <c r="G199">
        <v>28.11</v>
      </c>
      <c r="H199">
        <v>6.96</v>
      </c>
      <c r="I199">
        <v>7.09</v>
      </c>
      <c r="J199">
        <v>13.049047619047618</v>
      </c>
      <c r="K199">
        <v>13490.45</v>
      </c>
      <c r="L199">
        <v>56.712272727272719</v>
      </c>
      <c r="M199">
        <v>53.065909090909095</v>
      </c>
      <c r="N199">
        <v>59.360454545454552</v>
      </c>
      <c r="O199">
        <v>263.75</v>
      </c>
      <c r="P199">
        <v>976.59090909090912</v>
      </c>
      <c r="Q199">
        <v>8.6397499999999994</v>
      </c>
      <c r="R199">
        <v>56.379545454545458</v>
      </c>
      <c r="S199">
        <v>106.18200197420632</v>
      </c>
      <c r="T199">
        <v>74.39966144861252</v>
      </c>
    </row>
    <row r="200" spans="1:20">
      <c r="A200" t="s">
        <v>309</v>
      </c>
      <c r="B200">
        <v>2383.3023809523802</v>
      </c>
      <c r="C200">
        <v>45.642857142857203</v>
      </c>
      <c r="D200">
        <v>43.690476190476197</v>
      </c>
      <c r="E200">
        <v>4743.8571428571431</v>
      </c>
      <c r="F200">
        <v>549.86428571428564</v>
      </c>
      <c r="G200">
        <v>33.450000000000003</v>
      </c>
      <c r="H200">
        <v>7.66</v>
      </c>
      <c r="I200">
        <v>7.34</v>
      </c>
      <c r="J200">
        <v>8.6850000000000005</v>
      </c>
      <c r="K200">
        <v>14660.809523809523</v>
      </c>
      <c r="L200">
        <v>63.361363636363642</v>
      </c>
      <c r="M200">
        <v>58.196363636363643</v>
      </c>
      <c r="N200">
        <v>65.210454545454539</v>
      </c>
      <c r="O200">
        <v>272.75</v>
      </c>
      <c r="P200">
        <v>1026.0454545454545</v>
      </c>
      <c r="Q200">
        <v>9.1538095238095245</v>
      </c>
      <c r="R200">
        <v>62.256060606060622</v>
      </c>
      <c r="S200">
        <v>107.9057604857081</v>
      </c>
      <c r="T200">
        <v>75.85260958051235</v>
      </c>
    </row>
    <row r="201" spans="1:20">
      <c r="A201" t="s">
        <v>310</v>
      </c>
      <c r="B201">
        <v>2453.375</v>
      </c>
      <c r="C201">
        <v>50.919642857142897</v>
      </c>
      <c r="D201">
        <v>48.994999999999997</v>
      </c>
      <c r="E201">
        <v>4974.9750000000004</v>
      </c>
      <c r="F201">
        <v>554.995</v>
      </c>
      <c r="G201">
        <v>33.450000000000003</v>
      </c>
      <c r="H201">
        <v>7.66</v>
      </c>
      <c r="I201">
        <v>7.89</v>
      </c>
      <c r="J201">
        <v>7.5252631578947362</v>
      </c>
      <c r="K201">
        <v>14974.5</v>
      </c>
      <c r="L201">
        <v>59.92349999999999</v>
      </c>
      <c r="M201">
        <v>57.576499999999996</v>
      </c>
      <c r="N201">
        <v>61.528500000000008</v>
      </c>
      <c r="O201">
        <v>289.08000000000004</v>
      </c>
      <c r="P201">
        <v>1041.5</v>
      </c>
      <c r="Q201">
        <v>9.5348749999999978</v>
      </c>
      <c r="R201">
        <v>59.676166666666674</v>
      </c>
      <c r="S201">
        <v>106.11005782292345</v>
      </c>
      <c r="T201">
        <v>77.400624853796714</v>
      </c>
    </row>
    <row r="202" spans="1:20">
      <c r="A202" t="s">
        <v>311</v>
      </c>
      <c r="B202">
        <v>2432.478260869565</v>
      </c>
      <c r="C202">
        <v>53.212732919254698</v>
      </c>
      <c r="D202">
        <v>54.502173913043499</v>
      </c>
      <c r="E202">
        <v>5123.6739130434798</v>
      </c>
      <c r="F202">
        <v>557.09347826086957</v>
      </c>
      <c r="G202">
        <v>33.450000000000003</v>
      </c>
      <c r="H202">
        <v>7.66</v>
      </c>
      <c r="I202">
        <v>7.91</v>
      </c>
      <c r="J202">
        <v>6.88</v>
      </c>
      <c r="K202">
        <v>14925.478260869566</v>
      </c>
      <c r="L202">
        <v>62.253913043478256</v>
      </c>
      <c r="M202">
        <v>57.645217391304357</v>
      </c>
      <c r="N202">
        <v>62.889565217391329</v>
      </c>
      <c r="O202">
        <v>310.17391304347825</v>
      </c>
      <c r="P202">
        <v>1041.0869565217392</v>
      </c>
      <c r="Q202">
        <v>10.383804347826088</v>
      </c>
      <c r="R202">
        <v>60.929565217391307</v>
      </c>
      <c r="S202">
        <v>106.82643228556536</v>
      </c>
      <c r="T202">
        <v>78.342903926310228</v>
      </c>
    </row>
    <row r="203" spans="1:20">
      <c r="A203" t="s">
        <v>312</v>
      </c>
      <c r="B203">
        <v>2623.8583333333331</v>
      </c>
      <c r="C203">
        <v>56.470238095238102</v>
      </c>
      <c r="D203">
        <v>55.3</v>
      </c>
      <c r="E203">
        <v>6404.4444444444443</v>
      </c>
      <c r="F203">
        <v>610.65277777777783</v>
      </c>
      <c r="G203">
        <v>33.450000000000003</v>
      </c>
      <c r="H203">
        <v>8.14</v>
      </c>
      <c r="I203">
        <v>7.81</v>
      </c>
      <c r="J203">
        <v>7.1684210526315786</v>
      </c>
      <c r="K203">
        <v>18028.888888888901</v>
      </c>
      <c r="L203">
        <v>70.432499999999976</v>
      </c>
      <c r="M203">
        <v>64.025999999999996</v>
      </c>
      <c r="N203">
        <v>69.531500000000008</v>
      </c>
      <c r="O203">
        <v>351.9</v>
      </c>
      <c r="P203">
        <v>1098.75</v>
      </c>
      <c r="Q203">
        <v>12.614861111111113</v>
      </c>
      <c r="R203">
        <v>67.99666666666667</v>
      </c>
      <c r="S203">
        <v>115.69856526019339</v>
      </c>
      <c r="T203">
        <v>81.640633356424686</v>
      </c>
    </row>
    <row r="204" spans="1:20">
      <c r="A204" t="s">
        <v>313</v>
      </c>
      <c r="B204">
        <v>2852.0714285714298</v>
      </c>
      <c r="C204">
        <v>56.721938775510203</v>
      </c>
      <c r="D204">
        <v>49.509523809523799</v>
      </c>
      <c r="E204">
        <v>8059.1904761904798</v>
      </c>
      <c r="F204">
        <v>675.39285714285711</v>
      </c>
      <c r="G204">
        <v>33.450000000000003</v>
      </c>
      <c r="H204">
        <v>8.14</v>
      </c>
      <c r="I204">
        <v>8.56</v>
      </c>
      <c r="J204">
        <v>6.2359090909090904</v>
      </c>
      <c r="K204">
        <v>21131.333333333332</v>
      </c>
      <c r="L204">
        <v>70.266956521739118</v>
      </c>
      <c r="M204">
        <v>64.907391304347826</v>
      </c>
      <c r="N204">
        <v>70.952173913043453</v>
      </c>
      <c r="O204">
        <v>368.26086956521738</v>
      </c>
      <c r="P204">
        <v>1260.8260869565217</v>
      </c>
      <c r="Q204">
        <v>13.448571428571427</v>
      </c>
      <c r="R204">
        <v>68.708840579710142</v>
      </c>
      <c r="S204">
        <v>119.89218750018338</v>
      </c>
      <c r="T204">
        <v>87.815434514714383</v>
      </c>
    </row>
    <row r="205" spans="1:20">
      <c r="A205" t="s">
        <v>314</v>
      </c>
      <c r="B205">
        <v>2490.9545454545455</v>
      </c>
      <c r="C205">
        <v>54.910714285714299</v>
      </c>
      <c r="D205">
        <v>51.959090909090897</v>
      </c>
      <c r="E205">
        <v>7222.7727272727298</v>
      </c>
      <c r="F205">
        <v>596.14545454545453</v>
      </c>
      <c r="G205">
        <v>33.450000000000003</v>
      </c>
      <c r="H205">
        <v>8.14</v>
      </c>
      <c r="I205">
        <v>8.64</v>
      </c>
      <c r="J205">
        <v>6.2036363636363658</v>
      </c>
      <c r="K205">
        <v>20585.909090909099</v>
      </c>
      <c r="L205">
        <v>68.857727272727274</v>
      </c>
      <c r="M205">
        <v>65.080909090909088</v>
      </c>
      <c r="N205">
        <v>70.931818181818187</v>
      </c>
      <c r="O205">
        <v>316.06818181818181</v>
      </c>
      <c r="P205">
        <v>1188.5454545454545</v>
      </c>
      <c r="Q205">
        <v>10.796363636363635</v>
      </c>
      <c r="R205">
        <v>68.290151515151521</v>
      </c>
      <c r="S205">
        <v>117.22758760205572</v>
      </c>
      <c r="T205">
        <v>85.465886180206738</v>
      </c>
    </row>
    <row r="206" spans="1:20">
      <c r="A206" t="s">
        <v>315</v>
      </c>
      <c r="B206">
        <v>2511.8333333333335</v>
      </c>
      <c r="C206">
        <v>56.9540816326531</v>
      </c>
      <c r="D206">
        <v>51.871428571428602</v>
      </c>
      <c r="E206">
        <v>7726.7380952380954</v>
      </c>
      <c r="F206">
        <v>633.70952380952383</v>
      </c>
      <c r="G206">
        <v>33.450000000000003</v>
      </c>
      <c r="H206">
        <v>8.4</v>
      </c>
      <c r="I206">
        <v>8.51</v>
      </c>
      <c r="J206">
        <v>6.1731578947368417</v>
      </c>
      <c r="K206">
        <v>26185.714285714301</v>
      </c>
      <c r="L206">
        <v>73.898095238095252</v>
      </c>
      <c r="M206">
        <v>69.049047619047613</v>
      </c>
      <c r="N206">
        <v>74.359047619047629</v>
      </c>
      <c r="O206">
        <v>317.82142857142856</v>
      </c>
      <c r="P206">
        <v>1228.8333333333333</v>
      </c>
      <c r="Q206">
        <v>11.232380952380952</v>
      </c>
      <c r="R206">
        <v>72.435396825396836</v>
      </c>
      <c r="S206">
        <v>121.71322804423858</v>
      </c>
      <c r="T206">
        <v>84.690373610626409</v>
      </c>
    </row>
    <row r="207" spans="1:20">
      <c r="A207" t="s">
        <v>316</v>
      </c>
      <c r="B207">
        <v>2461.5522727272728</v>
      </c>
      <c r="C207">
        <v>55.633928571428598</v>
      </c>
      <c r="D207">
        <v>53.674999999999997</v>
      </c>
      <c r="E207">
        <v>7690.25</v>
      </c>
      <c r="F207">
        <v>632.59318181818185</v>
      </c>
      <c r="G207">
        <v>33.450000000000003</v>
      </c>
      <c r="H207">
        <v>8.4</v>
      </c>
      <c r="I207">
        <v>8.3699999999999992</v>
      </c>
      <c r="J207">
        <v>7.1326086956521735</v>
      </c>
      <c r="K207">
        <v>30468.863636363636</v>
      </c>
      <c r="L207">
        <v>73.612173913043492</v>
      </c>
      <c r="M207">
        <v>68.781739130434772</v>
      </c>
      <c r="N207">
        <v>73.041739130434792</v>
      </c>
      <c r="O207">
        <v>330.04347826086956</v>
      </c>
      <c r="P207">
        <v>1233.5217391304348</v>
      </c>
      <c r="Q207">
        <v>12.177727272727275</v>
      </c>
      <c r="R207">
        <v>71.811884057971014</v>
      </c>
      <c r="S207">
        <v>122.41103477327003</v>
      </c>
      <c r="T207">
        <v>82.955519940882326</v>
      </c>
    </row>
    <row r="208" spans="1:20">
      <c r="A208" t="s">
        <v>317</v>
      </c>
      <c r="B208">
        <v>2484.3809523809523</v>
      </c>
      <c r="C208">
        <v>51.887755102040799</v>
      </c>
      <c r="D208">
        <v>48.714285714285701</v>
      </c>
      <c r="E208">
        <v>7622.6428571428596</v>
      </c>
      <c r="F208">
        <v>598.18571428571431</v>
      </c>
      <c r="G208">
        <v>33.450000000000003</v>
      </c>
      <c r="H208">
        <v>8.4</v>
      </c>
      <c r="I208">
        <v>8.83</v>
      </c>
      <c r="J208">
        <v>4.8970000000000002</v>
      </c>
      <c r="K208">
        <v>29702.619047619046</v>
      </c>
      <c r="L208">
        <v>62.772857142857141</v>
      </c>
      <c r="M208">
        <v>59.772857142857134</v>
      </c>
      <c r="N208">
        <v>64.074761904761914</v>
      </c>
      <c r="O208">
        <v>322.97619047619048</v>
      </c>
      <c r="P208">
        <v>1183.5952380952381</v>
      </c>
      <c r="Q208">
        <v>11.676904761904764</v>
      </c>
      <c r="R208">
        <v>62.20682539682538</v>
      </c>
      <c r="S208">
        <v>112.61286658813054</v>
      </c>
      <c r="T208">
        <v>82.457066262930198</v>
      </c>
    </row>
    <row r="209" spans="1:20">
      <c r="A209" t="s">
        <v>318</v>
      </c>
      <c r="B209">
        <v>2657.1477272727275</v>
      </c>
      <c r="C209">
        <v>47.690746753246799</v>
      </c>
      <c r="D209">
        <v>49.670454545454497</v>
      </c>
      <c r="E209">
        <v>7497.4090909090901</v>
      </c>
      <c r="F209">
        <v>585.77954545454554</v>
      </c>
      <c r="G209">
        <v>33.450000000000003</v>
      </c>
      <c r="H209">
        <v>8.65</v>
      </c>
      <c r="I209">
        <v>7.94</v>
      </c>
      <c r="J209">
        <v>5.8436363636363637</v>
      </c>
      <c r="K209">
        <v>32551.136363636364</v>
      </c>
      <c r="L209">
        <v>58.381818181818176</v>
      </c>
      <c r="M209">
        <v>56.425454545454542</v>
      </c>
      <c r="N209">
        <v>58.850454545454546</v>
      </c>
      <c r="O209">
        <v>312.88636363636363</v>
      </c>
      <c r="P209">
        <v>1082.4545454545455</v>
      </c>
      <c r="Q209">
        <v>11.558636363636365</v>
      </c>
      <c r="R209">
        <v>57.885909090909088</v>
      </c>
      <c r="S209">
        <v>110.80248518576408</v>
      </c>
      <c r="T209">
        <v>82.737142223318713</v>
      </c>
    </row>
    <row r="210" spans="1:20">
      <c r="A210" t="s">
        <v>319</v>
      </c>
      <c r="B210">
        <v>2702.1363636363635</v>
      </c>
      <c r="C210">
        <v>48.214285714285701</v>
      </c>
      <c r="D210">
        <v>48.277727272727297</v>
      </c>
      <c r="E210">
        <v>7029.295454545455</v>
      </c>
      <c r="F210">
        <v>627.82727272727277</v>
      </c>
      <c r="G210">
        <v>33.450000000000003</v>
      </c>
      <c r="H210">
        <v>8.65</v>
      </c>
      <c r="I210">
        <v>7.5</v>
      </c>
      <c r="J210">
        <v>7.41</v>
      </c>
      <c r="K210">
        <v>31891.590909090901</v>
      </c>
      <c r="L210">
        <v>58.484090909090902</v>
      </c>
      <c r="M210">
        <v>56.815454545454536</v>
      </c>
      <c r="N210">
        <v>59.067727272727282</v>
      </c>
      <c r="O210">
        <v>324.25</v>
      </c>
      <c r="P210">
        <v>1183</v>
      </c>
      <c r="Q210">
        <v>12.931136363636362</v>
      </c>
      <c r="R210">
        <v>58.122424242424245</v>
      </c>
      <c r="S210">
        <v>113.4407851927794</v>
      </c>
      <c r="T210">
        <v>84.741731896900802</v>
      </c>
    </row>
    <row r="211" spans="1:20">
      <c r="A211" t="s">
        <v>320</v>
      </c>
      <c r="B211">
        <v>2823.6710526315801</v>
      </c>
      <c r="C211">
        <v>54.510338345864703</v>
      </c>
      <c r="D211">
        <v>50.825263157894703</v>
      </c>
      <c r="E211">
        <v>6680.9736842105303</v>
      </c>
      <c r="F211">
        <v>629.79117647058831</v>
      </c>
      <c r="G211">
        <v>33.450000000000003</v>
      </c>
      <c r="H211">
        <v>8.65</v>
      </c>
      <c r="I211">
        <v>7.29</v>
      </c>
      <c r="J211">
        <v>6.7294999999999998</v>
      </c>
      <c r="K211">
        <v>34400.526315789502</v>
      </c>
      <c r="L211">
        <v>62.270476190476181</v>
      </c>
      <c r="M211">
        <v>58.67285714285714</v>
      </c>
      <c r="N211">
        <v>61.992380952380941</v>
      </c>
      <c r="O211">
        <v>325.95238095238096</v>
      </c>
      <c r="P211">
        <v>1121.1904761904761</v>
      </c>
      <c r="Q211">
        <v>13.360526315789475</v>
      </c>
      <c r="R211">
        <v>60.978571428571435</v>
      </c>
      <c r="S211">
        <v>115.55068704257344</v>
      </c>
      <c r="T211">
        <v>84.915473349133563</v>
      </c>
    </row>
    <row r="212" spans="1:20">
      <c r="A212" t="s">
        <v>321</v>
      </c>
      <c r="B212">
        <v>2799.0590909090902</v>
      </c>
      <c r="C212">
        <v>55.762987012986997</v>
      </c>
      <c r="D212">
        <v>50.440909090909102</v>
      </c>
      <c r="E212">
        <v>5689.3409090909099</v>
      </c>
      <c r="F212">
        <v>631.16590909090917</v>
      </c>
      <c r="G212">
        <v>36.630000000000003</v>
      </c>
      <c r="H212">
        <v>8.39</v>
      </c>
      <c r="I212">
        <v>7.66</v>
      </c>
      <c r="J212">
        <v>6.5854999999999988</v>
      </c>
      <c r="K212">
        <v>36821.590909090897</v>
      </c>
      <c r="L212">
        <v>54.553913043478261</v>
      </c>
      <c r="M212">
        <v>52.216086956521742</v>
      </c>
      <c r="N212">
        <v>54.777826086956537</v>
      </c>
      <c r="O212">
        <v>336.47826086956519</v>
      </c>
      <c r="P212">
        <v>1146.6521739130435</v>
      </c>
      <c r="Q212">
        <v>12.838636363636363</v>
      </c>
      <c r="R212">
        <v>53.849275362318856</v>
      </c>
      <c r="S212">
        <v>110.94954674900173</v>
      </c>
      <c r="T212">
        <v>86.566511310100225</v>
      </c>
    </row>
    <row r="213" spans="1:20">
      <c r="A213" t="s">
        <v>322</v>
      </c>
      <c r="B213">
        <v>2839.05</v>
      </c>
      <c r="C213">
        <v>56.006250000000001</v>
      </c>
      <c r="D213">
        <v>51.5015</v>
      </c>
      <c r="E213">
        <v>5718.15</v>
      </c>
      <c r="F213">
        <v>664.745</v>
      </c>
      <c r="G213">
        <v>36.630000000000003</v>
      </c>
      <c r="H213">
        <v>8.39</v>
      </c>
      <c r="I213">
        <v>7.17</v>
      </c>
      <c r="J213">
        <v>8.0047368421052614</v>
      </c>
      <c r="K213">
        <v>41078.25</v>
      </c>
      <c r="L213">
        <v>57.758499999999991</v>
      </c>
      <c r="M213">
        <v>55.680499999999981</v>
      </c>
      <c r="N213">
        <v>59.256999999999991</v>
      </c>
      <c r="O213">
        <v>341.8125</v>
      </c>
      <c r="P213">
        <v>1204.55</v>
      </c>
      <c r="Q213">
        <v>13.910000000000002</v>
      </c>
      <c r="R213">
        <v>57.565333333333342</v>
      </c>
      <c r="S213">
        <v>116.77526570567129</v>
      </c>
      <c r="T213">
        <v>88.488039675689009</v>
      </c>
    </row>
    <row r="214" spans="1:20">
      <c r="A214" t="s">
        <v>323</v>
      </c>
      <c r="B214">
        <v>2757.0795454545455</v>
      </c>
      <c r="C214">
        <v>56.924512987013003</v>
      </c>
      <c r="D214">
        <v>53.521363636363603</v>
      </c>
      <c r="E214">
        <v>6465.295454545455</v>
      </c>
      <c r="F214">
        <v>654.89545454545453</v>
      </c>
      <c r="G214">
        <v>36.630000000000003</v>
      </c>
      <c r="H214">
        <v>8.39</v>
      </c>
      <c r="I214">
        <v>7.36</v>
      </c>
      <c r="J214">
        <v>7.11</v>
      </c>
      <c r="K214">
        <v>46125.227272727301</v>
      </c>
      <c r="L214">
        <v>62.143636363636368</v>
      </c>
      <c r="M214">
        <v>59.05409090909091</v>
      </c>
      <c r="N214">
        <v>60.601818181818196</v>
      </c>
      <c r="O214">
        <v>350.05681818181819</v>
      </c>
      <c r="P214">
        <v>1218.7727272727273</v>
      </c>
      <c r="Q214">
        <v>13.184318181818183</v>
      </c>
      <c r="R214">
        <v>60.599848484848479</v>
      </c>
      <c r="S214">
        <v>119.50174028200719</v>
      </c>
      <c r="T214">
        <v>88.275689522163901</v>
      </c>
    </row>
    <row r="215" spans="1:20">
      <c r="A215" t="s">
        <v>324</v>
      </c>
      <c r="B215">
        <v>2817.0526315789475</v>
      </c>
      <c r="C215">
        <v>58.051691729323302</v>
      </c>
      <c r="D215">
        <v>52.077894736842097</v>
      </c>
      <c r="E215">
        <v>7753.3421052631602</v>
      </c>
      <c r="F215">
        <v>679.36842105263156</v>
      </c>
      <c r="G215">
        <v>36.630000000000003</v>
      </c>
      <c r="H215">
        <v>7.83</v>
      </c>
      <c r="I215">
        <v>7.72</v>
      </c>
      <c r="J215">
        <v>7.5989999999999993</v>
      </c>
      <c r="K215">
        <v>49956.578947368398</v>
      </c>
      <c r="L215">
        <v>67.504761904761907</v>
      </c>
      <c r="M215">
        <v>63.86999999999999</v>
      </c>
      <c r="N215">
        <v>63.952857142857155</v>
      </c>
      <c r="O215">
        <v>366.85714285714283</v>
      </c>
      <c r="P215">
        <v>1275.8095238095239</v>
      </c>
      <c r="Q215">
        <v>13.73842105263158</v>
      </c>
      <c r="R215">
        <v>65.109206349206346</v>
      </c>
      <c r="S215">
        <v>126.33975289939941</v>
      </c>
      <c r="T215">
        <v>92.066142544042066</v>
      </c>
    </row>
    <row r="216" spans="1:20">
      <c r="A216" t="s">
        <v>325</v>
      </c>
      <c r="B216">
        <v>2804.6047619047599</v>
      </c>
      <c r="C216">
        <v>58.456632653061199</v>
      </c>
      <c r="D216">
        <v>50.345714285714301</v>
      </c>
      <c r="E216">
        <v>7677.9523809523798</v>
      </c>
      <c r="F216">
        <v>666.85952380952369</v>
      </c>
      <c r="G216">
        <v>36.630000000000003</v>
      </c>
      <c r="H216">
        <v>7.83</v>
      </c>
      <c r="I216">
        <v>8.2100000000000009</v>
      </c>
      <c r="J216">
        <v>7.6409090909090915</v>
      </c>
      <c r="K216">
        <v>51783.333333333336</v>
      </c>
      <c r="L216">
        <v>67.476521739130447</v>
      </c>
      <c r="M216">
        <v>64.544782608695655</v>
      </c>
      <c r="N216">
        <v>63.50739130434782</v>
      </c>
      <c r="O216">
        <v>367.45652173913044</v>
      </c>
      <c r="P216">
        <v>1300.6521739130435</v>
      </c>
      <c r="Q216">
        <v>13.146428571428574</v>
      </c>
      <c r="R216">
        <v>65.176231884057984</v>
      </c>
      <c r="S216">
        <v>126.74981285228043</v>
      </c>
      <c r="T216">
        <v>91.341058902596771</v>
      </c>
    </row>
    <row r="217" spans="1:20">
      <c r="A217" t="s">
        <v>326</v>
      </c>
      <c r="B217">
        <v>2681.3095238095239</v>
      </c>
      <c r="C217">
        <v>63.150510204081698</v>
      </c>
      <c r="D217">
        <v>56.3595238095238</v>
      </c>
      <c r="E217">
        <v>7514.2380952380954</v>
      </c>
      <c r="F217">
        <v>655.49047619047622</v>
      </c>
      <c r="G217">
        <v>36.630000000000003</v>
      </c>
      <c r="H217">
        <v>7.83</v>
      </c>
      <c r="I217">
        <v>8.48</v>
      </c>
      <c r="J217">
        <v>7.3471428571428579</v>
      </c>
      <c r="K217">
        <v>41551.666666666664</v>
      </c>
      <c r="L217">
        <v>71.317142857142855</v>
      </c>
      <c r="M217">
        <v>65.756190476190497</v>
      </c>
      <c r="N217">
        <v>67.491904761904763</v>
      </c>
      <c r="O217">
        <v>368.66666666666669</v>
      </c>
      <c r="P217">
        <v>1286.2380952380952</v>
      </c>
      <c r="Q217">
        <v>13.144285714285715</v>
      </c>
      <c r="R217">
        <v>68.188412698412705</v>
      </c>
      <c r="S217">
        <v>127.19297818825477</v>
      </c>
      <c r="T217">
        <v>91.487109167393157</v>
      </c>
    </row>
    <row r="218" spans="1:20">
      <c r="A218" t="s">
        <v>327</v>
      </c>
      <c r="B218">
        <v>2738.0909090909099</v>
      </c>
      <c r="C218">
        <v>72.793831168831204</v>
      </c>
      <c r="D218">
        <v>58.455909090909103</v>
      </c>
      <c r="E218">
        <v>7980.9318181818198</v>
      </c>
      <c r="F218">
        <v>665.2954545454545</v>
      </c>
      <c r="G218">
        <v>36.630000000000003</v>
      </c>
      <c r="H218">
        <v>7.79</v>
      </c>
      <c r="I218">
        <v>8.2200000000000006</v>
      </c>
      <c r="J218">
        <v>6.2228571428571433</v>
      </c>
      <c r="K218">
        <v>33400.227272727301</v>
      </c>
      <c r="L218">
        <v>77.204999999999984</v>
      </c>
      <c r="M218">
        <v>69.459090909090918</v>
      </c>
      <c r="N218">
        <v>74.017727272727271</v>
      </c>
      <c r="O218">
        <v>366.20454545454544</v>
      </c>
      <c r="P218">
        <v>1303.0227272727273</v>
      </c>
      <c r="Q218">
        <v>12.909318181818184</v>
      </c>
      <c r="R218">
        <v>73.560606060606062</v>
      </c>
      <c r="S218">
        <v>129.71540150618918</v>
      </c>
      <c r="T218">
        <v>93.301805424902824</v>
      </c>
    </row>
    <row r="219" spans="1:20">
      <c r="A219" t="s">
        <v>328</v>
      </c>
      <c r="B219">
        <v>2512.6022727272725</v>
      </c>
      <c r="C219">
        <v>74.834415584415595</v>
      </c>
      <c r="D219">
        <v>59.85</v>
      </c>
      <c r="E219">
        <v>7500.204545454545</v>
      </c>
      <c r="F219">
        <v>665.41136363636372</v>
      </c>
      <c r="G219">
        <v>36.630000000000003</v>
      </c>
      <c r="H219">
        <v>7.79</v>
      </c>
      <c r="I219">
        <v>8.61</v>
      </c>
      <c r="J219">
        <v>6.2282608695652177</v>
      </c>
      <c r="K219">
        <v>27649.636363636364</v>
      </c>
      <c r="L219">
        <v>70.796956521739133</v>
      </c>
      <c r="M219">
        <v>67.205652173913037</v>
      </c>
      <c r="N219">
        <v>72.37826086956521</v>
      </c>
      <c r="O219">
        <v>342.0978260869565</v>
      </c>
      <c r="P219">
        <v>1263.608695652174</v>
      </c>
      <c r="Q219">
        <v>12.363181818181816</v>
      </c>
      <c r="R219">
        <v>70.126956521739118</v>
      </c>
      <c r="S219">
        <v>125.44881320444145</v>
      </c>
      <c r="T219">
        <v>92.760099418417028</v>
      </c>
    </row>
    <row r="220" spans="1:20">
      <c r="A220" t="s">
        <v>329</v>
      </c>
      <c r="B220">
        <v>2394.9625000000001</v>
      </c>
      <c r="C220">
        <v>73.553571428571502</v>
      </c>
      <c r="D220">
        <v>61.884500000000003</v>
      </c>
      <c r="E220">
        <v>7671.35</v>
      </c>
      <c r="F220">
        <v>712.65250000000003</v>
      </c>
      <c r="G220">
        <v>36.630000000000003</v>
      </c>
      <c r="H220">
        <v>7.79</v>
      </c>
      <c r="I220">
        <v>8.5500000000000007</v>
      </c>
      <c r="J220">
        <v>6.0689473684210524</v>
      </c>
      <c r="K220">
        <v>29548.400000000001</v>
      </c>
      <c r="L220">
        <v>77.128500000000003</v>
      </c>
      <c r="M220">
        <v>73.254000000000005</v>
      </c>
      <c r="N220">
        <v>79.613</v>
      </c>
      <c r="O220">
        <v>334.58749999999998</v>
      </c>
      <c r="P220">
        <v>1307.6500000000001</v>
      </c>
      <c r="Q220">
        <v>12.833499999999997</v>
      </c>
      <c r="R220">
        <v>76.665166666666664</v>
      </c>
      <c r="S220">
        <v>131.7847398905821</v>
      </c>
      <c r="T220">
        <v>96.640299665692027</v>
      </c>
    </row>
    <row r="221" spans="1:20">
      <c r="A221" t="s">
        <v>330</v>
      </c>
      <c r="B221">
        <v>2444.5326086956502</v>
      </c>
      <c r="C221">
        <v>79.509316770186302</v>
      </c>
      <c r="D221">
        <v>71.443913043478204</v>
      </c>
      <c r="E221">
        <v>8020.5869565217399</v>
      </c>
      <c r="F221">
        <v>754.60434782608706</v>
      </c>
      <c r="G221">
        <v>36.630000000000003</v>
      </c>
      <c r="H221">
        <v>8.56</v>
      </c>
      <c r="I221">
        <v>9.16</v>
      </c>
      <c r="J221">
        <v>6.7356521739130431</v>
      </c>
      <c r="K221">
        <v>31156</v>
      </c>
      <c r="L221">
        <v>82.831739130434784</v>
      </c>
      <c r="M221">
        <v>77.14</v>
      </c>
      <c r="N221">
        <v>85.903913043478255</v>
      </c>
      <c r="O221">
        <v>365.63043478260869</v>
      </c>
      <c r="P221">
        <v>1410.695652173913</v>
      </c>
      <c r="Q221">
        <v>13.670434782608696</v>
      </c>
      <c r="R221">
        <v>81.958550724637689</v>
      </c>
      <c r="S221">
        <v>139.38835759707422</v>
      </c>
      <c r="T221">
        <v>99.50507120497798</v>
      </c>
    </row>
    <row r="222" spans="1:20">
      <c r="A222" t="s">
        <v>331</v>
      </c>
      <c r="B222">
        <v>2507.1522727272727</v>
      </c>
      <c r="C222">
        <v>93.116883116883102</v>
      </c>
      <c r="D222">
        <v>87.2</v>
      </c>
      <c r="E222">
        <v>6957.4318181818198</v>
      </c>
      <c r="F222">
        <v>806.24772727272727</v>
      </c>
      <c r="G222">
        <v>36.630000000000003</v>
      </c>
      <c r="H222">
        <v>8.56</v>
      </c>
      <c r="I222">
        <v>9.52</v>
      </c>
      <c r="J222">
        <v>7.1055000000000001</v>
      </c>
      <c r="K222">
        <v>30505.636363636364</v>
      </c>
      <c r="L222">
        <v>92.528181818181835</v>
      </c>
      <c r="M222">
        <v>86.731363636363639</v>
      </c>
      <c r="N222">
        <v>94.904545454545442</v>
      </c>
      <c r="O222">
        <v>362.70454545454544</v>
      </c>
      <c r="P222">
        <v>1448.7272727272727</v>
      </c>
      <c r="Q222">
        <v>14.701590909090909</v>
      </c>
      <c r="R222">
        <v>91.388030303030291</v>
      </c>
      <c r="S222">
        <v>147.67128109344628</v>
      </c>
      <c r="T222">
        <v>100.73945632078933</v>
      </c>
    </row>
    <row r="223" spans="1:20">
      <c r="A223" t="s">
        <v>332</v>
      </c>
      <c r="B223">
        <v>2382.8333333333335</v>
      </c>
      <c r="C223">
        <v>98.909774436090203</v>
      </c>
      <c r="D223">
        <v>94.7</v>
      </c>
      <c r="E223">
        <v>6630.7361111111104</v>
      </c>
      <c r="F223">
        <v>803.20294117647063</v>
      </c>
      <c r="G223">
        <v>36.630000000000003</v>
      </c>
      <c r="H223">
        <v>8.56</v>
      </c>
      <c r="I223">
        <v>10.27</v>
      </c>
      <c r="J223">
        <v>7.1314473684210524</v>
      </c>
      <c r="K223">
        <v>26053.555555555555</v>
      </c>
      <c r="L223">
        <v>91.529047619047617</v>
      </c>
      <c r="M223">
        <v>85.949999999999989</v>
      </c>
      <c r="N223">
        <v>91.759047619047621</v>
      </c>
      <c r="O223">
        <v>351.8095238095238</v>
      </c>
      <c r="P223">
        <v>1492.9047619047619</v>
      </c>
      <c r="Q223">
        <v>14.298684210526313</v>
      </c>
      <c r="R223">
        <v>89.746031746031733</v>
      </c>
      <c r="S223">
        <v>147.63823704746554</v>
      </c>
      <c r="T223">
        <v>105.86602389084958</v>
      </c>
    </row>
    <row r="224" spans="1:20">
      <c r="A224" t="s">
        <v>333</v>
      </c>
      <c r="B224">
        <v>2456.125</v>
      </c>
      <c r="C224">
        <v>98.486201298701303</v>
      </c>
      <c r="D224">
        <v>99.810454545454604</v>
      </c>
      <c r="E224">
        <v>7078.9090909090901</v>
      </c>
      <c r="F224">
        <v>889.59545454545446</v>
      </c>
      <c r="G224">
        <v>60.8</v>
      </c>
      <c r="H224">
        <v>10.27</v>
      </c>
      <c r="I224">
        <v>10.5</v>
      </c>
      <c r="J224">
        <v>7.9828571428571422</v>
      </c>
      <c r="K224">
        <v>27774.772727272728</v>
      </c>
      <c r="L224">
        <v>92.006521739130434</v>
      </c>
      <c r="M224">
        <v>87.255652173913035</v>
      </c>
      <c r="N224">
        <v>93.002608695652171</v>
      </c>
      <c r="O224">
        <v>373.80434782608694</v>
      </c>
      <c r="P224">
        <v>1583.304347826087</v>
      </c>
      <c r="Q224">
        <v>15.961136363636365</v>
      </c>
      <c r="R224">
        <v>90.754927536231904</v>
      </c>
      <c r="S224">
        <v>154.44746791166693</v>
      </c>
      <c r="T224">
        <v>108.70679203024839</v>
      </c>
    </row>
    <row r="225" spans="1:20">
      <c r="A225" t="s">
        <v>334</v>
      </c>
      <c r="B225">
        <v>2784.8928571428573</v>
      </c>
      <c r="C225">
        <v>141.88775510204101</v>
      </c>
      <c r="D225">
        <v>113.21952380952401</v>
      </c>
      <c r="E225">
        <v>7941.1428571428596</v>
      </c>
      <c r="F225">
        <v>922.29761904761904</v>
      </c>
      <c r="G225">
        <v>60.8</v>
      </c>
      <c r="H225">
        <v>10.27</v>
      </c>
      <c r="I225">
        <v>10.75</v>
      </c>
      <c r="J225">
        <v>8.5455000000000005</v>
      </c>
      <c r="K225">
        <v>28064.952380952382</v>
      </c>
      <c r="L225">
        <v>94.818571428571431</v>
      </c>
      <c r="M225">
        <v>89.423809523809553</v>
      </c>
      <c r="N225">
        <v>95.389523809523808</v>
      </c>
      <c r="O225">
        <v>468.88095238095241</v>
      </c>
      <c r="P225">
        <v>1999.6666666666667</v>
      </c>
      <c r="Q225">
        <v>17.56904761904762</v>
      </c>
      <c r="R225">
        <v>93.210634920634931</v>
      </c>
      <c r="S225">
        <v>161.36855941818695</v>
      </c>
      <c r="T225">
        <v>113.95282459371958</v>
      </c>
    </row>
    <row r="226" spans="1:20">
      <c r="A226" t="s">
        <v>335</v>
      </c>
      <c r="B226">
        <v>3012.0526315789475</v>
      </c>
      <c r="C226">
        <v>137.76315789473699</v>
      </c>
      <c r="D226">
        <v>113.023684210526</v>
      </c>
      <c r="E226">
        <v>8434.3157894736796</v>
      </c>
      <c r="F226">
        <v>968.43421052631584</v>
      </c>
      <c r="G226">
        <v>60.8</v>
      </c>
      <c r="H226">
        <v>10.27</v>
      </c>
      <c r="I226">
        <v>10.63</v>
      </c>
      <c r="J226">
        <v>9.4109999999999978</v>
      </c>
      <c r="K226">
        <v>31093.052631578947</v>
      </c>
      <c r="L226">
        <v>103.12285714285711</v>
      </c>
      <c r="M226">
        <v>96.649047619047607</v>
      </c>
      <c r="N226">
        <v>105.3447619047619</v>
      </c>
      <c r="O226">
        <v>483.14285714285717</v>
      </c>
      <c r="P226">
        <v>2025.1904761904761</v>
      </c>
      <c r="Q226">
        <v>19.505526315789471</v>
      </c>
      <c r="R226">
        <v>101.70555555555555</v>
      </c>
      <c r="S226">
        <v>171.38032864418909</v>
      </c>
      <c r="T226">
        <v>119.45768525581845</v>
      </c>
    </row>
    <row r="227" spans="1:20">
      <c r="A227" t="s">
        <v>336</v>
      </c>
      <c r="B227">
        <v>2968.0340909090901</v>
      </c>
      <c r="C227">
        <v>131.737012987013</v>
      </c>
      <c r="D227">
        <v>108.066363636364</v>
      </c>
      <c r="E227">
        <v>8714.1818181818198</v>
      </c>
      <c r="F227">
        <v>909.7045454545455</v>
      </c>
      <c r="G227">
        <v>60.8</v>
      </c>
      <c r="H227">
        <v>11.9</v>
      </c>
      <c r="I227">
        <v>11.48</v>
      </c>
      <c r="J227">
        <v>10.18</v>
      </c>
      <c r="K227">
        <v>28776.81818181818</v>
      </c>
      <c r="L227">
        <v>110.18863636363636</v>
      </c>
      <c r="M227">
        <v>103.46863636363638</v>
      </c>
      <c r="N227">
        <v>112.61863636363637</v>
      </c>
      <c r="O227">
        <v>445.86363636363637</v>
      </c>
      <c r="P227">
        <v>1988.409090909091</v>
      </c>
      <c r="Q227">
        <v>17.5</v>
      </c>
      <c r="R227">
        <v>108.75863636363637</v>
      </c>
      <c r="S227">
        <v>177.8341085551551</v>
      </c>
      <c r="T227">
        <v>119.81865853867414</v>
      </c>
    </row>
    <row r="228" spans="1:20">
      <c r="A228" t="s">
        <v>337</v>
      </c>
      <c r="B228">
        <v>2908.2775000000001</v>
      </c>
      <c r="C228">
        <v>143.075892857143</v>
      </c>
      <c r="D228">
        <v>116.4525</v>
      </c>
      <c r="E228">
        <v>8356.125</v>
      </c>
      <c r="F228">
        <v>888.66250000000002</v>
      </c>
      <c r="G228">
        <v>60.8</v>
      </c>
      <c r="H228">
        <v>11.9</v>
      </c>
      <c r="I228">
        <v>12.3</v>
      </c>
      <c r="J228">
        <v>11.267619047619045</v>
      </c>
      <c r="K228">
        <v>25656.5</v>
      </c>
      <c r="L228">
        <v>123.49454545454546</v>
      </c>
      <c r="M228">
        <v>118.94863636363635</v>
      </c>
      <c r="N228">
        <v>125.65545454545453</v>
      </c>
      <c r="O228">
        <v>434.93181818181819</v>
      </c>
      <c r="P228">
        <v>2052.4545454545455</v>
      </c>
      <c r="Q228">
        <v>17.051500000000001</v>
      </c>
      <c r="R228">
        <v>122.69954545454549</v>
      </c>
      <c r="S228">
        <v>189.88905867276713</v>
      </c>
      <c r="T228">
        <v>122.03133872741347</v>
      </c>
    </row>
    <row r="229" spans="1:20">
      <c r="A229" t="s">
        <v>338</v>
      </c>
      <c r="B229">
        <v>2967.8690476190477</v>
      </c>
      <c r="C229">
        <v>166.98979591836701</v>
      </c>
      <c r="D229">
        <v>139.10142857142901</v>
      </c>
      <c r="E229">
        <v>8292</v>
      </c>
      <c r="F229">
        <v>889.48809523809518</v>
      </c>
      <c r="G229">
        <v>60.8</v>
      </c>
      <c r="H229">
        <v>11.9</v>
      </c>
      <c r="I229">
        <v>13.31</v>
      </c>
      <c r="J229">
        <v>12.682380952380951</v>
      </c>
      <c r="K229">
        <v>22562.571428571428</v>
      </c>
      <c r="L229">
        <v>133.04857142857148</v>
      </c>
      <c r="M229">
        <v>127.58761904761906</v>
      </c>
      <c r="N229">
        <v>133.92714285714288</v>
      </c>
      <c r="O229">
        <v>449.57142857142856</v>
      </c>
      <c r="P229">
        <v>2039.2380952380952</v>
      </c>
      <c r="Q229">
        <v>16.969047619047618</v>
      </c>
      <c r="R229">
        <v>131.52111111111111</v>
      </c>
      <c r="S229">
        <v>199.57009020007578</v>
      </c>
      <c r="T229">
        <v>124.85010634858104</v>
      </c>
    </row>
    <row r="230" spans="1:20">
      <c r="A230" t="s">
        <v>339</v>
      </c>
      <c r="B230">
        <v>3067.45652173913</v>
      </c>
      <c r="C230">
        <v>195.18633540372701</v>
      </c>
      <c r="D230">
        <v>167.02043478260899</v>
      </c>
      <c r="E230">
        <v>8407.0217391304304</v>
      </c>
      <c r="F230">
        <v>939.77173913043475</v>
      </c>
      <c r="G230">
        <v>60.8</v>
      </c>
      <c r="H230">
        <v>14.36</v>
      </c>
      <c r="I230">
        <v>14.08</v>
      </c>
      <c r="J230">
        <v>11.08363636363636</v>
      </c>
      <c r="K230">
        <v>20106.956521739132</v>
      </c>
      <c r="L230">
        <v>133.89913043478256</v>
      </c>
      <c r="M230">
        <v>131.22478260869565</v>
      </c>
      <c r="N230">
        <v>133.89565217391302</v>
      </c>
      <c r="O230">
        <v>426.30434782608694</v>
      </c>
      <c r="P230">
        <v>1904.4347826086957</v>
      </c>
      <c r="Q230">
        <v>18.033913043478261</v>
      </c>
      <c r="R230">
        <v>133.00652173913045</v>
      </c>
      <c r="S230">
        <v>202.7982419901596</v>
      </c>
      <c r="T230">
        <v>124.28353753651147</v>
      </c>
    </row>
    <row r="231" spans="1:20">
      <c r="A231" t="s">
        <v>340</v>
      </c>
      <c r="B231">
        <v>2762.56</v>
      </c>
      <c r="C231">
        <v>173.30357142857099</v>
      </c>
      <c r="D231">
        <v>156.66499999999999</v>
      </c>
      <c r="E231">
        <v>7633.8</v>
      </c>
      <c r="F231">
        <v>839.02499999999998</v>
      </c>
      <c r="G231">
        <v>60.8</v>
      </c>
      <c r="H231">
        <v>14.36</v>
      </c>
      <c r="I231">
        <v>13.81</v>
      </c>
      <c r="J231">
        <v>8.2514285714285709</v>
      </c>
      <c r="K231">
        <v>19111.8</v>
      </c>
      <c r="L231">
        <v>113.8504761904762</v>
      </c>
      <c r="M231">
        <v>113.21095238095239</v>
      </c>
      <c r="N231">
        <v>116.64047619047622</v>
      </c>
      <c r="O231">
        <v>314.23809523809524</v>
      </c>
      <c r="P231">
        <v>1485.547619047619</v>
      </c>
      <c r="Q231">
        <v>14.685749999999999</v>
      </c>
      <c r="R231">
        <v>114.56730158730159</v>
      </c>
      <c r="S231">
        <v>181.09992094117757</v>
      </c>
      <c r="T231">
        <v>114.76682658715519</v>
      </c>
    </row>
    <row r="232" spans="1:20">
      <c r="A232" t="s">
        <v>341</v>
      </c>
      <c r="B232">
        <v>2524.1477272727275</v>
      </c>
      <c r="C232">
        <v>164.498376623377</v>
      </c>
      <c r="D232">
        <v>151.516818181818</v>
      </c>
      <c r="E232">
        <v>6975.1136363636397</v>
      </c>
      <c r="F232">
        <v>829.93181818181813</v>
      </c>
      <c r="G232">
        <v>60.8</v>
      </c>
      <c r="H232">
        <v>14.36</v>
      </c>
      <c r="I232">
        <v>12.6</v>
      </c>
      <c r="J232">
        <v>7.6210526315789462</v>
      </c>
      <c r="K232">
        <v>17781.863636363636</v>
      </c>
      <c r="L232">
        <v>99.064545454545453</v>
      </c>
      <c r="M232">
        <v>95.969545454545454</v>
      </c>
      <c r="N232">
        <v>104.46045454545455</v>
      </c>
      <c r="O232">
        <v>247.90909090909091</v>
      </c>
      <c r="P232">
        <v>1223.1818181818182</v>
      </c>
      <c r="Q232">
        <v>12.372954545454546</v>
      </c>
      <c r="R232">
        <v>99.831515151515134</v>
      </c>
      <c r="S232">
        <v>165.91767483246463</v>
      </c>
      <c r="T232">
        <v>106.98236803401105</v>
      </c>
    </row>
    <row r="233" spans="1:20">
      <c r="A233" t="s">
        <v>342</v>
      </c>
      <c r="B233">
        <v>2122.0282608695652</v>
      </c>
      <c r="C233">
        <v>119.36645962732899</v>
      </c>
      <c r="D233">
        <v>115.218260869565</v>
      </c>
      <c r="E233">
        <v>4894.8913043478296</v>
      </c>
      <c r="F233">
        <v>806.61956521739125</v>
      </c>
      <c r="G233">
        <v>60.8</v>
      </c>
      <c r="H233">
        <v>16.02</v>
      </c>
      <c r="I233">
        <v>13.15</v>
      </c>
      <c r="J233">
        <v>6.7360869565217394</v>
      </c>
      <c r="K233">
        <v>12144.869565217399</v>
      </c>
      <c r="L233">
        <v>72.842608695652174</v>
      </c>
      <c r="M233">
        <v>68.620869565217376</v>
      </c>
      <c r="N233">
        <v>76.614782608695663</v>
      </c>
      <c r="O233">
        <v>190.7391304347826</v>
      </c>
      <c r="P233">
        <v>912.56521739130437</v>
      </c>
      <c r="Q233">
        <v>10.441304347826087</v>
      </c>
      <c r="R233">
        <v>72.692753623188409</v>
      </c>
      <c r="S233">
        <v>135.64244962987308</v>
      </c>
      <c r="T233">
        <v>94.016711382411344</v>
      </c>
    </row>
    <row r="234" spans="1:20">
      <c r="A234" t="s">
        <v>343</v>
      </c>
      <c r="B234">
        <v>1857.13</v>
      </c>
      <c r="C234">
        <v>101.382321428571</v>
      </c>
      <c r="D234">
        <v>92.968000000000004</v>
      </c>
      <c r="E234">
        <v>3729.1875</v>
      </c>
      <c r="F234">
        <v>760.86249999999995</v>
      </c>
      <c r="G234">
        <v>60.8</v>
      </c>
      <c r="H234">
        <v>16.02</v>
      </c>
      <c r="I234">
        <v>9.1</v>
      </c>
      <c r="J234">
        <v>6.6966666666666663</v>
      </c>
      <c r="K234">
        <v>10776.5</v>
      </c>
      <c r="L234">
        <v>53.241499999999995</v>
      </c>
      <c r="M234">
        <v>51.383500000000005</v>
      </c>
      <c r="N234">
        <v>57.15100000000001</v>
      </c>
      <c r="O234">
        <v>207.42500000000001</v>
      </c>
      <c r="P234">
        <v>840.3</v>
      </c>
      <c r="Q234">
        <v>9.8652499999999996</v>
      </c>
      <c r="R234">
        <v>53.925333333333342</v>
      </c>
      <c r="S234">
        <v>115.07584016152877</v>
      </c>
      <c r="T234">
        <v>88.265262039617809</v>
      </c>
    </row>
    <row r="235" spans="1:20">
      <c r="A235" t="s">
        <v>344</v>
      </c>
      <c r="B235">
        <v>1504.4166666666667</v>
      </c>
      <c r="C235">
        <v>82.608673469387696</v>
      </c>
      <c r="D235">
        <v>75.828571428571394</v>
      </c>
      <c r="E235">
        <v>3105.0952380952399</v>
      </c>
      <c r="F235">
        <v>816.09210526315792</v>
      </c>
      <c r="G235">
        <v>69.982608695652161</v>
      </c>
      <c r="H235">
        <v>16.02</v>
      </c>
      <c r="I235">
        <v>7.38</v>
      </c>
      <c r="J235">
        <v>5.8361904761904766</v>
      </c>
      <c r="K235">
        <v>9846.9285714285706</v>
      </c>
      <c r="L235">
        <v>41.253043478260864</v>
      </c>
      <c r="M235">
        <v>40.807391304347831</v>
      </c>
      <c r="N235">
        <v>40.648695652173913</v>
      </c>
      <c r="O235">
        <v>175.63043478260869</v>
      </c>
      <c r="P235">
        <v>839.695652173913</v>
      </c>
      <c r="Q235">
        <v>10.285238095238096</v>
      </c>
      <c r="R235">
        <v>40.903043478260869</v>
      </c>
      <c r="S235">
        <v>102.51367594778738</v>
      </c>
      <c r="T235">
        <v>87.855813890906276</v>
      </c>
    </row>
    <row r="236" spans="1:20">
      <c r="A236" t="s">
        <v>345</v>
      </c>
      <c r="B236">
        <v>1420.3595238095238</v>
      </c>
      <c r="C236">
        <v>85.561734693877497</v>
      </c>
      <c r="D236">
        <v>76.361904761904796</v>
      </c>
      <c r="E236">
        <v>3260.3571428571427</v>
      </c>
      <c r="F236">
        <v>858.69047619047615</v>
      </c>
      <c r="G236">
        <v>72.509090909090915</v>
      </c>
      <c r="H236">
        <v>16.02</v>
      </c>
      <c r="I236">
        <v>6.03</v>
      </c>
      <c r="J236">
        <v>5.2329999999999997</v>
      </c>
      <c r="K236">
        <v>11562.952380952382</v>
      </c>
      <c r="L236">
        <v>44.719090909090916</v>
      </c>
      <c r="M236">
        <v>44.605909090909094</v>
      </c>
      <c r="N236">
        <v>41.630909090909078</v>
      </c>
      <c r="O236">
        <v>187.45454545454547</v>
      </c>
      <c r="P236">
        <v>947.40909090909088</v>
      </c>
      <c r="Q236">
        <v>11.291428571428572</v>
      </c>
      <c r="R236">
        <v>43.651969696969708</v>
      </c>
      <c r="S236">
        <v>105.37048789197452</v>
      </c>
      <c r="T236">
        <v>88.878125134888819</v>
      </c>
    </row>
    <row r="237" spans="1:20">
      <c r="A237" t="s">
        <v>346</v>
      </c>
      <c r="B237">
        <v>1338.0625</v>
      </c>
      <c r="C237">
        <v>80.822678571428497</v>
      </c>
      <c r="D237">
        <v>72.093000000000004</v>
      </c>
      <c r="E237">
        <v>3328.4124999999999</v>
      </c>
      <c r="F237">
        <v>943.16250000000002</v>
      </c>
      <c r="G237">
        <v>75.589999999999989</v>
      </c>
      <c r="H237">
        <v>14.47</v>
      </c>
      <c r="I237">
        <v>5.83</v>
      </c>
      <c r="J237">
        <v>4.505789473684211</v>
      </c>
      <c r="K237">
        <v>10410.75</v>
      </c>
      <c r="L237">
        <v>43.2425</v>
      </c>
      <c r="M237">
        <v>43.137999999999998</v>
      </c>
      <c r="N237">
        <v>39.0685</v>
      </c>
      <c r="O237">
        <v>205.7</v>
      </c>
      <c r="P237">
        <v>1033.25</v>
      </c>
      <c r="Q237">
        <v>13.4125</v>
      </c>
      <c r="R237">
        <v>41.816333333333333</v>
      </c>
      <c r="S237">
        <v>101.63659158471214</v>
      </c>
      <c r="T237">
        <v>85.039441215754252</v>
      </c>
    </row>
    <row r="238" spans="1:20">
      <c r="A238" t="s">
        <v>347</v>
      </c>
      <c r="B238">
        <v>1338.0795454545455</v>
      </c>
      <c r="C238">
        <v>65.452110389610297</v>
      </c>
      <c r="D238">
        <v>58.447727272727299</v>
      </c>
      <c r="E238">
        <v>3770.875</v>
      </c>
      <c r="F238">
        <v>924.27272727272725</v>
      </c>
      <c r="G238">
        <v>64.072727272727278</v>
      </c>
      <c r="H238">
        <v>11.47</v>
      </c>
      <c r="I238">
        <v>6.25</v>
      </c>
      <c r="J238">
        <v>3.9577272727272739</v>
      </c>
      <c r="K238">
        <v>9710.7272727272702</v>
      </c>
      <c r="L238">
        <v>46.839090909090899</v>
      </c>
      <c r="M238">
        <v>45.5759090909091</v>
      </c>
      <c r="N238">
        <v>47.975454545454546</v>
      </c>
      <c r="O238">
        <v>202.34090909090909</v>
      </c>
      <c r="P238">
        <v>1081.7727272727273</v>
      </c>
      <c r="Q238">
        <v>13.116818181818182</v>
      </c>
      <c r="R238">
        <v>46.796818181818168</v>
      </c>
      <c r="S238">
        <v>101.65745912545832</v>
      </c>
      <c r="T238">
        <v>86.548451028439914</v>
      </c>
    </row>
    <row r="239" spans="1:20">
      <c r="A239" t="s">
        <v>348</v>
      </c>
      <c r="B239">
        <v>1431.8125</v>
      </c>
      <c r="C239">
        <v>66.2705357142857</v>
      </c>
      <c r="D239">
        <v>62.611499999999999</v>
      </c>
      <c r="E239">
        <v>4436.9250000000002</v>
      </c>
      <c r="F239">
        <v>890.2</v>
      </c>
      <c r="G239">
        <v>59.781818181818153</v>
      </c>
      <c r="H239">
        <v>8.6</v>
      </c>
      <c r="I239">
        <v>6.47</v>
      </c>
      <c r="J239">
        <v>3.494761904761905</v>
      </c>
      <c r="K239">
        <v>11331.6</v>
      </c>
      <c r="L239">
        <v>50.983181818181812</v>
      </c>
      <c r="M239">
        <v>50.258181818181818</v>
      </c>
      <c r="N239">
        <v>49.919545454545457</v>
      </c>
      <c r="O239">
        <v>226.72727272727272</v>
      </c>
      <c r="P239">
        <v>1165.4545454545455</v>
      </c>
      <c r="Q239">
        <v>12.514750000000001</v>
      </c>
      <c r="R239">
        <v>50.386969696969693</v>
      </c>
      <c r="S239">
        <v>103.8679049992774</v>
      </c>
      <c r="T239">
        <v>92.763878301763427</v>
      </c>
    </row>
    <row r="240" spans="1:20">
      <c r="A240" t="s">
        <v>349</v>
      </c>
      <c r="B240">
        <v>1466.671052631579</v>
      </c>
      <c r="C240">
        <v>67.0150375939849</v>
      </c>
      <c r="D240">
        <v>57.804736842105299</v>
      </c>
      <c r="E240">
        <v>4591.4605263157891</v>
      </c>
      <c r="F240">
        <v>928.64473684210532</v>
      </c>
      <c r="G240">
        <v>62.690476190476204</v>
      </c>
      <c r="H240">
        <v>8.6</v>
      </c>
      <c r="I240">
        <v>6.79</v>
      </c>
      <c r="J240">
        <v>3.8314999999999997</v>
      </c>
      <c r="K240">
        <v>12720.078947368422</v>
      </c>
      <c r="L240">
        <v>57.941428571428574</v>
      </c>
      <c r="M240">
        <v>57.395714285714298</v>
      </c>
      <c r="N240">
        <v>59.215238095238085</v>
      </c>
      <c r="O240">
        <v>229.14285714285714</v>
      </c>
      <c r="P240">
        <v>1128.6666666666667</v>
      </c>
      <c r="Q240">
        <v>14.028947368421051</v>
      </c>
      <c r="R240">
        <v>58.184126984126969</v>
      </c>
      <c r="S240">
        <v>112.43200796920448</v>
      </c>
      <c r="T240">
        <v>99.234529810248546</v>
      </c>
    </row>
    <row r="241" spans="1:20">
      <c r="A241" t="s">
        <v>350</v>
      </c>
      <c r="B241">
        <v>1579.6272727272728</v>
      </c>
      <c r="C241">
        <v>75.8133116883116</v>
      </c>
      <c r="D241">
        <v>60.135909090909102</v>
      </c>
      <c r="E241">
        <v>5015.431818181818</v>
      </c>
      <c r="F241">
        <v>945.6704545454545</v>
      </c>
      <c r="G241">
        <v>71.659090909090921</v>
      </c>
      <c r="H241">
        <v>8.6</v>
      </c>
      <c r="I241">
        <v>6.97</v>
      </c>
      <c r="J241">
        <v>3.8</v>
      </c>
      <c r="K241">
        <v>14944.363636363636</v>
      </c>
      <c r="L241">
        <v>68.616818181818175</v>
      </c>
      <c r="M241">
        <v>69.210909090909098</v>
      </c>
      <c r="N241">
        <v>69.621363636363654</v>
      </c>
      <c r="O241">
        <v>245.47727272727272</v>
      </c>
      <c r="P241">
        <v>1217.8636363636363</v>
      </c>
      <c r="Q241">
        <v>14.654318181818184</v>
      </c>
      <c r="R241">
        <v>69.149696969696961</v>
      </c>
      <c r="S241">
        <v>121.52928712766742</v>
      </c>
      <c r="T241">
        <v>97.722408369679115</v>
      </c>
    </row>
    <row r="242" spans="1:20">
      <c r="A242" t="s">
        <v>351</v>
      </c>
      <c r="B242">
        <v>1670.5565217391306</v>
      </c>
      <c r="C242">
        <v>77.620341614906806</v>
      </c>
      <c r="D242">
        <v>60.69</v>
      </c>
      <c r="E242">
        <v>5228.413043478261</v>
      </c>
      <c r="F242">
        <v>934.22826086956525</v>
      </c>
      <c r="G242">
        <v>83.952173913043481</v>
      </c>
      <c r="H242">
        <v>6.79</v>
      </c>
      <c r="I242">
        <v>8.0500000000000007</v>
      </c>
      <c r="J242">
        <v>3.3813636363636363</v>
      </c>
      <c r="K242">
        <v>16017.391304347826</v>
      </c>
      <c r="L242">
        <v>64.91</v>
      </c>
      <c r="M242">
        <v>64.969565217391306</v>
      </c>
      <c r="N242">
        <v>64.233913043478253</v>
      </c>
      <c r="O242">
        <v>248.63043478260869</v>
      </c>
      <c r="P242">
        <v>1162.2608695652175</v>
      </c>
      <c r="Q242">
        <v>13.361739130434783</v>
      </c>
      <c r="R242">
        <v>64.704492753623185</v>
      </c>
      <c r="S242">
        <v>117.0443369991788</v>
      </c>
      <c r="T242">
        <v>93.940238202856136</v>
      </c>
    </row>
    <row r="243" spans="1:20">
      <c r="A243" t="s">
        <v>352</v>
      </c>
      <c r="B243">
        <v>1927.6375</v>
      </c>
      <c r="C243">
        <v>77.882142857142796</v>
      </c>
      <c r="D243">
        <v>64.143500000000003</v>
      </c>
      <c r="E243">
        <v>6176.875</v>
      </c>
      <c r="F243">
        <v>949.375</v>
      </c>
      <c r="G243">
        <v>97.666666666666671</v>
      </c>
      <c r="H243">
        <v>6.18</v>
      </c>
      <c r="I243">
        <v>8.48</v>
      </c>
      <c r="J243">
        <v>3.1390476190476191</v>
      </c>
      <c r="K243">
        <v>19375.924999999999</v>
      </c>
      <c r="L243">
        <v>72.504761904761907</v>
      </c>
      <c r="M243">
        <v>71.324285714285693</v>
      </c>
      <c r="N243">
        <v>71.06</v>
      </c>
      <c r="O243">
        <v>276.59523809523807</v>
      </c>
      <c r="P243">
        <v>1244.5714285714287</v>
      </c>
      <c r="Q243">
        <v>14.3475</v>
      </c>
      <c r="R243">
        <v>71.629682539682506</v>
      </c>
      <c r="S243">
        <v>123.64496695409504</v>
      </c>
      <c r="T243">
        <v>92.284992127420296</v>
      </c>
    </row>
    <row r="244" spans="1:20">
      <c r="A244" t="s">
        <v>353</v>
      </c>
      <c r="B244">
        <v>1835.5977272727273</v>
      </c>
      <c r="C244">
        <v>73.149350649350595</v>
      </c>
      <c r="D244">
        <v>61.439545454545502</v>
      </c>
      <c r="E244">
        <v>6195.75</v>
      </c>
      <c r="F244">
        <v>996.59090909090912</v>
      </c>
      <c r="G244">
        <v>80.713636363636368</v>
      </c>
      <c r="H244">
        <v>6.18</v>
      </c>
      <c r="I244">
        <v>8.5500000000000007</v>
      </c>
      <c r="J244">
        <v>2.9861904761904761</v>
      </c>
      <c r="K244">
        <v>17404.636363636364</v>
      </c>
      <c r="L244">
        <v>67.687272727272727</v>
      </c>
      <c r="M244">
        <v>67.908181818181802</v>
      </c>
      <c r="N244">
        <v>69.37863636363636</v>
      </c>
      <c r="O244">
        <v>293.31818181818181</v>
      </c>
      <c r="P244">
        <v>1288.7045454545455</v>
      </c>
      <c r="Q244">
        <v>16.389545454545456</v>
      </c>
      <c r="R244">
        <v>68.324696969696959</v>
      </c>
      <c r="S244">
        <v>120.10171736507286</v>
      </c>
      <c r="T244">
        <v>90.719112328075511</v>
      </c>
    </row>
    <row r="245" spans="1:20">
      <c r="A245" t="s">
        <v>354</v>
      </c>
      <c r="B245">
        <v>1875.6636363636362</v>
      </c>
      <c r="C245">
        <v>75.703733766233697</v>
      </c>
      <c r="D245">
        <v>63.98</v>
      </c>
      <c r="E245">
        <v>6305.9886363636397</v>
      </c>
      <c r="F245">
        <v>1043.159090909091</v>
      </c>
      <c r="G245">
        <v>86.786363636363632</v>
      </c>
      <c r="H245">
        <v>6.45</v>
      </c>
      <c r="I245">
        <v>8.75</v>
      </c>
      <c r="J245">
        <v>3.9990909090909104</v>
      </c>
      <c r="K245">
        <v>18489.477272727272</v>
      </c>
      <c r="L245">
        <v>73.194090909090903</v>
      </c>
      <c r="M245">
        <v>73.275454545454494</v>
      </c>
      <c r="N245">
        <v>75.772272727272707</v>
      </c>
      <c r="O245">
        <v>322.06818181818181</v>
      </c>
      <c r="P245">
        <v>1332.7727272727273</v>
      </c>
      <c r="Q245">
        <v>17.236136363636362</v>
      </c>
      <c r="R245">
        <v>74.080606060606002</v>
      </c>
      <c r="S245">
        <v>127.5579091610109</v>
      </c>
      <c r="T245">
        <v>93.482796753396954</v>
      </c>
    </row>
    <row r="246" spans="1:20">
      <c r="A246" t="s">
        <v>355</v>
      </c>
      <c r="B246">
        <v>1956.5476190476199</v>
      </c>
      <c r="C246">
        <v>82.265306122448905</v>
      </c>
      <c r="D246">
        <v>66.115714285714304</v>
      </c>
      <c r="E246">
        <v>6682.4404761904798</v>
      </c>
      <c r="F246">
        <v>1127.0357142857142</v>
      </c>
      <c r="G246">
        <v>99.257142857142867</v>
      </c>
      <c r="H246">
        <v>6.45</v>
      </c>
      <c r="I246">
        <v>8.56</v>
      </c>
      <c r="J246">
        <v>3.676842105263157</v>
      </c>
      <c r="K246">
        <v>16911.333333333332</v>
      </c>
      <c r="L246">
        <v>77.036666666666605</v>
      </c>
      <c r="M246">
        <v>77.625238095238103</v>
      </c>
      <c r="N246">
        <v>77.950476190476181</v>
      </c>
      <c r="O246">
        <v>351.8095238095238</v>
      </c>
      <c r="P246">
        <v>1400.6190476190477</v>
      </c>
      <c r="Q246">
        <v>17.821309523809525</v>
      </c>
      <c r="R246">
        <v>77.537460317460315</v>
      </c>
      <c r="S246">
        <v>132.46017097885013</v>
      </c>
      <c r="T246">
        <v>96.122942323724018</v>
      </c>
    </row>
    <row r="247" spans="1:20">
      <c r="A247" t="s">
        <v>356</v>
      </c>
      <c r="B247">
        <v>2181.2571428571428</v>
      </c>
      <c r="C247">
        <v>86.359693877550896</v>
      </c>
      <c r="D247">
        <v>70.883809523809504</v>
      </c>
      <c r="E247">
        <v>6976.9761904761899</v>
      </c>
      <c r="F247">
        <v>1134.7236842105262</v>
      </c>
      <c r="G247">
        <v>105.24782608695654</v>
      </c>
      <c r="H247">
        <v>6.45</v>
      </c>
      <c r="I247">
        <v>9.16</v>
      </c>
      <c r="J247">
        <v>5.3436363636363646</v>
      </c>
      <c r="K247">
        <v>17121.619047619046</v>
      </c>
      <c r="L247">
        <v>74.7</v>
      </c>
      <c r="M247">
        <v>75.466521739130442</v>
      </c>
      <c r="N247">
        <v>74.603043478260858</v>
      </c>
      <c r="O247">
        <v>370.95652173913044</v>
      </c>
      <c r="P247">
        <v>1437.4782608695652</v>
      </c>
      <c r="Q247">
        <v>17.672857142857143</v>
      </c>
      <c r="R247">
        <v>74.923188405797106</v>
      </c>
      <c r="S247">
        <v>135.0917946224809</v>
      </c>
      <c r="T247">
        <v>97.692902178017661</v>
      </c>
    </row>
    <row r="248" spans="1:20">
      <c r="A248" t="s">
        <v>357</v>
      </c>
      <c r="B248">
        <v>2230.1125000000002</v>
      </c>
      <c r="C248">
        <v>100.14375</v>
      </c>
      <c r="D248">
        <v>86.153000000000006</v>
      </c>
      <c r="E248">
        <v>7367.375</v>
      </c>
      <c r="F248">
        <v>1117.9625000000001</v>
      </c>
      <c r="G248">
        <v>125.91428571428573</v>
      </c>
      <c r="H248">
        <v>7.59</v>
      </c>
      <c r="I248">
        <v>9.34</v>
      </c>
      <c r="J248">
        <v>5.8242105263157899</v>
      </c>
      <c r="K248">
        <v>18405.55</v>
      </c>
      <c r="L248">
        <v>76.412380952380971</v>
      </c>
      <c r="M248">
        <v>76.71380952380953</v>
      </c>
      <c r="N248">
        <v>78.386190476190478</v>
      </c>
      <c r="O248">
        <v>432.14285714285717</v>
      </c>
      <c r="P248">
        <v>1557.9047619047619</v>
      </c>
      <c r="Q248">
        <v>17.787000000000003</v>
      </c>
      <c r="R248">
        <v>77.170793650793641</v>
      </c>
      <c r="S248">
        <v>140.87935626457153</v>
      </c>
      <c r="T248">
        <v>98.518393838532972</v>
      </c>
    </row>
    <row r="249" spans="1:20">
      <c r="A249" t="s">
        <v>358</v>
      </c>
      <c r="B249">
        <v>2053.27</v>
      </c>
      <c r="C249">
        <v>98.158928571428405</v>
      </c>
      <c r="D249">
        <v>82.775000000000006</v>
      </c>
      <c r="E249">
        <v>6867.6750000000002</v>
      </c>
      <c r="F249">
        <v>1095.4124999999999</v>
      </c>
      <c r="G249">
        <v>127.61500000000001</v>
      </c>
      <c r="H249">
        <v>7.59</v>
      </c>
      <c r="I249">
        <v>9.01</v>
      </c>
      <c r="J249">
        <v>5.3152631578947371</v>
      </c>
      <c r="K249">
        <v>19060.55</v>
      </c>
      <c r="L249">
        <v>74.312000000000012</v>
      </c>
      <c r="M249">
        <v>73.553500000000014</v>
      </c>
      <c r="N249">
        <v>76.299000000000007</v>
      </c>
      <c r="O249">
        <v>425.75</v>
      </c>
      <c r="P249">
        <v>1520.35</v>
      </c>
      <c r="Q249">
        <v>15.873000000000001</v>
      </c>
      <c r="R249">
        <v>74.721499999999978</v>
      </c>
      <c r="S249">
        <v>137.55381992920164</v>
      </c>
      <c r="T249">
        <v>98.346200068742576</v>
      </c>
    </row>
    <row r="250" spans="1:20">
      <c r="A250" t="s">
        <v>359</v>
      </c>
      <c r="B250">
        <v>2210.5304347826086</v>
      </c>
      <c r="C250">
        <v>100.09937888198699</v>
      </c>
      <c r="D250">
        <v>83.046086956521705</v>
      </c>
      <c r="E250">
        <v>7466.934782608696</v>
      </c>
      <c r="F250">
        <v>1113.3369565217392</v>
      </c>
      <c r="G250">
        <v>139.76956521739129</v>
      </c>
      <c r="H250">
        <v>7.59</v>
      </c>
      <c r="I250">
        <v>9.17</v>
      </c>
      <c r="J250">
        <v>4.2908695652173909</v>
      </c>
      <c r="K250">
        <v>22467.17391304348</v>
      </c>
      <c r="L250">
        <v>79.274782608695631</v>
      </c>
      <c r="M250">
        <v>77.367826086956526</v>
      </c>
      <c r="N250">
        <v>81.250434782608721</v>
      </c>
      <c r="O250">
        <v>461.45652173913044</v>
      </c>
      <c r="P250">
        <v>1599.4347826086957</v>
      </c>
      <c r="Q250">
        <v>17.106086956521739</v>
      </c>
      <c r="R250">
        <v>79.297681159420293</v>
      </c>
      <c r="S250">
        <v>142.13445703802921</v>
      </c>
      <c r="T250">
        <v>101.25378668256616</v>
      </c>
    </row>
    <row r="251" spans="1:20">
      <c r="A251" t="s">
        <v>360</v>
      </c>
      <c r="B251">
        <v>2314.2775000000001</v>
      </c>
      <c r="C251">
        <v>104.96250000000001</v>
      </c>
      <c r="D251">
        <v>89.560500000000005</v>
      </c>
      <c r="E251">
        <v>7729.8374999999996</v>
      </c>
      <c r="F251">
        <v>1148.6875</v>
      </c>
      <c r="G251">
        <v>172.46818181818185</v>
      </c>
      <c r="H251">
        <v>8.35</v>
      </c>
      <c r="I251">
        <v>9.34</v>
      </c>
      <c r="J251">
        <v>4.032857142857142</v>
      </c>
      <c r="K251">
        <v>26028.5</v>
      </c>
      <c r="L251">
        <v>84.928636363636372</v>
      </c>
      <c r="M251">
        <v>82.984090909090924</v>
      </c>
      <c r="N251">
        <v>84.495454545454564</v>
      </c>
      <c r="O251">
        <v>529.40909090909088</v>
      </c>
      <c r="P251">
        <v>1710.5</v>
      </c>
      <c r="Q251">
        <v>18.099499999999999</v>
      </c>
      <c r="R251">
        <v>84.13606060606061</v>
      </c>
      <c r="S251">
        <v>150.03775279034224</v>
      </c>
      <c r="T251">
        <v>103.79585780162009</v>
      </c>
    </row>
    <row r="252" spans="1:20">
      <c r="A252" t="s">
        <v>361</v>
      </c>
      <c r="B252">
        <v>2044.7105263157894</v>
      </c>
      <c r="C252">
        <v>107.93515037594</v>
      </c>
      <c r="D252">
        <v>90.7221052631579</v>
      </c>
      <c r="E252">
        <v>6843.1578947368425</v>
      </c>
      <c r="F252">
        <v>1205.4342105263158</v>
      </c>
      <c r="G252">
        <v>161.34761904761902</v>
      </c>
      <c r="H252">
        <v>7.87</v>
      </c>
      <c r="I252">
        <v>10.039999999999999</v>
      </c>
      <c r="J252">
        <v>4.1379999999999999</v>
      </c>
      <c r="K252">
        <v>21930</v>
      </c>
      <c r="L252">
        <v>76.250952380952384</v>
      </c>
      <c r="M252">
        <v>76.62</v>
      </c>
      <c r="N252">
        <v>73.741428571428571</v>
      </c>
      <c r="O252">
        <v>490.76190476190476</v>
      </c>
      <c r="P252">
        <v>1624.8571428571429</v>
      </c>
      <c r="Q252">
        <v>18.418421052631576</v>
      </c>
      <c r="R252">
        <v>75.537460317460329</v>
      </c>
      <c r="S252">
        <v>141.22564365962438</v>
      </c>
      <c r="T252">
        <v>100.18706314466569</v>
      </c>
    </row>
    <row r="253" spans="1:20">
      <c r="A253" t="s">
        <v>362</v>
      </c>
      <c r="B253">
        <v>1929.409090909091</v>
      </c>
      <c r="C253">
        <v>104.483766233766</v>
      </c>
      <c r="D253">
        <v>92.68</v>
      </c>
      <c r="E253">
        <v>6501.5</v>
      </c>
      <c r="F253">
        <v>1232.9204545454545</v>
      </c>
      <c r="G253">
        <v>143.63181818181818</v>
      </c>
      <c r="H253">
        <v>8.06</v>
      </c>
      <c r="I253">
        <v>9.2799999999999994</v>
      </c>
      <c r="J253">
        <v>4.8013636363636358</v>
      </c>
      <c r="K253">
        <v>19411.295454545456</v>
      </c>
      <c r="L253">
        <v>74.838181818181823</v>
      </c>
      <c r="M253">
        <v>73.983181818181819</v>
      </c>
      <c r="N253">
        <v>75.353636363636355</v>
      </c>
      <c r="O253">
        <v>462.13636363636363</v>
      </c>
      <c r="P253">
        <v>1553.2272727272727</v>
      </c>
      <c r="Q253">
        <v>18.454772727272726</v>
      </c>
      <c r="R253">
        <v>74.725000000000009</v>
      </c>
      <c r="S253">
        <v>138.30845228998189</v>
      </c>
      <c r="T253">
        <v>96.353390708561477</v>
      </c>
    </row>
    <row r="254" spans="1:20">
      <c r="A254" t="s">
        <v>363</v>
      </c>
      <c r="B254">
        <v>1989.0454545454545</v>
      </c>
      <c r="C254">
        <v>102.86152597402599</v>
      </c>
      <c r="D254">
        <v>90.385000000000005</v>
      </c>
      <c r="E254">
        <v>6750.568181818182</v>
      </c>
      <c r="F254">
        <v>1192.965909090909</v>
      </c>
      <c r="G254">
        <v>126.36363636363636</v>
      </c>
      <c r="H254">
        <v>8.48</v>
      </c>
      <c r="I254">
        <v>9.09</v>
      </c>
      <c r="J254">
        <v>4.6280952380952396</v>
      </c>
      <c r="K254">
        <v>19548.522727272728</v>
      </c>
      <c r="L254">
        <v>74.735454545454544</v>
      </c>
      <c r="M254">
        <v>72.652272727272717</v>
      </c>
      <c r="N254">
        <v>76.159090909090907</v>
      </c>
      <c r="O254">
        <v>455.79545454545456</v>
      </c>
      <c r="P254">
        <v>1525.590909090909</v>
      </c>
      <c r="Q254">
        <v>17.960454545454549</v>
      </c>
      <c r="R254">
        <v>74.515606060606061</v>
      </c>
      <c r="S254">
        <v>138.54506848284709</v>
      </c>
      <c r="T254">
        <v>102.12545867031344</v>
      </c>
    </row>
    <row r="255" spans="1:20">
      <c r="A255" t="s">
        <v>364</v>
      </c>
      <c r="B255">
        <v>2110.4404761904761</v>
      </c>
      <c r="C255">
        <v>96.846938775510097</v>
      </c>
      <c r="D255">
        <v>87.865238095238098</v>
      </c>
      <c r="E255">
        <v>7302.666666666667</v>
      </c>
      <c r="F255">
        <v>1215.8095238095239</v>
      </c>
      <c r="G255">
        <v>145.34090909090909</v>
      </c>
      <c r="H255">
        <v>8.57</v>
      </c>
      <c r="I255">
        <v>8.85</v>
      </c>
      <c r="J255">
        <v>4.3145454545454536</v>
      </c>
      <c r="K255">
        <v>21448.785714285714</v>
      </c>
      <c r="L255">
        <v>76.693181818181813</v>
      </c>
      <c r="M255">
        <v>74.345000000000013</v>
      </c>
      <c r="N255">
        <v>76.601818181818189</v>
      </c>
      <c r="O255">
        <v>488.61363636363637</v>
      </c>
      <c r="P255">
        <v>1540.590909090909</v>
      </c>
      <c r="Q255">
        <v>18.357142857142858</v>
      </c>
      <c r="R255">
        <v>75.879999999999981</v>
      </c>
      <c r="S255">
        <v>142.36278241892896</v>
      </c>
      <c r="T255">
        <v>104.4015206832873</v>
      </c>
    </row>
    <row r="256" spans="1:20">
      <c r="A256" t="s">
        <v>365</v>
      </c>
      <c r="B256">
        <v>2171.2431818181817</v>
      </c>
      <c r="C256">
        <v>100.11720779220801</v>
      </c>
      <c r="D256">
        <v>85.983636363636407</v>
      </c>
      <c r="E256">
        <v>7729.590909090909</v>
      </c>
      <c r="F256">
        <v>1270.9772727272727</v>
      </c>
      <c r="G256">
        <v>140.62727272727273</v>
      </c>
      <c r="H256">
        <v>8.49</v>
      </c>
      <c r="I256">
        <v>8.98</v>
      </c>
      <c r="J256">
        <v>3.8947619047619049</v>
      </c>
      <c r="K256">
        <v>22690.136363636364</v>
      </c>
      <c r="L256">
        <v>77.786818181818177</v>
      </c>
      <c r="M256">
        <v>75.286363636363646</v>
      </c>
      <c r="N256">
        <v>75.260000000000005</v>
      </c>
      <c r="O256">
        <v>538.36363636363637</v>
      </c>
      <c r="P256">
        <v>1591.75</v>
      </c>
      <c r="Q256">
        <v>20.549772727272728</v>
      </c>
      <c r="R256">
        <v>76.111060606060605</v>
      </c>
      <c r="S256">
        <v>145.00311482257237</v>
      </c>
      <c r="T256">
        <v>109.67239266628133</v>
      </c>
    </row>
    <row r="257" spans="1:20">
      <c r="A257" t="s">
        <v>366</v>
      </c>
      <c r="B257">
        <v>2342.1785714285716</v>
      </c>
      <c r="C257">
        <v>103.207142857143</v>
      </c>
      <c r="D257">
        <v>91.823333333333295</v>
      </c>
      <c r="E257">
        <v>8289.7619047619046</v>
      </c>
      <c r="F257">
        <v>1342.0238095238096</v>
      </c>
      <c r="G257">
        <v>148.4809523809524</v>
      </c>
      <c r="H257">
        <v>8.64</v>
      </c>
      <c r="I257">
        <v>9.52</v>
      </c>
      <c r="J257">
        <v>3.433809523809523</v>
      </c>
      <c r="K257">
        <v>23793.678571428572</v>
      </c>
      <c r="L257">
        <v>82.918095238095219</v>
      </c>
      <c r="M257">
        <v>80.340476190476181</v>
      </c>
      <c r="N257">
        <v>81.899523809523814</v>
      </c>
      <c r="O257">
        <v>591.57142857142856</v>
      </c>
      <c r="P257">
        <v>1688.6904761904761</v>
      </c>
      <c r="Q257">
        <v>23.393333333333331</v>
      </c>
      <c r="R257">
        <v>81.719365079365076</v>
      </c>
      <c r="S257">
        <v>152.69336568098771</v>
      </c>
      <c r="T257">
        <v>113.51648059962476</v>
      </c>
    </row>
    <row r="258" spans="1:20">
      <c r="A258" t="s">
        <v>367</v>
      </c>
      <c r="B258">
        <v>2324.0454545454545</v>
      </c>
      <c r="C258">
        <v>112.583766233766</v>
      </c>
      <c r="D258">
        <v>103.39409090909101</v>
      </c>
      <c r="E258">
        <v>8458.420454545454</v>
      </c>
      <c r="F258">
        <v>1369.8863636363637</v>
      </c>
      <c r="G258">
        <v>160.55000000000001</v>
      </c>
      <c r="H258">
        <v>8.7100000000000009</v>
      </c>
      <c r="I258">
        <v>10</v>
      </c>
      <c r="J258">
        <v>3.714</v>
      </c>
      <c r="K258">
        <v>22836.227272727272</v>
      </c>
      <c r="L258">
        <v>85.67</v>
      </c>
      <c r="M258">
        <v>83.741818181818175</v>
      </c>
      <c r="N258">
        <v>84.191818181818178</v>
      </c>
      <c r="O258">
        <v>683.59090909090912</v>
      </c>
      <c r="P258">
        <v>1692.7727272727273</v>
      </c>
      <c r="Q258">
        <v>26.540909090909089</v>
      </c>
      <c r="R258">
        <v>84.534545454545466</v>
      </c>
      <c r="S258">
        <v>157.82661983980879</v>
      </c>
      <c r="T258">
        <v>114.62306697703596</v>
      </c>
    </row>
    <row r="259" spans="1:20">
      <c r="A259" t="s">
        <v>368</v>
      </c>
      <c r="B259">
        <v>2356.6690476190479</v>
      </c>
      <c r="C259">
        <v>123.78571428571399</v>
      </c>
      <c r="D259">
        <v>115.506666666667</v>
      </c>
      <c r="E259">
        <v>9152.8571428571431</v>
      </c>
      <c r="F259">
        <v>1390.5526315789473</v>
      </c>
      <c r="G259">
        <v>168.52608695652177</v>
      </c>
      <c r="H259">
        <v>8.73</v>
      </c>
      <c r="I259">
        <v>9.9499999999999993</v>
      </c>
      <c r="J259">
        <v>4.2457142857142856</v>
      </c>
      <c r="K259">
        <v>24099.571428571428</v>
      </c>
      <c r="L259">
        <v>91.796521739130441</v>
      </c>
      <c r="M259">
        <v>89.184782608695656</v>
      </c>
      <c r="N259">
        <v>89.223478260869555</v>
      </c>
      <c r="O259">
        <v>755.08695652173913</v>
      </c>
      <c r="P259">
        <v>1711.391304347826</v>
      </c>
      <c r="Q259">
        <v>29.349047619047628</v>
      </c>
      <c r="R259">
        <v>90.068260869565208</v>
      </c>
      <c r="S259">
        <v>166.80358189410211</v>
      </c>
      <c r="T259">
        <v>121.9208366934683</v>
      </c>
    </row>
    <row r="260" spans="1:20">
      <c r="A260" t="s">
        <v>369</v>
      </c>
      <c r="B260">
        <v>2439.6999999999998</v>
      </c>
      <c r="C260">
        <v>140.99357142857099</v>
      </c>
      <c r="D260">
        <v>122.8725</v>
      </c>
      <c r="E260">
        <v>9533.2000000000007</v>
      </c>
      <c r="F260">
        <v>1356.4</v>
      </c>
      <c r="G260">
        <v>179.63</v>
      </c>
      <c r="H260">
        <v>9.19</v>
      </c>
      <c r="I260">
        <v>10.81</v>
      </c>
      <c r="J260">
        <v>4.4920000000000018</v>
      </c>
      <c r="K260">
        <v>25621.224999999999</v>
      </c>
      <c r="L260">
        <v>96.294761904761899</v>
      </c>
      <c r="M260">
        <v>92.186666666666653</v>
      </c>
      <c r="N260">
        <v>89.509999999999991</v>
      </c>
      <c r="O260">
        <v>793.28571428571433</v>
      </c>
      <c r="P260">
        <v>1785.4285714285713</v>
      </c>
      <c r="Q260">
        <v>28.402499999999996</v>
      </c>
      <c r="R260">
        <v>92.663809523809519</v>
      </c>
      <c r="S260">
        <v>172.98143594672089</v>
      </c>
      <c r="T260">
        <v>125.78468233368295</v>
      </c>
    </row>
    <row r="261" spans="1:20">
      <c r="A261" t="s">
        <v>370</v>
      </c>
      <c r="B261">
        <v>2515.2599999999998</v>
      </c>
      <c r="C261">
        <v>134.624464285714</v>
      </c>
      <c r="D261">
        <v>117.706</v>
      </c>
      <c r="E261">
        <v>9880.9375</v>
      </c>
      <c r="F261">
        <v>1372.7249999999999</v>
      </c>
      <c r="G261">
        <v>187.18000000000004</v>
      </c>
      <c r="H261">
        <v>9.14</v>
      </c>
      <c r="I261">
        <v>11.89</v>
      </c>
      <c r="J261">
        <v>4.0921052631578947</v>
      </c>
      <c r="K261">
        <v>28412.174999999999</v>
      </c>
      <c r="L261">
        <v>103.955</v>
      </c>
      <c r="M261">
        <v>99.874999999999986</v>
      </c>
      <c r="N261">
        <v>89.366000000000014</v>
      </c>
      <c r="O261">
        <v>821.35</v>
      </c>
      <c r="P261">
        <v>1825.9</v>
      </c>
      <c r="Q261">
        <v>30.778499999999998</v>
      </c>
      <c r="R261">
        <v>97.732000000000014</v>
      </c>
      <c r="S261">
        <v>179.46816796524558</v>
      </c>
      <c r="T261">
        <v>129.46603235176758</v>
      </c>
    </row>
    <row r="262" spans="1:20">
      <c r="A262" t="s">
        <v>371</v>
      </c>
      <c r="B262">
        <v>2555.5</v>
      </c>
      <c r="C262">
        <v>135.971273291925</v>
      </c>
      <c r="D262">
        <v>121.18782608695599</v>
      </c>
      <c r="E262">
        <v>9503.358695652174</v>
      </c>
      <c r="F262">
        <v>1424.0108695652175</v>
      </c>
      <c r="G262">
        <v>169.35652173913047</v>
      </c>
      <c r="H262">
        <v>9.1199999999999992</v>
      </c>
      <c r="I262">
        <v>12.18</v>
      </c>
      <c r="J262">
        <v>3.9721739130434783</v>
      </c>
      <c r="K262">
        <v>26710.347826086956</v>
      </c>
      <c r="L262">
        <v>114.44130434782609</v>
      </c>
      <c r="M262">
        <v>108.57826086956523</v>
      </c>
      <c r="N262">
        <v>102.91608695652172</v>
      </c>
      <c r="O262">
        <v>762</v>
      </c>
      <c r="P262">
        <v>1770.1739130434783</v>
      </c>
      <c r="Q262">
        <v>35.813478260869566</v>
      </c>
      <c r="R262">
        <v>108.64521739130433</v>
      </c>
      <c r="S262">
        <v>185.47365141645923</v>
      </c>
      <c r="T262">
        <v>128.41608480391875</v>
      </c>
    </row>
    <row r="263" spans="1:20">
      <c r="A263" t="s">
        <v>372</v>
      </c>
      <c r="B263">
        <v>2667.4166666666665</v>
      </c>
      <c r="C263">
        <v>131.52559523809501</v>
      </c>
      <c r="D263">
        <v>124.022222222222</v>
      </c>
      <c r="E263">
        <v>9482.75</v>
      </c>
      <c r="F263">
        <v>1473.8055555555557</v>
      </c>
      <c r="G263">
        <v>179.26111111111115</v>
      </c>
      <c r="H263">
        <v>10.029999999999999</v>
      </c>
      <c r="I263">
        <v>14.41</v>
      </c>
      <c r="J263">
        <v>4.2355</v>
      </c>
      <c r="K263">
        <v>26332.166666666668</v>
      </c>
      <c r="L263">
        <v>123.15047619047621</v>
      </c>
      <c r="M263">
        <v>115.75761904761906</v>
      </c>
      <c r="N263">
        <v>110.04285714285717</v>
      </c>
      <c r="O263">
        <v>770.21428571428567</v>
      </c>
      <c r="P263">
        <v>1797.9047619047619</v>
      </c>
      <c r="Q263">
        <v>41.965555555555554</v>
      </c>
      <c r="R263">
        <v>116.31698412698411</v>
      </c>
      <c r="S263">
        <v>194.87069783582012</v>
      </c>
      <c r="T263">
        <v>132.80219211593132</v>
      </c>
    </row>
    <row r="264" spans="1:20">
      <c r="A264" t="s">
        <v>373</v>
      </c>
      <c r="B264">
        <v>2587.2125000000001</v>
      </c>
      <c r="C264">
        <v>127.962857142857</v>
      </c>
      <c r="D264">
        <v>120.417</v>
      </c>
      <c r="E264">
        <v>8931.6749999999993</v>
      </c>
      <c r="F264">
        <v>1510.4375</v>
      </c>
      <c r="G264">
        <v>177.095</v>
      </c>
      <c r="H264">
        <v>10.02</v>
      </c>
      <c r="I264">
        <v>15.75</v>
      </c>
      <c r="J264">
        <v>4.3138095238095238</v>
      </c>
      <c r="K264">
        <v>24164.55</v>
      </c>
      <c r="L264">
        <v>114.45818181818181</v>
      </c>
      <c r="M264">
        <v>108.83954545454547</v>
      </c>
      <c r="N264">
        <v>101.25136363636362</v>
      </c>
      <c r="O264">
        <v>738.9545454545455</v>
      </c>
      <c r="P264">
        <v>1786.5454545454545</v>
      </c>
      <c r="Q264">
        <v>36.750000000000007</v>
      </c>
      <c r="R264">
        <v>108.18303030303032</v>
      </c>
      <c r="S264">
        <v>187.74133461409113</v>
      </c>
      <c r="T264">
        <v>129.79625148815614</v>
      </c>
    </row>
    <row r="265" spans="1:20">
      <c r="A265" t="s">
        <v>374</v>
      </c>
      <c r="B265">
        <v>2557.7613636363635</v>
      </c>
      <c r="C265">
        <v>128.362012987013</v>
      </c>
      <c r="D265">
        <v>118.551363636364</v>
      </c>
      <c r="E265">
        <v>9066.8522727272721</v>
      </c>
      <c r="F265">
        <v>1528.659090909091</v>
      </c>
      <c r="G265">
        <v>170.87727272727273</v>
      </c>
      <c r="H265">
        <v>10</v>
      </c>
      <c r="I265">
        <v>16.29</v>
      </c>
      <c r="J265">
        <v>4.5373863636363643</v>
      </c>
      <c r="K265">
        <v>22420.93181818182</v>
      </c>
      <c r="L265">
        <v>113.75772727272728</v>
      </c>
      <c r="M265">
        <v>107.52454545454543</v>
      </c>
      <c r="N265">
        <v>96.25409090909092</v>
      </c>
      <c r="O265">
        <v>770.25</v>
      </c>
      <c r="P265">
        <v>1768.5</v>
      </c>
      <c r="Q265">
        <v>35.794999999999995</v>
      </c>
      <c r="R265">
        <v>105.84545454545454</v>
      </c>
      <c r="S265">
        <v>185.93717680258968</v>
      </c>
      <c r="T265">
        <v>127.85077536345601</v>
      </c>
    </row>
    <row r="266" spans="1:20">
      <c r="A266" t="s">
        <v>375</v>
      </c>
      <c r="B266">
        <v>2525.4285714285716</v>
      </c>
      <c r="C266">
        <v>128.98928571428601</v>
      </c>
      <c r="D266">
        <v>116.26761904761899</v>
      </c>
      <c r="E266">
        <v>9650.4642857142862</v>
      </c>
      <c r="F266">
        <v>1572.8095238095239</v>
      </c>
      <c r="G266">
        <v>172.97619047619045</v>
      </c>
      <c r="H266">
        <v>11.2</v>
      </c>
      <c r="I266">
        <v>16.29</v>
      </c>
      <c r="J266">
        <v>4.4224999999999994</v>
      </c>
      <c r="K266">
        <v>23847.952380952382</v>
      </c>
      <c r="L266">
        <v>116.46095238095239</v>
      </c>
      <c r="M266">
        <v>109.98333333333336</v>
      </c>
      <c r="N266">
        <v>97.193809523809549</v>
      </c>
      <c r="O266">
        <v>788.73809523809518</v>
      </c>
      <c r="P266">
        <v>1759.7619047619048</v>
      </c>
      <c r="Q266">
        <v>37.917142857142849</v>
      </c>
      <c r="R266">
        <v>107.87936507936506</v>
      </c>
      <c r="S266">
        <v>188.47069685358775</v>
      </c>
      <c r="T266">
        <v>126.96076018007869</v>
      </c>
    </row>
    <row r="267" spans="1:20">
      <c r="A267" t="s">
        <v>376</v>
      </c>
      <c r="B267">
        <v>2380.9749999999999</v>
      </c>
      <c r="C267">
        <v>127.462012987013</v>
      </c>
      <c r="D267">
        <v>118.124545454545</v>
      </c>
      <c r="E267">
        <v>8997.988636363636</v>
      </c>
      <c r="F267">
        <v>1755.8068181818182</v>
      </c>
      <c r="G267">
        <v>177.45000000000005</v>
      </c>
      <c r="H267">
        <v>11.11</v>
      </c>
      <c r="I267">
        <v>17.7</v>
      </c>
      <c r="J267">
        <v>4.0539130434782606</v>
      </c>
      <c r="K267">
        <v>21864.68181818182</v>
      </c>
      <c r="L267">
        <v>110.08130434782608</v>
      </c>
      <c r="M267">
        <v>104.96173913043476</v>
      </c>
      <c r="N267">
        <v>86.3213043478261</v>
      </c>
      <c r="O267">
        <v>762.97826086956525</v>
      </c>
      <c r="P267">
        <v>1804.695652173913</v>
      </c>
      <c r="Q267">
        <v>40.298181818181824</v>
      </c>
      <c r="R267">
        <v>100.45478260869565</v>
      </c>
      <c r="S267">
        <v>184.134851319023</v>
      </c>
      <c r="T267">
        <v>126.56096371498175</v>
      </c>
    </row>
    <row r="268" spans="1:20">
      <c r="A268" t="s">
        <v>377</v>
      </c>
      <c r="B268">
        <v>2293.4613636363633</v>
      </c>
      <c r="C268">
        <v>130.56185064935099</v>
      </c>
      <c r="D268">
        <v>115.495</v>
      </c>
      <c r="E268">
        <v>8300.136363636364</v>
      </c>
      <c r="F268">
        <v>1771.8522727272727</v>
      </c>
      <c r="G268">
        <v>177.22727272727272</v>
      </c>
      <c r="H268">
        <v>11.11</v>
      </c>
      <c r="I268">
        <v>17.78</v>
      </c>
      <c r="J268">
        <v>3.8899999999999997</v>
      </c>
      <c r="K268">
        <v>20377.590909090908</v>
      </c>
      <c r="L268">
        <v>112.4468181818182</v>
      </c>
      <c r="M268">
        <v>106.00181818181819</v>
      </c>
      <c r="N268">
        <v>85.616818181818189</v>
      </c>
      <c r="O268">
        <v>708.9545454545455</v>
      </c>
      <c r="P268">
        <v>1748.1136363636363</v>
      </c>
      <c r="Q268">
        <v>38.154545454545456</v>
      </c>
      <c r="R268">
        <v>101.3551515151515</v>
      </c>
      <c r="S268">
        <v>182.10749205110676</v>
      </c>
      <c r="T268">
        <v>120.63699399481941</v>
      </c>
    </row>
    <row r="269" spans="1:20">
      <c r="A269" t="s">
        <v>378</v>
      </c>
      <c r="B269">
        <v>2180.6476190476192</v>
      </c>
      <c r="C269">
        <v>127.912755102041</v>
      </c>
      <c r="D269">
        <v>110.637619047619</v>
      </c>
      <c r="E269">
        <v>7394.1904761904761</v>
      </c>
      <c r="F269">
        <v>1665.2142857142858</v>
      </c>
      <c r="G269">
        <v>150.43333333333334</v>
      </c>
      <c r="H269">
        <v>12.11</v>
      </c>
      <c r="I269">
        <v>17.600000000000001</v>
      </c>
      <c r="J269">
        <v>3.5638095238095233</v>
      </c>
      <c r="K269">
        <v>19039.047619047618</v>
      </c>
      <c r="L269">
        <v>109.46904761904761</v>
      </c>
      <c r="M269">
        <v>103.88428571428572</v>
      </c>
      <c r="N269">
        <v>86.406190476190474</v>
      </c>
      <c r="O269">
        <v>616.45238095238096</v>
      </c>
      <c r="P269">
        <v>1535.1904761904761</v>
      </c>
      <c r="Q269">
        <v>31.974761904761902</v>
      </c>
      <c r="R269">
        <v>99.919841269841285</v>
      </c>
      <c r="S269">
        <v>175.68428265031281</v>
      </c>
      <c r="T269">
        <v>118.24710845754521</v>
      </c>
    </row>
    <row r="270" spans="1:20">
      <c r="A270" t="s">
        <v>379</v>
      </c>
      <c r="B270">
        <v>2079.9818181818182</v>
      </c>
      <c r="C270">
        <v>122.74529220779201</v>
      </c>
      <c r="D270">
        <v>104.825</v>
      </c>
      <c r="E270">
        <v>7581.022727272727</v>
      </c>
      <c r="F270">
        <v>1738.9772727272727</v>
      </c>
      <c r="G270">
        <v>135.54090909090911</v>
      </c>
      <c r="H270">
        <v>12.02</v>
      </c>
      <c r="I270">
        <v>17.89</v>
      </c>
      <c r="J270">
        <v>3.2640000000000002</v>
      </c>
      <c r="K270">
        <v>17873</v>
      </c>
      <c r="L270">
        <v>110.50409090909092</v>
      </c>
      <c r="M270">
        <v>108.51681818181819</v>
      </c>
      <c r="N270">
        <v>97.066363636363633</v>
      </c>
      <c r="O270">
        <v>628.22727272727275</v>
      </c>
      <c r="P270">
        <v>1596.9772727272727</v>
      </c>
      <c r="Q270">
        <v>33.081818181818178</v>
      </c>
      <c r="R270">
        <v>105.36242424242424</v>
      </c>
      <c r="S270">
        <v>178.04025640676167</v>
      </c>
      <c r="T270">
        <v>118.05669557818973</v>
      </c>
    </row>
    <row r="271" spans="1:20">
      <c r="A271" t="s">
        <v>380</v>
      </c>
      <c r="B271">
        <v>2024.375</v>
      </c>
      <c r="C271">
        <v>118.176428571428</v>
      </c>
      <c r="D271">
        <v>103.96599999999999</v>
      </c>
      <c r="E271">
        <v>7558.875</v>
      </c>
      <c r="F271">
        <v>1652.3055555555557</v>
      </c>
      <c r="G271">
        <v>136.45499999999998</v>
      </c>
      <c r="H271">
        <v>12.11</v>
      </c>
      <c r="I271">
        <v>18.05</v>
      </c>
      <c r="J271">
        <v>3.1628571428571428</v>
      </c>
      <c r="K271">
        <v>18246.037499999999</v>
      </c>
      <c r="L271">
        <v>107.96999999999998</v>
      </c>
      <c r="M271">
        <v>106.20863636363637</v>
      </c>
      <c r="N271">
        <v>98.612272727272725</v>
      </c>
      <c r="O271">
        <v>640.84090909090912</v>
      </c>
      <c r="P271">
        <v>1454.590909090909</v>
      </c>
      <c r="Q271">
        <v>30.41149999999999</v>
      </c>
      <c r="R271">
        <v>104.26363636363637</v>
      </c>
      <c r="S271">
        <v>174.76123515274494</v>
      </c>
      <c r="T271">
        <v>115.07819537229739</v>
      </c>
    </row>
    <row r="272" spans="1:20">
      <c r="A272" t="s">
        <v>381</v>
      </c>
      <c r="B272">
        <v>2151.3333333333335</v>
      </c>
      <c r="C272">
        <v>123.085714285714</v>
      </c>
      <c r="D272">
        <v>106.04523809523801</v>
      </c>
      <c r="E272">
        <v>8061.916666666667</v>
      </c>
      <c r="F272">
        <v>1656.1190476190477</v>
      </c>
      <c r="G272">
        <v>140.34761904761911</v>
      </c>
      <c r="H272">
        <v>12.33</v>
      </c>
      <c r="I272">
        <v>17.46</v>
      </c>
      <c r="J272">
        <v>2.67727</v>
      </c>
      <c r="K272">
        <v>19908.619047619046</v>
      </c>
      <c r="L272">
        <v>110.99363636363636</v>
      </c>
      <c r="M272">
        <v>109.53681818181816</v>
      </c>
      <c r="N272">
        <v>100.14863636363638</v>
      </c>
      <c r="O272">
        <v>657.81818181818187</v>
      </c>
      <c r="P272">
        <v>1499.3181818181818</v>
      </c>
      <c r="Q272">
        <v>30.768571428571427</v>
      </c>
      <c r="R272">
        <v>106.8930303030303</v>
      </c>
      <c r="S272">
        <v>177.61859401088353</v>
      </c>
      <c r="T272">
        <v>117.84453180774153</v>
      </c>
    </row>
    <row r="273" spans="1:20">
      <c r="A273" t="s">
        <v>382</v>
      </c>
      <c r="B273">
        <v>2207.9166666666665</v>
      </c>
      <c r="C273">
        <v>124.966836734694</v>
      </c>
      <c r="D273">
        <v>105.283333333333</v>
      </c>
      <c r="E273">
        <v>8441.4880952380954</v>
      </c>
      <c r="F273">
        <v>1742.6190476190477</v>
      </c>
      <c r="G273">
        <v>140.39523809523808</v>
      </c>
      <c r="H273">
        <v>12.22</v>
      </c>
      <c r="I273">
        <v>16.71</v>
      </c>
      <c r="J273">
        <v>2.5048599999999999</v>
      </c>
      <c r="K273">
        <v>20393.666666666668</v>
      </c>
      <c r="L273">
        <v>119.70238095238095</v>
      </c>
      <c r="M273">
        <v>116.14619047619047</v>
      </c>
      <c r="N273">
        <v>102.26285714285714</v>
      </c>
      <c r="O273">
        <v>703.04761904761904</v>
      </c>
      <c r="P273">
        <v>1657.7619047619048</v>
      </c>
      <c r="Q273">
        <v>34.140476190476193</v>
      </c>
      <c r="R273">
        <v>112.70380952380951</v>
      </c>
      <c r="S273">
        <v>183.12773659145046</v>
      </c>
      <c r="T273">
        <v>120.59323284738623</v>
      </c>
    </row>
    <row r="274" spans="1:20">
      <c r="A274" t="s">
        <v>383</v>
      </c>
      <c r="B274">
        <v>2184.159090909091</v>
      </c>
      <c r="C274">
        <v>114.15097402597399</v>
      </c>
      <c r="D274">
        <v>103.428181818182</v>
      </c>
      <c r="E274">
        <v>8470.7840909090901</v>
      </c>
      <c r="F274">
        <v>1673.7727272727273</v>
      </c>
      <c r="G274">
        <v>144.66363636363633</v>
      </c>
      <c r="H274">
        <v>12.51</v>
      </c>
      <c r="I274">
        <v>18.420000000000002</v>
      </c>
      <c r="J274">
        <v>2.1636363636363636</v>
      </c>
      <c r="K274">
        <v>18660.80681818182</v>
      </c>
      <c r="L274">
        <v>124.92863636363636</v>
      </c>
      <c r="M274">
        <v>122.2759090909091</v>
      </c>
      <c r="N274">
        <v>106.15045454545454</v>
      </c>
      <c r="O274">
        <v>684.36363636363637</v>
      </c>
      <c r="P274">
        <v>1655.409090909091</v>
      </c>
      <c r="Q274">
        <v>32.953181818181811</v>
      </c>
      <c r="R274">
        <v>117.785</v>
      </c>
      <c r="S274">
        <v>187.23438803187341</v>
      </c>
      <c r="T274">
        <v>123.09949405875805</v>
      </c>
    </row>
    <row r="275" spans="1:20">
      <c r="A275" t="s">
        <v>384</v>
      </c>
      <c r="B275">
        <v>2048.5052631578947</v>
      </c>
      <c r="C275">
        <v>110.353759398496</v>
      </c>
      <c r="D275">
        <v>101.15421052631601</v>
      </c>
      <c r="E275">
        <v>8285.5263157894733</v>
      </c>
      <c r="F275">
        <v>1650.0657894736842</v>
      </c>
      <c r="G275">
        <v>147.64736842105265</v>
      </c>
      <c r="H275">
        <v>12.57</v>
      </c>
      <c r="I275">
        <v>19.57</v>
      </c>
      <c r="J275">
        <v>1.9487499999999998</v>
      </c>
      <c r="K275">
        <v>17892.815789473683</v>
      </c>
      <c r="L275">
        <v>120.5909523809524</v>
      </c>
      <c r="M275">
        <v>117.37714285714286</v>
      </c>
      <c r="N275">
        <v>103.28428571428573</v>
      </c>
      <c r="O275">
        <v>653.61904761904759</v>
      </c>
      <c r="P275">
        <v>1585.8095238095239</v>
      </c>
      <c r="Q275">
        <v>31.552368421052638</v>
      </c>
      <c r="R275">
        <v>113.75079365079364</v>
      </c>
      <c r="S275">
        <v>184.22992962297275</v>
      </c>
      <c r="T275">
        <v>122.16986095625131</v>
      </c>
    </row>
    <row r="276" spans="1:20">
      <c r="A276" t="s">
        <v>385</v>
      </c>
      <c r="B276">
        <v>2002.5227272727273</v>
      </c>
      <c r="C276">
        <v>103.81948051948</v>
      </c>
      <c r="D276">
        <v>93.850454545454596</v>
      </c>
      <c r="E276">
        <v>7896.909090909091</v>
      </c>
      <c r="F276">
        <v>1585.5045454545455</v>
      </c>
      <c r="G276">
        <v>136.27272727272728</v>
      </c>
      <c r="H276">
        <v>12.57</v>
      </c>
      <c r="I276">
        <v>18.329999999999998</v>
      </c>
      <c r="J276">
        <v>2.4327272727272731</v>
      </c>
      <c r="K276">
        <v>16968.31818181818</v>
      </c>
      <c r="L276">
        <v>110.52173913043478</v>
      </c>
      <c r="M276">
        <v>107.44565217391306</v>
      </c>
      <c r="N276">
        <v>94.506956521739141</v>
      </c>
      <c r="O276">
        <v>620</v>
      </c>
      <c r="P276">
        <v>1470.695652173913</v>
      </c>
      <c r="Q276">
        <v>28.665909090909089</v>
      </c>
      <c r="R276">
        <v>104.15811594202896</v>
      </c>
      <c r="S276">
        <v>173.3476511974485</v>
      </c>
      <c r="T276">
        <v>116.5342386383212</v>
      </c>
    </row>
    <row r="277" spans="1:20">
      <c r="A277" t="s">
        <v>386</v>
      </c>
      <c r="B277">
        <v>1885.5131578947369</v>
      </c>
      <c r="C277">
        <v>92.754699248120104</v>
      </c>
      <c r="D277">
        <v>84.998421052631599</v>
      </c>
      <c r="E277">
        <v>7428.2894736842109</v>
      </c>
      <c r="F277">
        <v>1596.6973684210527</v>
      </c>
      <c r="G277">
        <v>134.62105263157895</v>
      </c>
      <c r="H277">
        <v>12.56</v>
      </c>
      <c r="I277">
        <v>19.38</v>
      </c>
      <c r="J277">
        <v>2.4585714285714291</v>
      </c>
      <c r="K277">
        <v>16603.684210526317</v>
      </c>
      <c r="L277">
        <v>95.589047619047619</v>
      </c>
      <c r="M277">
        <v>94.236190476190458</v>
      </c>
      <c r="N277">
        <v>82.359523809523793</v>
      </c>
      <c r="O277">
        <v>612.52380952380952</v>
      </c>
      <c r="P277">
        <v>1443.8571428571429</v>
      </c>
      <c r="Q277">
        <v>28.047105263157892</v>
      </c>
      <c r="R277">
        <v>90.728253968253952</v>
      </c>
      <c r="S277">
        <v>162.08035007341985</v>
      </c>
      <c r="T277">
        <v>116.75688980702866</v>
      </c>
    </row>
    <row r="278" spans="1:20">
      <c r="A278" t="s">
        <v>387</v>
      </c>
      <c r="B278">
        <v>1876.25</v>
      </c>
      <c r="C278">
        <v>91.364123376623297</v>
      </c>
      <c r="D278">
        <v>87.164090909090902</v>
      </c>
      <c r="E278">
        <v>7584.261363636364</v>
      </c>
      <c r="F278">
        <v>1593.909090909091</v>
      </c>
      <c r="G278">
        <v>127.93636363636364</v>
      </c>
      <c r="H278">
        <v>11.38</v>
      </c>
      <c r="I278">
        <v>19.100000000000001</v>
      </c>
      <c r="J278">
        <v>2.9540047619047622</v>
      </c>
      <c r="K278">
        <v>16128.40909090909</v>
      </c>
      <c r="L278">
        <v>103.14090909090906</v>
      </c>
      <c r="M278">
        <v>99.219999999999985</v>
      </c>
      <c r="N278">
        <v>87.89045454545456</v>
      </c>
      <c r="O278">
        <v>579.5454545454545</v>
      </c>
      <c r="P278">
        <v>1425.8181818181818</v>
      </c>
      <c r="Q278">
        <v>27.431818181818183</v>
      </c>
      <c r="R278">
        <v>96.750454545454559</v>
      </c>
      <c r="S278">
        <v>167.31402559156473</v>
      </c>
      <c r="T278">
        <v>123.55572981050605</v>
      </c>
    </row>
    <row r="279" spans="1:20">
      <c r="A279" t="s">
        <v>388</v>
      </c>
      <c r="B279">
        <v>1843.3272727272727</v>
      </c>
      <c r="C279">
        <v>93.456331168830999</v>
      </c>
      <c r="D279">
        <v>89.160454545454499</v>
      </c>
      <c r="E279">
        <v>7510.431818181818</v>
      </c>
      <c r="F279">
        <v>1626.034090909091</v>
      </c>
      <c r="G279">
        <v>107.79545454545455</v>
      </c>
      <c r="H279">
        <v>11.4</v>
      </c>
      <c r="I279">
        <v>18.39</v>
      </c>
      <c r="J279">
        <v>2.8405478260869557</v>
      </c>
      <c r="K279">
        <v>15703.988636363636</v>
      </c>
      <c r="L279">
        <v>113.34</v>
      </c>
      <c r="M279">
        <v>108.3908695652174</v>
      </c>
      <c r="N279">
        <v>94.110434782608692</v>
      </c>
      <c r="O279">
        <v>601.97826086956525</v>
      </c>
      <c r="P279">
        <v>1453.2608695652175</v>
      </c>
      <c r="Q279">
        <v>28.696818181818177</v>
      </c>
      <c r="R279">
        <v>105.28043478260869</v>
      </c>
      <c r="S279">
        <v>171.97439708442298</v>
      </c>
      <c r="T279">
        <v>124.87643965800201</v>
      </c>
    </row>
    <row r="280" spans="1:20">
      <c r="A280" t="s">
        <v>389</v>
      </c>
      <c r="B280">
        <v>2064.12</v>
      </c>
      <c r="C280">
        <v>93.181607142857004</v>
      </c>
      <c r="D280">
        <v>86.084500000000006</v>
      </c>
      <c r="E280">
        <v>8087.7425000000003</v>
      </c>
      <c r="F280">
        <v>1744.45</v>
      </c>
      <c r="G280">
        <v>99.470000000000013</v>
      </c>
      <c r="H280">
        <v>11.38</v>
      </c>
      <c r="I280">
        <v>18.760000000000002</v>
      </c>
      <c r="J280">
        <v>2.8521052631578949</v>
      </c>
      <c r="K280">
        <v>17287.962500000001</v>
      </c>
      <c r="L280">
        <v>113.38250000000002</v>
      </c>
      <c r="M280">
        <v>110.9645</v>
      </c>
      <c r="N280">
        <v>94.60599999999998</v>
      </c>
      <c r="O280">
        <v>657.85</v>
      </c>
      <c r="P280">
        <v>1623.65</v>
      </c>
      <c r="Q280">
        <v>33.608499999999999</v>
      </c>
      <c r="R280">
        <v>106.31766666666665</v>
      </c>
      <c r="S280">
        <v>173.70715946887171</v>
      </c>
      <c r="T280">
        <v>122.34305021669648</v>
      </c>
    </row>
    <row r="281" spans="1:20">
      <c r="A281" t="s">
        <v>390</v>
      </c>
      <c r="B281">
        <v>1974.304347826087</v>
      </c>
      <c r="C281">
        <v>86.885403726708006</v>
      </c>
      <c r="D281">
        <v>82.710869565217394</v>
      </c>
      <c r="E281">
        <v>8062.032608695652</v>
      </c>
      <c r="F281">
        <v>1747.0108695652175</v>
      </c>
      <c r="G281">
        <v>113.94782608695652</v>
      </c>
      <c r="H281">
        <v>11.57</v>
      </c>
      <c r="I281">
        <v>17.27</v>
      </c>
      <c r="J281">
        <v>3.3191304347826094</v>
      </c>
      <c r="K281">
        <v>17168.739130434784</v>
      </c>
      <c r="L281">
        <v>111.97347826086956</v>
      </c>
      <c r="M281">
        <v>108.67608695652174</v>
      </c>
      <c r="N281">
        <v>89.517391304347811</v>
      </c>
      <c r="O281">
        <v>633.36956521739125</v>
      </c>
      <c r="P281">
        <v>1635.8260869565217</v>
      </c>
      <c r="Q281">
        <v>33.187391304347834</v>
      </c>
      <c r="R281">
        <v>103.38898550724636</v>
      </c>
      <c r="S281">
        <v>172.09686828229323</v>
      </c>
      <c r="T281">
        <v>121.5073146427973</v>
      </c>
    </row>
    <row r="282" spans="1:20">
      <c r="A282" t="s">
        <v>391</v>
      </c>
      <c r="B282">
        <v>1948.8295454545455</v>
      </c>
      <c r="C282">
        <v>87.219642857142702</v>
      </c>
      <c r="D282">
        <v>86.104545454545502</v>
      </c>
      <c r="E282">
        <v>7711.227272727273</v>
      </c>
      <c r="F282">
        <v>1721.1363636363637</v>
      </c>
      <c r="G282">
        <v>120.34545454545454</v>
      </c>
      <c r="H282">
        <v>11.64</v>
      </c>
      <c r="I282">
        <v>16.829999999999998</v>
      </c>
      <c r="J282">
        <v>3.5395000000000012</v>
      </c>
      <c r="K282">
        <v>16335.363636363636</v>
      </c>
      <c r="L282">
        <v>109.7118181818182</v>
      </c>
      <c r="M282">
        <v>107.0959090909091</v>
      </c>
      <c r="N282">
        <v>86.689545454545467</v>
      </c>
      <c r="O282">
        <v>636.5</v>
      </c>
      <c r="P282">
        <v>1576.3636363636363</v>
      </c>
      <c r="Q282">
        <v>32.773181818181811</v>
      </c>
      <c r="R282">
        <v>101.16575757575757</v>
      </c>
      <c r="S282">
        <v>169.75116132995362</v>
      </c>
      <c r="T282">
        <v>120.52980956113988</v>
      </c>
    </row>
    <row r="283" spans="1:20">
      <c r="A283" t="s">
        <v>392</v>
      </c>
      <c r="B283">
        <v>2086.7631578947367</v>
      </c>
      <c r="C283">
        <v>96.076127819548702</v>
      </c>
      <c r="D283">
        <v>89.108947368421099</v>
      </c>
      <c r="E283">
        <v>7966.4868421052633</v>
      </c>
      <c r="F283">
        <v>1688.5294117647059</v>
      </c>
      <c r="G283">
        <v>128.87368421052633</v>
      </c>
      <c r="H283">
        <v>11.64</v>
      </c>
      <c r="I283">
        <v>17.52</v>
      </c>
      <c r="J283">
        <v>3.3382350000000001</v>
      </c>
      <c r="K283">
        <v>17448.5</v>
      </c>
      <c r="L283">
        <v>109.64</v>
      </c>
      <c r="M283">
        <v>105.66857142857143</v>
      </c>
      <c r="N283">
        <v>88.191428571428574</v>
      </c>
      <c r="O283">
        <v>689.61904761904759</v>
      </c>
      <c r="P283">
        <v>1579.9047619047619</v>
      </c>
      <c r="Q283">
        <v>31.963157894736845</v>
      </c>
      <c r="R283">
        <v>101.16666666666664</v>
      </c>
      <c r="S283">
        <v>170.53821402927176</v>
      </c>
      <c r="T283">
        <v>120.66788241996602</v>
      </c>
    </row>
    <row r="284" spans="1:20">
      <c r="A284" t="s">
        <v>393</v>
      </c>
      <c r="B284">
        <v>2037.6068181818182</v>
      </c>
      <c r="C284">
        <v>96.952110389610198</v>
      </c>
      <c r="D284">
        <v>86.392727272727299</v>
      </c>
      <c r="E284">
        <v>8053.738636363636</v>
      </c>
      <c r="F284">
        <v>1670.9545454545455</v>
      </c>
      <c r="G284">
        <v>150.4909090909091</v>
      </c>
      <c r="H284">
        <v>11.39</v>
      </c>
      <c r="I284">
        <v>17.79</v>
      </c>
      <c r="J284">
        <v>3.3271428571428565</v>
      </c>
      <c r="K284">
        <v>17494.06818181818</v>
      </c>
      <c r="L284">
        <v>112.9286956521739</v>
      </c>
      <c r="M284">
        <v>107.54304347826088</v>
      </c>
      <c r="N284">
        <v>94.652608695652148</v>
      </c>
      <c r="O284">
        <v>712.21739130434787</v>
      </c>
      <c r="P284">
        <v>1638.891304347826</v>
      </c>
      <c r="Q284">
        <v>31.112272727272725</v>
      </c>
      <c r="R284">
        <v>105.04144927536234</v>
      </c>
      <c r="S284">
        <v>174.69494768737073</v>
      </c>
      <c r="T284">
        <v>122.09597533335727</v>
      </c>
    </row>
    <row r="285" spans="1:20">
      <c r="A285" t="s">
        <v>394</v>
      </c>
      <c r="B285">
        <v>2053.5950000000003</v>
      </c>
      <c r="C285">
        <v>100.34732142857099</v>
      </c>
      <c r="D285">
        <v>85.195999999999998</v>
      </c>
      <c r="E285">
        <v>8060.9250000000002</v>
      </c>
      <c r="F285">
        <v>1627.5875000000001</v>
      </c>
      <c r="G285">
        <v>154.63888888888889</v>
      </c>
      <c r="H285">
        <v>11.36</v>
      </c>
      <c r="I285">
        <v>17.72</v>
      </c>
      <c r="J285">
        <v>3.333168421052632</v>
      </c>
      <c r="K285">
        <v>17690.099999999999</v>
      </c>
      <c r="L285">
        <v>116.455</v>
      </c>
      <c r="M285">
        <v>111.22100000000003</v>
      </c>
      <c r="N285">
        <v>95.294999999999987</v>
      </c>
      <c r="O285">
        <v>751.92499999999995</v>
      </c>
      <c r="P285">
        <v>1674.55</v>
      </c>
      <c r="Q285">
        <v>30.328750000000007</v>
      </c>
      <c r="R285">
        <v>107.657</v>
      </c>
      <c r="S285">
        <v>176.17779766521221</v>
      </c>
      <c r="T285">
        <v>121.33550462915659</v>
      </c>
    </row>
    <row r="286" spans="1:20">
      <c r="A286" t="s">
        <v>395</v>
      </c>
      <c r="B286">
        <v>1911.2824999999998</v>
      </c>
      <c r="C286">
        <v>97.316785714285501</v>
      </c>
      <c r="D286">
        <v>82.474500000000006</v>
      </c>
      <c r="E286">
        <v>7652.375</v>
      </c>
      <c r="F286">
        <v>1592.8625</v>
      </c>
      <c r="G286">
        <v>139.87</v>
      </c>
      <c r="H286">
        <v>11.36</v>
      </c>
      <c r="I286">
        <v>18.309999999999999</v>
      </c>
      <c r="J286">
        <v>3.81168</v>
      </c>
      <c r="K286">
        <v>16731.7</v>
      </c>
      <c r="L286">
        <v>109.24</v>
      </c>
      <c r="M286">
        <v>105.48238095238094</v>
      </c>
      <c r="N286">
        <v>93.118095238095236</v>
      </c>
      <c r="O286">
        <v>757.28571428571433</v>
      </c>
      <c r="P286">
        <v>1582.952380952381</v>
      </c>
      <c r="Q286">
        <v>28.798500000000008</v>
      </c>
      <c r="R286">
        <v>102.61349206349206</v>
      </c>
      <c r="S286">
        <v>171.58681229887668</v>
      </c>
      <c r="T286">
        <v>121.5997756607396</v>
      </c>
    </row>
    <row r="287" spans="1:20">
      <c r="A287" t="s">
        <v>396</v>
      </c>
      <c r="B287">
        <v>1861.0238095238096</v>
      </c>
      <c r="C287">
        <v>93.233163265306004</v>
      </c>
      <c r="D287">
        <v>81.907619047619093</v>
      </c>
      <c r="E287">
        <v>7221.1619047619042</v>
      </c>
      <c r="F287">
        <v>1485.0833333333333</v>
      </c>
      <c r="G287">
        <v>137.39090909090908</v>
      </c>
      <c r="H287">
        <v>11.64</v>
      </c>
      <c r="I287">
        <v>17.71</v>
      </c>
      <c r="J287">
        <v>4.1673999999999998</v>
      </c>
      <c r="K287">
        <v>15629.309523809523</v>
      </c>
      <c r="L287">
        <v>102.87545454545452</v>
      </c>
      <c r="M287">
        <v>101.66136363636365</v>
      </c>
      <c r="N287">
        <v>92.019090909090906</v>
      </c>
      <c r="O287">
        <v>706.09090909090912</v>
      </c>
      <c r="P287">
        <v>1493.0681818181818</v>
      </c>
      <c r="Q287">
        <v>25.198571428571427</v>
      </c>
      <c r="R287">
        <v>98.851969696969718</v>
      </c>
      <c r="S287">
        <v>168.3208811438106</v>
      </c>
      <c r="T287">
        <v>124.07904589673198</v>
      </c>
    </row>
    <row r="288" spans="1:20">
      <c r="A288" t="s">
        <v>397</v>
      </c>
      <c r="B288">
        <v>1832.5714285714287</v>
      </c>
      <c r="C288">
        <v>93.1260204081631</v>
      </c>
      <c r="D288">
        <v>81.726190476190496</v>
      </c>
      <c r="E288">
        <v>7248.7142857142853</v>
      </c>
      <c r="F288">
        <v>1413.5</v>
      </c>
      <c r="G288">
        <v>124.00952380952383</v>
      </c>
      <c r="H288">
        <v>11.41</v>
      </c>
      <c r="I288">
        <v>16.940000000000001</v>
      </c>
      <c r="J288">
        <v>4.0423363636363634</v>
      </c>
      <c r="K288">
        <v>14948.226190476191</v>
      </c>
      <c r="L288">
        <v>103.02695652173917</v>
      </c>
      <c r="M288">
        <v>100.29913043478261</v>
      </c>
      <c r="N288">
        <v>94.718695652173906</v>
      </c>
      <c r="O288">
        <v>719.43478260869563</v>
      </c>
      <c r="P288">
        <v>1475.1739130434783</v>
      </c>
      <c r="Q288">
        <v>23.011904761904763</v>
      </c>
      <c r="R288">
        <v>99.348260869565209</v>
      </c>
      <c r="S288">
        <v>167.1667820877594</v>
      </c>
      <c r="T288">
        <v>126.57965712143468</v>
      </c>
    </row>
    <row r="289" spans="1:20">
      <c r="A289" t="s">
        <v>398</v>
      </c>
      <c r="B289">
        <v>1814.5374999999999</v>
      </c>
      <c r="C289">
        <v>89.642678571428405</v>
      </c>
      <c r="D289">
        <v>77.501000000000005</v>
      </c>
      <c r="E289">
        <v>7000.2375000000002</v>
      </c>
      <c r="F289">
        <v>1342.3625</v>
      </c>
      <c r="G289">
        <v>114.81499999999998</v>
      </c>
      <c r="H289">
        <v>11.32</v>
      </c>
      <c r="I289">
        <v>17.690000000000001</v>
      </c>
      <c r="J289">
        <v>3.8245700000000005</v>
      </c>
      <c r="K289">
        <v>14280.275</v>
      </c>
      <c r="L289">
        <v>103.10999999999999</v>
      </c>
      <c r="M289">
        <v>100.32849999999999</v>
      </c>
      <c r="N289">
        <v>95.789500000000004</v>
      </c>
      <c r="O289">
        <v>713.52499999999998</v>
      </c>
      <c r="P289">
        <v>1430.2249999999999</v>
      </c>
      <c r="Q289">
        <v>21.109000000000002</v>
      </c>
      <c r="R289">
        <v>99.742666666666679</v>
      </c>
      <c r="S289">
        <v>164.70124242958849</v>
      </c>
      <c r="T289">
        <v>124.59968267830176</v>
      </c>
    </row>
    <row r="290" spans="1:20">
      <c r="A290" t="s">
        <v>399</v>
      </c>
      <c r="B290">
        <v>1769.608695652174</v>
      </c>
      <c r="C290">
        <v>82.222360248447004</v>
      </c>
      <c r="D290">
        <v>72.790000000000006</v>
      </c>
      <c r="E290">
        <v>6906.641304347826</v>
      </c>
      <c r="F290">
        <v>1286.7239130434784</v>
      </c>
      <c r="G290">
        <v>127.19130434782609</v>
      </c>
      <c r="H290">
        <v>10.98</v>
      </c>
      <c r="I290">
        <v>16.98</v>
      </c>
      <c r="J290">
        <v>3.62420909090909</v>
      </c>
      <c r="K290">
        <v>13750.315217391304</v>
      </c>
      <c r="L290">
        <v>107.71608695652174</v>
      </c>
      <c r="M290">
        <v>103.36217391304348</v>
      </c>
      <c r="N290">
        <v>104.54521739130435</v>
      </c>
      <c r="O290">
        <v>718.02173913043475</v>
      </c>
      <c r="P290">
        <v>1401.4782608695652</v>
      </c>
      <c r="Q290">
        <v>19.710217391304347</v>
      </c>
      <c r="R290">
        <v>105.20782608695654</v>
      </c>
      <c r="S290">
        <v>166.66751215381376</v>
      </c>
      <c r="T290">
        <v>122.60813788307756</v>
      </c>
    </row>
    <row r="291" spans="1:20">
      <c r="A291" t="s">
        <v>400</v>
      </c>
      <c r="B291">
        <v>1816.235714285714</v>
      </c>
      <c r="C291">
        <v>82.221428571428405</v>
      </c>
      <c r="D291">
        <v>72.996190476190506</v>
      </c>
      <c r="E291">
        <v>7186.25</v>
      </c>
      <c r="F291">
        <v>1347.0952380952381</v>
      </c>
      <c r="G291">
        <v>137.05500000000001</v>
      </c>
      <c r="H291">
        <v>10.97</v>
      </c>
      <c r="I291">
        <v>17</v>
      </c>
      <c r="J291">
        <v>3.4240272727272729</v>
      </c>
      <c r="K291">
        <v>14308.261904761905</v>
      </c>
      <c r="L291">
        <v>110.96500000000002</v>
      </c>
      <c r="M291">
        <v>106.66454545454548</v>
      </c>
      <c r="N291">
        <v>106.54636363636364</v>
      </c>
      <c r="O291">
        <v>741.09090909090912</v>
      </c>
      <c r="P291">
        <v>1496.090909090909</v>
      </c>
      <c r="Q291">
        <v>21.838333333333338</v>
      </c>
      <c r="R291">
        <v>108.05863636363634</v>
      </c>
      <c r="S291">
        <v>169.3118023831768</v>
      </c>
      <c r="T291">
        <v>119.28744551365416</v>
      </c>
    </row>
    <row r="292" spans="1:20">
      <c r="A292" t="s">
        <v>401</v>
      </c>
      <c r="B292">
        <v>1761.304761904762</v>
      </c>
      <c r="C292">
        <v>83.2959183673468</v>
      </c>
      <c r="D292">
        <v>73.248095238095203</v>
      </c>
      <c r="E292">
        <v>7159.2690476190473</v>
      </c>
      <c r="F292">
        <v>1348.797619047619</v>
      </c>
      <c r="G292">
        <v>134.18571428571428</v>
      </c>
      <c r="H292">
        <v>10.96</v>
      </c>
      <c r="I292">
        <v>17.010000000000002</v>
      </c>
      <c r="J292">
        <v>3.6153949999999995</v>
      </c>
      <c r="K292">
        <v>13801.392857142857</v>
      </c>
      <c r="L292">
        <v>111.62142857142855</v>
      </c>
      <c r="M292">
        <v>108.40476190476193</v>
      </c>
      <c r="N292">
        <v>106.31380952380952</v>
      </c>
      <c r="O292">
        <v>709.14285714285711</v>
      </c>
      <c r="P292">
        <v>1456.8571428571429</v>
      </c>
      <c r="Q292">
        <v>22.563809523809521</v>
      </c>
      <c r="R292">
        <v>108.78</v>
      </c>
      <c r="S292">
        <v>168.68031130851102</v>
      </c>
      <c r="T292">
        <v>115.60460280692234</v>
      </c>
    </row>
    <row r="293" spans="1:20">
      <c r="A293" t="s">
        <v>402</v>
      </c>
      <c r="B293">
        <v>1814.5826086956522</v>
      </c>
      <c r="C293">
        <v>85.443633540372602</v>
      </c>
      <c r="D293">
        <v>81.746956521739094</v>
      </c>
      <c r="E293">
        <v>7203.021739130435</v>
      </c>
      <c r="F293">
        <v>1316.1847826086957</v>
      </c>
      <c r="G293">
        <v>132.57272727272729</v>
      </c>
      <c r="H293">
        <v>10.93</v>
      </c>
      <c r="I293">
        <v>16.489999999999998</v>
      </c>
      <c r="J293">
        <v>3.6751260869565217</v>
      </c>
      <c r="K293">
        <v>14117.652173913044</v>
      </c>
      <c r="L293">
        <v>109.4791304347826</v>
      </c>
      <c r="M293">
        <v>106.394347826087</v>
      </c>
      <c r="N293">
        <v>100.50043478260868</v>
      </c>
      <c r="O293">
        <v>724.60869565217388</v>
      </c>
      <c r="P293">
        <v>1413.4782608695652</v>
      </c>
      <c r="Q293">
        <v>21.916956521739131</v>
      </c>
      <c r="R293">
        <v>105.45797101449277</v>
      </c>
      <c r="S293">
        <v>166.0099433194859</v>
      </c>
      <c r="T293">
        <v>114.89894005177693</v>
      </c>
    </row>
    <row r="294" spans="1:20">
      <c r="A294" t="s">
        <v>403</v>
      </c>
      <c r="B294">
        <v>1747.9642857142858</v>
      </c>
      <c r="C294">
        <v>88.363265306122301</v>
      </c>
      <c r="D294">
        <v>83.245238095238093</v>
      </c>
      <c r="E294">
        <v>7070.6547619047615</v>
      </c>
      <c r="F294">
        <v>1275.8214285714287</v>
      </c>
      <c r="G294">
        <v>136.3238095238095</v>
      </c>
      <c r="H294">
        <v>10.96</v>
      </c>
      <c r="I294">
        <v>16.71</v>
      </c>
      <c r="J294">
        <v>3.6281399999999997</v>
      </c>
      <c r="K294">
        <v>13684.011904761905</v>
      </c>
      <c r="L294">
        <v>108.07666666666665</v>
      </c>
      <c r="M294">
        <v>105.85380952380953</v>
      </c>
      <c r="N294">
        <v>93.812380952380934</v>
      </c>
      <c r="O294">
        <v>733.35714285714289</v>
      </c>
      <c r="P294">
        <v>1420.0952380952381</v>
      </c>
      <c r="Q294">
        <v>20.757619047619048</v>
      </c>
      <c r="R294">
        <v>102.58095238095241</v>
      </c>
      <c r="S294">
        <v>164.29808744389149</v>
      </c>
      <c r="T294">
        <v>115.95552423544113</v>
      </c>
    </row>
    <row r="295" spans="1:20">
      <c r="A295" t="s">
        <v>404</v>
      </c>
      <c r="B295">
        <v>1739.81</v>
      </c>
      <c r="C295">
        <v>89.444464285714204</v>
      </c>
      <c r="D295">
        <v>84.661000000000001</v>
      </c>
      <c r="E295">
        <v>7214.9</v>
      </c>
      <c r="F295">
        <v>1225.4027777777778</v>
      </c>
      <c r="G295">
        <v>135.7904761904762</v>
      </c>
      <c r="H295">
        <v>10.99</v>
      </c>
      <c r="I295">
        <v>17.72</v>
      </c>
      <c r="J295">
        <v>4.2359380952380947</v>
      </c>
      <c r="K295">
        <v>13924.55</v>
      </c>
      <c r="L295">
        <v>110.63363636363637</v>
      </c>
      <c r="M295">
        <v>107.9431818181818</v>
      </c>
      <c r="N295">
        <v>97.902272727272745</v>
      </c>
      <c r="O295">
        <v>716.9545454545455</v>
      </c>
      <c r="P295">
        <v>1355</v>
      </c>
      <c r="Q295">
        <v>19.609000000000002</v>
      </c>
      <c r="R295">
        <v>105.49303030303031</v>
      </c>
      <c r="S295">
        <v>167.88581634664499</v>
      </c>
      <c r="T295">
        <v>117.22383919153249</v>
      </c>
    </row>
    <row r="296" spans="1:20">
      <c r="A296" t="s">
        <v>405</v>
      </c>
      <c r="B296">
        <v>1727.4113636363638</v>
      </c>
      <c r="C296">
        <v>87.973538961038798</v>
      </c>
      <c r="D296">
        <v>82.825454545454505</v>
      </c>
      <c r="E296">
        <v>7291.465909090909</v>
      </c>
      <c r="F296">
        <v>1244.7954545454545</v>
      </c>
      <c r="G296">
        <v>128.11904761904762</v>
      </c>
      <c r="H296">
        <v>10.9</v>
      </c>
      <c r="I296">
        <v>17.760000000000002</v>
      </c>
      <c r="J296">
        <v>4.7043238095238094</v>
      </c>
      <c r="K296">
        <v>14101.25</v>
      </c>
      <c r="L296">
        <v>107.57043478260867</v>
      </c>
      <c r="M296">
        <v>104.18869565217392</v>
      </c>
      <c r="N296">
        <v>94.996521739130415</v>
      </c>
      <c r="O296">
        <v>733.3478260869565</v>
      </c>
      <c r="P296">
        <v>1420.304347826087</v>
      </c>
      <c r="Q296">
        <v>19.90636363636364</v>
      </c>
      <c r="R296">
        <v>102.251884057971</v>
      </c>
      <c r="S296">
        <v>166.68844833450558</v>
      </c>
      <c r="T296">
        <v>117.76153423921374</v>
      </c>
    </row>
    <row r="297" spans="1:20">
      <c r="A297" t="s">
        <v>406</v>
      </c>
      <c r="B297">
        <v>1695.1650000000002</v>
      </c>
      <c r="C297">
        <v>83.027678571428496</v>
      </c>
      <c r="D297">
        <v>77.597999999999999</v>
      </c>
      <c r="E297">
        <v>7149.2124999999996</v>
      </c>
      <c r="F297">
        <v>1300.9749999999999</v>
      </c>
      <c r="G297">
        <v>121.37000000000003</v>
      </c>
      <c r="H297">
        <v>10.83</v>
      </c>
      <c r="I297">
        <v>17.96</v>
      </c>
      <c r="J297">
        <v>5.9842157894736845</v>
      </c>
      <c r="K297">
        <v>14203.55</v>
      </c>
      <c r="L297">
        <v>108.81200000000001</v>
      </c>
      <c r="M297">
        <v>104.94200000000004</v>
      </c>
      <c r="N297">
        <v>100.70399999999999</v>
      </c>
      <c r="O297">
        <v>728.55</v>
      </c>
      <c r="P297">
        <v>1410.5</v>
      </c>
      <c r="Q297">
        <v>20.827750000000002</v>
      </c>
      <c r="R297">
        <v>104.81933333333333</v>
      </c>
      <c r="S297">
        <v>170.99184603753946</v>
      </c>
      <c r="T297">
        <v>121.05185958321108</v>
      </c>
    </row>
    <row r="298" spans="1:20">
      <c r="A298" t="s">
        <v>407</v>
      </c>
      <c r="B298">
        <v>1705.3666666666666</v>
      </c>
      <c r="C298">
        <v>79.753061224489699</v>
      </c>
      <c r="D298">
        <v>74.577142857142803</v>
      </c>
      <c r="E298">
        <v>6650.0357142857147</v>
      </c>
      <c r="F298">
        <v>1336.0833333333333</v>
      </c>
      <c r="G298">
        <v>111.83333333333336</v>
      </c>
      <c r="H298">
        <v>10.69</v>
      </c>
      <c r="I298">
        <v>17.809999999999999</v>
      </c>
      <c r="J298">
        <v>4.8790238095238099</v>
      </c>
      <c r="K298">
        <v>15678.095238095239</v>
      </c>
      <c r="L298">
        <v>107.40571428571427</v>
      </c>
      <c r="M298">
        <v>104.14952380952383</v>
      </c>
      <c r="N298">
        <v>100.57333333333335</v>
      </c>
      <c r="O298">
        <v>773.07142857142856</v>
      </c>
      <c r="P298">
        <v>1451.6190476190477</v>
      </c>
      <c r="Q298">
        <v>20.735714285714288</v>
      </c>
      <c r="R298">
        <v>104.04285714285713</v>
      </c>
      <c r="S298">
        <v>169.83014901627962</v>
      </c>
      <c r="T298">
        <v>128.09889023963868</v>
      </c>
    </row>
    <row r="299" spans="1:20">
      <c r="A299" t="s">
        <v>408</v>
      </c>
      <c r="B299">
        <v>1810.675</v>
      </c>
      <c r="C299">
        <v>78.520714285714206</v>
      </c>
      <c r="D299">
        <v>75.441999999999993</v>
      </c>
      <c r="E299">
        <v>6673.5625</v>
      </c>
      <c r="F299">
        <v>1299</v>
      </c>
      <c r="G299">
        <v>114.5809523809524</v>
      </c>
      <c r="H299">
        <v>10.79</v>
      </c>
      <c r="I299">
        <v>17.670000000000002</v>
      </c>
      <c r="J299">
        <v>4.6338857142857144</v>
      </c>
      <c r="K299">
        <v>17373.599999999999</v>
      </c>
      <c r="L299">
        <v>107.87545454545456</v>
      </c>
      <c r="M299">
        <v>104.77727272727272</v>
      </c>
      <c r="N299">
        <v>102.17863636363636</v>
      </c>
      <c r="O299">
        <v>793.11363636363637</v>
      </c>
      <c r="P299">
        <v>1432</v>
      </c>
      <c r="Q299">
        <v>19.709500000000002</v>
      </c>
      <c r="R299">
        <v>104.94378787878786</v>
      </c>
      <c r="S299">
        <v>170.99844055244972</v>
      </c>
      <c r="T299">
        <v>130.63854601172844</v>
      </c>
    </row>
    <row r="300" spans="1:20">
      <c r="A300" t="s">
        <v>409</v>
      </c>
      <c r="B300">
        <v>1751.05</v>
      </c>
      <c r="C300">
        <v>78.834642857142697</v>
      </c>
      <c r="D300">
        <v>75.876499999999993</v>
      </c>
      <c r="E300">
        <v>6891.125</v>
      </c>
      <c r="F300">
        <v>1287.5250000000001</v>
      </c>
      <c r="G300">
        <v>100.55999999999999</v>
      </c>
      <c r="H300">
        <v>10.64</v>
      </c>
      <c r="I300">
        <v>17.68</v>
      </c>
      <c r="J300">
        <v>4.5642000000000005</v>
      </c>
      <c r="K300">
        <v>19401.075000000001</v>
      </c>
      <c r="L300">
        <v>109.6759090909091</v>
      </c>
      <c r="M300">
        <v>105.51454545454543</v>
      </c>
      <c r="N300">
        <v>102.00318181818183</v>
      </c>
      <c r="O300">
        <v>821.13636363636363</v>
      </c>
      <c r="P300">
        <v>1456.2045454545455</v>
      </c>
      <c r="Q300">
        <v>19.360250000000001</v>
      </c>
      <c r="R300">
        <v>105.73121212121212</v>
      </c>
      <c r="S300">
        <v>168.76038931749849</v>
      </c>
      <c r="T300">
        <v>125.38075779005692</v>
      </c>
    </row>
    <row r="301" spans="1:20">
      <c r="A301" t="s">
        <v>410</v>
      </c>
      <c r="B301">
        <v>1838.952380952381</v>
      </c>
      <c r="C301">
        <v>77.348469387755003</v>
      </c>
      <c r="D301">
        <v>74.137142857142905</v>
      </c>
      <c r="E301">
        <v>6821.1428571428569</v>
      </c>
      <c r="F301">
        <v>1279.0952380952381</v>
      </c>
      <c r="G301">
        <v>92.85238095238094</v>
      </c>
      <c r="H301">
        <v>10.52</v>
      </c>
      <c r="I301">
        <v>17.510000000000002</v>
      </c>
      <c r="J301">
        <v>4.5723666666666665</v>
      </c>
      <c r="K301">
        <v>18628.809523809523</v>
      </c>
      <c r="L301">
        <v>111.86857142857144</v>
      </c>
      <c r="M301">
        <v>108.00761904761904</v>
      </c>
      <c r="N301">
        <v>105.24190476190476</v>
      </c>
      <c r="O301">
        <v>832.23809523809518</v>
      </c>
      <c r="P301">
        <v>1452.7619047619048</v>
      </c>
      <c r="Q301">
        <v>19.780952380952378</v>
      </c>
      <c r="R301">
        <v>108.37269841269844</v>
      </c>
      <c r="S301">
        <v>169.07460877066521</v>
      </c>
      <c r="T301">
        <v>122.51104979313055</v>
      </c>
    </row>
    <row r="302" spans="1:20">
      <c r="A302" t="s">
        <v>411</v>
      </c>
      <c r="B302">
        <v>1948.304347826087</v>
      </c>
      <c r="C302">
        <v>74.038043478260704</v>
      </c>
      <c r="D302">
        <v>71.4630434782609</v>
      </c>
      <c r="E302">
        <v>7113.380434782609</v>
      </c>
      <c r="F302">
        <v>1310.9673913043478</v>
      </c>
      <c r="G302">
        <v>96.260869565217391</v>
      </c>
      <c r="H302">
        <v>9.4</v>
      </c>
      <c r="I302">
        <v>17.43</v>
      </c>
      <c r="J302">
        <v>4.0113090909090907</v>
      </c>
      <c r="K302">
        <v>19117.652173913044</v>
      </c>
      <c r="L302">
        <v>106.98304347826084</v>
      </c>
      <c r="M302">
        <v>105.70521739130434</v>
      </c>
      <c r="N302">
        <v>102.98608695652173</v>
      </c>
      <c r="O302">
        <v>871.695652173913</v>
      </c>
      <c r="P302">
        <v>1492.6521739130435</v>
      </c>
      <c r="Q302">
        <v>20.924565217391304</v>
      </c>
      <c r="R302">
        <v>105.22478260869566</v>
      </c>
      <c r="S302">
        <v>165.68071380233124</v>
      </c>
      <c r="T302">
        <v>119.78845841245418</v>
      </c>
    </row>
    <row r="303" spans="1:20">
      <c r="A303" t="s">
        <v>412</v>
      </c>
      <c r="B303">
        <v>2030.4924999999998</v>
      </c>
      <c r="C303">
        <v>74.248392857142804</v>
      </c>
      <c r="D303">
        <v>71.081999999999994</v>
      </c>
      <c r="E303">
        <v>7001.8374999999996</v>
      </c>
      <c r="F303">
        <v>1295.9875</v>
      </c>
      <c r="G303">
        <v>94.142857142857139</v>
      </c>
      <c r="H303">
        <v>10.38</v>
      </c>
      <c r="I303">
        <v>16.23</v>
      </c>
      <c r="J303">
        <v>3.8850714285714285</v>
      </c>
      <c r="K303">
        <v>18600.2</v>
      </c>
      <c r="L303">
        <v>101.92238095238096</v>
      </c>
      <c r="M303">
        <v>101.85380952380952</v>
      </c>
      <c r="N303">
        <v>96.381428571428572</v>
      </c>
      <c r="O303">
        <v>876.14285714285711</v>
      </c>
      <c r="P303">
        <v>1446.3333333333333</v>
      </c>
      <c r="Q303">
        <v>19.8005</v>
      </c>
      <c r="R303">
        <v>100.05253968253967</v>
      </c>
      <c r="S303">
        <v>160.13701843726167</v>
      </c>
      <c r="T303">
        <v>114.20290111897754</v>
      </c>
    </row>
    <row r="304" spans="1:20">
      <c r="A304" t="s">
        <v>413</v>
      </c>
      <c r="B304">
        <v>1990.4318181818182</v>
      </c>
      <c r="C304">
        <v>71.525649350649203</v>
      </c>
      <c r="D304">
        <v>67.589545454545501</v>
      </c>
      <c r="E304">
        <v>6872.215909090909</v>
      </c>
      <c r="F304">
        <v>1238.8181818181818</v>
      </c>
      <c r="G304">
        <v>84.522727272727266</v>
      </c>
      <c r="H304">
        <v>10.4</v>
      </c>
      <c r="I304">
        <v>15.7</v>
      </c>
      <c r="J304">
        <v>3.9177714285714282</v>
      </c>
      <c r="K304">
        <v>18034.795454545456</v>
      </c>
      <c r="L304">
        <v>97.336363636363643</v>
      </c>
      <c r="M304">
        <v>96.988181818181829</v>
      </c>
      <c r="N304">
        <v>93.349090909090904</v>
      </c>
      <c r="O304">
        <v>841.77272727272725</v>
      </c>
      <c r="P304">
        <v>1362.3636363636363</v>
      </c>
      <c r="Q304">
        <v>18.491363636363634</v>
      </c>
      <c r="R304">
        <v>95.891212121212121</v>
      </c>
      <c r="S304">
        <v>155.05824607671849</v>
      </c>
      <c r="T304">
        <v>112.02599069552654</v>
      </c>
    </row>
    <row r="305" spans="1:20">
      <c r="A305" t="s">
        <v>414</v>
      </c>
      <c r="B305">
        <v>1946.1891304347826</v>
      </c>
      <c r="C305">
        <v>68.984627329192406</v>
      </c>
      <c r="D305">
        <v>65.782173913043493</v>
      </c>
      <c r="E305">
        <v>6737.478260869565</v>
      </c>
      <c r="F305">
        <v>1222.4891304347825</v>
      </c>
      <c r="G305">
        <v>81.304347826086953</v>
      </c>
      <c r="H305">
        <v>10.4</v>
      </c>
      <c r="I305">
        <v>15.23</v>
      </c>
      <c r="J305">
        <v>3.7723391304347822</v>
      </c>
      <c r="K305">
        <v>15812.369565217392</v>
      </c>
      <c r="L305">
        <v>87.269565217391303</v>
      </c>
      <c r="M305">
        <v>86.716086956521735</v>
      </c>
      <c r="N305">
        <v>84.399999999999991</v>
      </c>
      <c r="O305">
        <v>778.26086956521738</v>
      </c>
      <c r="P305">
        <v>1259.7608695652175</v>
      </c>
      <c r="Q305">
        <v>17.189999999999998</v>
      </c>
      <c r="R305">
        <v>86.128550724637691</v>
      </c>
      <c r="S305">
        <v>146.42700202045987</v>
      </c>
      <c r="T305">
        <v>111.37120063426255</v>
      </c>
    </row>
    <row r="306" spans="1:20">
      <c r="A306" t="s">
        <v>415</v>
      </c>
      <c r="B306">
        <v>2055.5549999999998</v>
      </c>
      <c r="C306">
        <v>67.330714285714194</v>
      </c>
      <c r="D306">
        <v>65.66</v>
      </c>
      <c r="E306">
        <v>6712.85</v>
      </c>
      <c r="F306">
        <v>1176.3</v>
      </c>
      <c r="G306">
        <v>74.424999999999997</v>
      </c>
      <c r="H306">
        <v>10.16</v>
      </c>
      <c r="I306">
        <v>16.41</v>
      </c>
      <c r="J306">
        <v>4.1099631578947369</v>
      </c>
      <c r="K306">
        <v>15807.05</v>
      </c>
      <c r="L306">
        <v>78.438000000000002</v>
      </c>
      <c r="M306">
        <v>76.734500000000011</v>
      </c>
      <c r="N306">
        <v>75.701500000000024</v>
      </c>
      <c r="O306">
        <v>780.75</v>
      </c>
      <c r="P306">
        <v>1208.8499999999999</v>
      </c>
      <c r="Q306">
        <v>15.973000000000004</v>
      </c>
      <c r="R306">
        <v>76.957999999999998</v>
      </c>
      <c r="S306">
        <v>139.59573345540323</v>
      </c>
      <c r="T306">
        <v>111.11127218400821</v>
      </c>
    </row>
    <row r="307" spans="1:20">
      <c r="A307" t="s">
        <v>416</v>
      </c>
      <c r="B307">
        <v>1909.4595238095239</v>
      </c>
      <c r="C307">
        <v>67.162244897959098</v>
      </c>
      <c r="D307">
        <v>65.602857142857204</v>
      </c>
      <c r="E307">
        <v>6446.4523809523807</v>
      </c>
      <c r="F307">
        <v>1202.2894736842106</v>
      </c>
      <c r="G307">
        <v>68.673913043478265</v>
      </c>
      <c r="H307">
        <v>10.45</v>
      </c>
      <c r="I307">
        <v>16.579999999999998</v>
      </c>
      <c r="J307">
        <v>3.4012227272727276</v>
      </c>
      <c r="K307">
        <v>15962.047619047618</v>
      </c>
      <c r="L307">
        <v>62.163043478260867</v>
      </c>
      <c r="M307">
        <v>60.391739130434779</v>
      </c>
      <c r="N307">
        <v>59.099565217391302</v>
      </c>
      <c r="O307">
        <v>806.6521739130435</v>
      </c>
      <c r="P307">
        <v>1212.3478260869565</v>
      </c>
      <c r="Q307">
        <v>16.239999999999998</v>
      </c>
      <c r="R307">
        <v>60.551449275362309</v>
      </c>
      <c r="S307">
        <v>126.23491484817129</v>
      </c>
      <c r="T307">
        <v>109.18427183250064</v>
      </c>
    </row>
    <row r="308" spans="1:20">
      <c r="A308" t="s">
        <v>417</v>
      </c>
      <c r="B308">
        <v>1814.7190476190476</v>
      </c>
      <c r="C308">
        <v>64.716326530612207</v>
      </c>
      <c r="D308">
        <v>60.187142857142902</v>
      </c>
      <c r="E308">
        <v>5830.5357142857147</v>
      </c>
      <c r="F308">
        <v>1251.8452380952381</v>
      </c>
      <c r="G308">
        <v>69.068181818181813</v>
      </c>
      <c r="H308">
        <v>9.5</v>
      </c>
      <c r="I308">
        <v>15.5</v>
      </c>
      <c r="J308">
        <v>2.9741399999999998</v>
      </c>
      <c r="K308">
        <v>14849.190476190477</v>
      </c>
      <c r="L308">
        <v>48.416818181818186</v>
      </c>
      <c r="M308">
        <v>46.334999999999994</v>
      </c>
      <c r="N308">
        <v>47.603636363636376</v>
      </c>
      <c r="O308">
        <v>785.5454545454545</v>
      </c>
      <c r="P308">
        <v>1241.7727272727273</v>
      </c>
      <c r="Q308">
        <v>17.09809523809524</v>
      </c>
      <c r="R308">
        <v>47.451818181818176</v>
      </c>
      <c r="S308">
        <v>114.22476486421697</v>
      </c>
      <c r="T308">
        <v>104.53710202094211</v>
      </c>
    </row>
    <row r="309" spans="1:20">
      <c r="A309" t="s">
        <v>418</v>
      </c>
      <c r="B309">
        <v>1817.8200000000002</v>
      </c>
      <c r="C309">
        <v>70.659107142856996</v>
      </c>
      <c r="D309">
        <v>63.105499999999999</v>
      </c>
      <c r="E309">
        <v>5729.2749999999996</v>
      </c>
      <c r="F309">
        <v>1227.1875</v>
      </c>
      <c r="G309">
        <v>63.8</v>
      </c>
      <c r="H309">
        <v>9.2899999999999991</v>
      </c>
      <c r="I309">
        <v>14.69</v>
      </c>
      <c r="J309">
        <v>2.847815789473684</v>
      </c>
      <c r="K309">
        <v>14573.8375</v>
      </c>
      <c r="L309">
        <v>57.930500000000009</v>
      </c>
      <c r="M309">
        <v>56.150000000000013</v>
      </c>
      <c r="N309">
        <v>50.717499999999987</v>
      </c>
      <c r="O309">
        <v>786.25</v>
      </c>
      <c r="P309">
        <v>1197.5999999999999</v>
      </c>
      <c r="Q309">
        <v>16.842499999999994</v>
      </c>
      <c r="R309">
        <v>54.932666666666663</v>
      </c>
      <c r="S309">
        <v>117.58875337202718</v>
      </c>
      <c r="T309">
        <v>101.53081644144117</v>
      </c>
    </row>
    <row r="310" spans="1:20">
      <c r="A310" t="s">
        <v>419</v>
      </c>
      <c r="B310">
        <v>1773.8636363636363</v>
      </c>
      <c r="C310">
        <v>68.344967532467507</v>
      </c>
      <c r="D310">
        <v>60.829090909090901</v>
      </c>
      <c r="E310">
        <v>5939.670454545455</v>
      </c>
      <c r="F310">
        <v>1178.6295454545455</v>
      </c>
      <c r="G310">
        <v>58.18181818181818</v>
      </c>
      <c r="H310">
        <v>9.2899999999999991</v>
      </c>
      <c r="I310">
        <v>13.05</v>
      </c>
      <c r="J310">
        <v>2.8006409090909092</v>
      </c>
      <c r="K310">
        <v>13755.5</v>
      </c>
      <c r="L310">
        <v>55.791363636363627</v>
      </c>
      <c r="M310">
        <v>54.909090909090899</v>
      </c>
      <c r="N310">
        <v>47.783636363636361</v>
      </c>
      <c r="O310">
        <v>786.31818181818187</v>
      </c>
      <c r="P310">
        <v>1138.6363636363637</v>
      </c>
      <c r="Q310">
        <v>16.222272727272728</v>
      </c>
      <c r="R310">
        <v>52.828030303030317</v>
      </c>
      <c r="S310">
        <v>113.57228564604348</v>
      </c>
      <c r="T310">
        <v>98.953824602244197</v>
      </c>
    </row>
    <row r="311" spans="1:20">
      <c r="A311" t="s">
        <v>420</v>
      </c>
      <c r="B311">
        <v>1819.1875</v>
      </c>
      <c r="C311">
        <v>61.197857142857103</v>
      </c>
      <c r="D311">
        <v>59.640999999999998</v>
      </c>
      <c r="E311">
        <v>6042.0874999999996</v>
      </c>
      <c r="F311">
        <v>1197.9099999999999</v>
      </c>
      <c r="G311">
        <v>52.113636363636367</v>
      </c>
      <c r="H311">
        <v>7.39</v>
      </c>
      <c r="I311">
        <v>11.02</v>
      </c>
      <c r="J311">
        <v>2.5794714285714284</v>
      </c>
      <c r="K311">
        <v>12830.924999999999</v>
      </c>
      <c r="L311">
        <v>59.389545454545448</v>
      </c>
      <c r="M311">
        <v>58.665454545454551</v>
      </c>
      <c r="N311">
        <v>54.203636363636363</v>
      </c>
      <c r="O311">
        <v>767.18181818181813</v>
      </c>
      <c r="P311">
        <v>1150.4545454545455</v>
      </c>
      <c r="Q311">
        <v>16.318999999999999</v>
      </c>
      <c r="R311">
        <v>57.419545454545457</v>
      </c>
      <c r="S311">
        <v>114.84288321070673</v>
      </c>
      <c r="T311">
        <v>100.88369550291691</v>
      </c>
    </row>
    <row r="312" spans="1:20">
      <c r="A312" t="s">
        <v>421</v>
      </c>
      <c r="B312">
        <v>1804.0394736842106</v>
      </c>
      <c r="C312">
        <v>65.671240601503698</v>
      </c>
      <c r="D312">
        <v>63.228421052631603</v>
      </c>
      <c r="E312">
        <v>6294.7763157894733</v>
      </c>
      <c r="F312">
        <v>1199.0526315789473</v>
      </c>
      <c r="G312">
        <v>60.428571428571431</v>
      </c>
      <c r="H312">
        <v>7.37</v>
      </c>
      <c r="I312">
        <v>9.0399999999999991</v>
      </c>
      <c r="J312">
        <v>2.8383399999999996</v>
      </c>
      <c r="K312">
        <v>13511.342105263158</v>
      </c>
      <c r="L312">
        <v>64.561428571428564</v>
      </c>
      <c r="M312">
        <v>63.674761904761887</v>
      </c>
      <c r="N312">
        <v>59.262380952380951</v>
      </c>
      <c r="O312">
        <v>783.04761904761904</v>
      </c>
      <c r="P312">
        <v>1139.8095238095239</v>
      </c>
      <c r="Q312">
        <v>16.800526315789476</v>
      </c>
      <c r="R312">
        <v>62.499523809523787</v>
      </c>
      <c r="S312">
        <v>118.6934729973257</v>
      </c>
      <c r="T312">
        <v>100.7662559194556</v>
      </c>
    </row>
    <row r="313" spans="1:20">
      <c r="A313" t="s">
        <v>422</v>
      </c>
      <c r="B313">
        <v>1687.7272727272727</v>
      </c>
      <c r="C313">
        <v>63.104707792207698</v>
      </c>
      <c r="D313">
        <v>60.915454545454601</v>
      </c>
      <c r="E313">
        <v>5833.011363636364</v>
      </c>
      <c r="F313">
        <v>1181.5045454545455</v>
      </c>
      <c r="G313">
        <v>61.840909090909093</v>
      </c>
      <c r="H313">
        <v>7.3</v>
      </c>
      <c r="I313">
        <v>8.7899999999999991</v>
      </c>
      <c r="J313">
        <v>2.7692318181818183</v>
      </c>
      <c r="K313">
        <v>12825.227272727272</v>
      </c>
      <c r="L313">
        <v>62.345909090909089</v>
      </c>
      <c r="M313">
        <v>61.758636363636356</v>
      </c>
      <c r="N313">
        <v>59.804545454545455</v>
      </c>
      <c r="O313">
        <v>726.77272727272725</v>
      </c>
      <c r="P313">
        <v>1088.7727272727273</v>
      </c>
      <c r="Q313">
        <v>16.096363636363634</v>
      </c>
      <c r="R313">
        <v>61.303030303030297</v>
      </c>
      <c r="S313">
        <v>116.50240329650684</v>
      </c>
      <c r="T313">
        <v>100.30179498230194</v>
      </c>
    </row>
    <row r="314" spans="1:20">
      <c r="A314" t="s">
        <v>423</v>
      </c>
      <c r="B314">
        <v>1639.5</v>
      </c>
      <c r="C314">
        <v>64.483229813664494</v>
      </c>
      <c r="D314">
        <v>57.028260869565202</v>
      </c>
      <c r="E314">
        <v>5456.75</v>
      </c>
      <c r="F314">
        <v>1130.0369565217391</v>
      </c>
      <c r="G314">
        <v>52.173913043478258</v>
      </c>
      <c r="H314">
        <v>6.68</v>
      </c>
      <c r="I314">
        <v>9.32</v>
      </c>
      <c r="J314">
        <v>2.830036363636363</v>
      </c>
      <c r="K314">
        <v>11413.097826086956</v>
      </c>
      <c r="L314">
        <v>55.865652173913055</v>
      </c>
      <c r="M314">
        <v>56.266086956521733</v>
      </c>
      <c r="N314">
        <v>51.161739130434775</v>
      </c>
      <c r="O314">
        <v>642.56521739130437</v>
      </c>
      <c r="P314">
        <v>1012.4347826086956</v>
      </c>
      <c r="Q314">
        <v>15.07217391304348</v>
      </c>
      <c r="R314">
        <v>54.431159420289866</v>
      </c>
      <c r="S314">
        <v>109.74369497510652</v>
      </c>
      <c r="T314">
        <v>100.15579315832466</v>
      </c>
    </row>
    <row r="315" spans="1:20">
      <c r="A315" t="s">
        <v>424</v>
      </c>
      <c r="B315">
        <v>1548.125</v>
      </c>
      <c r="C315">
        <v>63.393214285714201</v>
      </c>
      <c r="D315">
        <v>54.185499999999998</v>
      </c>
      <c r="E315">
        <v>5127.3</v>
      </c>
      <c r="F315">
        <v>1117.4749999999999</v>
      </c>
      <c r="G315">
        <v>57.333333333333336</v>
      </c>
      <c r="H315">
        <v>6.66</v>
      </c>
      <c r="I315">
        <v>10.16</v>
      </c>
      <c r="J315">
        <v>2.7630142857142856</v>
      </c>
      <c r="K315">
        <v>10386</v>
      </c>
      <c r="L315">
        <v>46.994285714285709</v>
      </c>
      <c r="M315">
        <v>47.303333333333342</v>
      </c>
      <c r="N315">
        <v>42.863333333333337</v>
      </c>
      <c r="O315">
        <v>594.33333333333337</v>
      </c>
      <c r="P315">
        <v>984.09523809523807</v>
      </c>
      <c r="Q315">
        <v>14.9375</v>
      </c>
      <c r="R315">
        <v>45.720317460317453</v>
      </c>
      <c r="S315">
        <v>102.52024145127211</v>
      </c>
      <c r="T315">
        <v>97.086476707333503</v>
      </c>
    </row>
    <row r="316" spans="1:20">
      <c r="A316" t="s">
        <v>425</v>
      </c>
      <c r="B316">
        <v>1589.6022727272727</v>
      </c>
      <c r="C316">
        <v>61.765422077921897</v>
      </c>
      <c r="D316">
        <v>51.482272727272701</v>
      </c>
      <c r="E316">
        <v>5217.25</v>
      </c>
      <c r="F316">
        <v>1124.5318181818182</v>
      </c>
      <c r="G316">
        <v>56.977272727272727</v>
      </c>
      <c r="H316">
        <v>6.49</v>
      </c>
      <c r="I316">
        <v>10.01</v>
      </c>
      <c r="J316">
        <v>2.6461428571428574</v>
      </c>
      <c r="K316">
        <v>9937.545454545454</v>
      </c>
      <c r="L316">
        <v>47.234545454545461</v>
      </c>
      <c r="M316">
        <v>46.144545454545458</v>
      </c>
      <c r="N316">
        <v>45.481363636363632</v>
      </c>
      <c r="O316">
        <v>608.5</v>
      </c>
      <c r="P316">
        <v>965.36363636363637</v>
      </c>
      <c r="Q316">
        <v>14.718181818181817</v>
      </c>
      <c r="R316">
        <v>46.286818181818177</v>
      </c>
      <c r="S316">
        <v>102.36254837675969</v>
      </c>
      <c r="T316">
        <v>96.290023318034102</v>
      </c>
    </row>
    <row r="317" spans="1:20">
      <c r="A317" t="s">
        <v>426</v>
      </c>
      <c r="B317">
        <v>1516.4886363636363</v>
      </c>
      <c r="C317">
        <v>57.330681818181702</v>
      </c>
      <c r="D317">
        <v>49.825000000000003</v>
      </c>
      <c r="E317">
        <v>5216.090909090909</v>
      </c>
      <c r="F317">
        <v>1159.2454545454545</v>
      </c>
      <c r="G317">
        <v>53.659090909090907</v>
      </c>
      <c r="H317">
        <v>6.01</v>
      </c>
      <c r="I317">
        <v>10.37</v>
      </c>
      <c r="J317">
        <v>2.3152045454545456</v>
      </c>
      <c r="K317">
        <v>10316.829545454546</v>
      </c>
      <c r="L317">
        <v>48.12409090909091</v>
      </c>
      <c r="M317">
        <v>46.551818181818177</v>
      </c>
      <c r="N317">
        <v>46.196363636363635</v>
      </c>
      <c r="O317">
        <v>691.5</v>
      </c>
      <c r="P317">
        <v>976.90909090909088</v>
      </c>
      <c r="Q317">
        <v>15.706818181818182</v>
      </c>
      <c r="R317">
        <v>46.957424242424239</v>
      </c>
      <c r="S317">
        <v>102.31737686619056</v>
      </c>
      <c r="T317">
        <v>96.824129614598888</v>
      </c>
    </row>
    <row r="318" spans="1:20">
      <c r="A318" t="s">
        <v>427</v>
      </c>
      <c r="B318">
        <v>1467.8928571428571</v>
      </c>
      <c r="C318">
        <v>55.778061224489697</v>
      </c>
      <c r="D318">
        <v>54.8685714285714</v>
      </c>
      <c r="E318">
        <v>4799.9047619047615</v>
      </c>
      <c r="F318">
        <v>1085.7023809523812</v>
      </c>
      <c r="G318">
        <v>47.19047619047619</v>
      </c>
      <c r="H318">
        <v>5.87</v>
      </c>
      <c r="I318">
        <v>9.4</v>
      </c>
      <c r="J318">
        <v>2.0757249999999998</v>
      </c>
      <c r="K318">
        <v>9244.3333333333339</v>
      </c>
      <c r="L318">
        <v>44.417142857142863</v>
      </c>
      <c r="M318">
        <v>42.323333333333338</v>
      </c>
      <c r="N318">
        <v>42.652380952380945</v>
      </c>
      <c r="O318">
        <v>574.04761904761904</v>
      </c>
      <c r="P318">
        <v>883.52380952380952</v>
      </c>
      <c r="Q318">
        <v>14.506666666666666</v>
      </c>
      <c r="R318">
        <v>43.130952380952372</v>
      </c>
      <c r="S318">
        <v>96.226149435876337</v>
      </c>
      <c r="T318">
        <v>92.771726312220267</v>
      </c>
    </row>
    <row r="319" spans="1:20">
      <c r="A319" t="s">
        <v>428</v>
      </c>
      <c r="B319">
        <v>1497.202380952381</v>
      </c>
      <c r="C319">
        <v>55.865816326530499</v>
      </c>
      <c r="D319">
        <v>49.8638095238095</v>
      </c>
      <c r="E319">
        <v>4638.833333333333</v>
      </c>
      <c r="F319">
        <v>1068.2526315789473</v>
      </c>
      <c r="G319">
        <v>40.882608695652173</v>
      </c>
      <c r="H319">
        <v>5.81</v>
      </c>
      <c r="I319">
        <v>10.15</v>
      </c>
      <c r="J319">
        <v>1.9227999999999996</v>
      </c>
      <c r="K319">
        <v>8707.7857142857138</v>
      </c>
      <c r="L319">
        <v>37.721739130434777</v>
      </c>
      <c r="M319">
        <v>34.702608695652181</v>
      </c>
      <c r="N319">
        <v>37.241304347826087</v>
      </c>
      <c r="O319">
        <v>552.21739130434787</v>
      </c>
      <c r="P319">
        <v>859.91304347826087</v>
      </c>
      <c r="Q319">
        <v>14.053809523809523</v>
      </c>
      <c r="R319">
        <v>36.555217391304339</v>
      </c>
      <c r="S319">
        <v>90.753591062868097</v>
      </c>
      <c r="T319">
        <v>92.353059783830545</v>
      </c>
    </row>
    <row r="320" spans="1:20">
      <c r="A320" t="s">
        <v>429</v>
      </c>
      <c r="B320">
        <v>1481.1</v>
      </c>
      <c r="C320">
        <v>53.4289285714285</v>
      </c>
      <c r="D320">
        <v>50.667999999999999</v>
      </c>
      <c r="E320">
        <v>4471.7875000000004</v>
      </c>
      <c r="F320">
        <v>1097.3749999999998</v>
      </c>
      <c r="G320">
        <v>42.204761904761895</v>
      </c>
      <c r="H320">
        <v>5.09</v>
      </c>
      <c r="I320">
        <v>8.4600000000000009</v>
      </c>
      <c r="J320">
        <v>2.2744315789473681</v>
      </c>
      <c r="K320">
        <v>8507.2875000000004</v>
      </c>
      <c r="L320">
        <v>30.803333333333338</v>
      </c>
      <c r="M320">
        <v>27.246666666666663</v>
      </c>
      <c r="N320">
        <v>31.704761904761909</v>
      </c>
      <c r="O320">
        <v>502.52380952380952</v>
      </c>
      <c r="P320">
        <v>854.76190476190482</v>
      </c>
      <c r="Q320">
        <v>14.015750000000001</v>
      </c>
      <c r="R320">
        <v>29.918253968253971</v>
      </c>
      <c r="S320">
        <v>85.32228161132106</v>
      </c>
      <c r="T320">
        <v>92.319382649549951</v>
      </c>
    </row>
    <row r="321" spans="1:20">
      <c r="A321" t="s">
        <v>430</v>
      </c>
      <c r="B321">
        <v>1531.2619047619048</v>
      </c>
      <c r="C321">
        <v>53.781632653061102</v>
      </c>
      <c r="D321">
        <v>52.365714285714297</v>
      </c>
      <c r="E321">
        <v>4598.6190476190477</v>
      </c>
      <c r="F321">
        <v>1199.9119047619049</v>
      </c>
      <c r="G321">
        <v>46.485714285714273</v>
      </c>
      <c r="H321">
        <v>4.79</v>
      </c>
      <c r="I321">
        <v>7.99</v>
      </c>
      <c r="J321">
        <v>1.95716</v>
      </c>
      <c r="K321">
        <v>8298.5</v>
      </c>
      <c r="L321">
        <v>33.198095238095235</v>
      </c>
      <c r="M321">
        <v>29.614761904761899</v>
      </c>
      <c r="N321">
        <v>30.348571428571425</v>
      </c>
      <c r="O321">
        <v>505.1904761904762</v>
      </c>
      <c r="P321">
        <v>920.23809523809518</v>
      </c>
      <c r="Q321">
        <v>15.068095238095241</v>
      </c>
      <c r="R321">
        <v>31.05380952380952</v>
      </c>
      <c r="S321">
        <v>87.370831651442472</v>
      </c>
      <c r="T321">
        <v>93.628967327861588</v>
      </c>
    </row>
    <row r="322" spans="1:20">
      <c r="A322" t="s">
        <v>431</v>
      </c>
      <c r="B322">
        <v>1531.0119047619048</v>
      </c>
      <c r="C322">
        <v>55.435204081632499</v>
      </c>
      <c r="D322">
        <v>53.567142857142898</v>
      </c>
      <c r="E322">
        <v>4953.7976190476193</v>
      </c>
      <c r="F322">
        <v>1246.3380952380951</v>
      </c>
      <c r="G322">
        <v>56.539130434782592</v>
      </c>
      <c r="H322">
        <v>4.09</v>
      </c>
      <c r="I322">
        <v>8.01</v>
      </c>
      <c r="J322">
        <v>1.7044318181818179</v>
      </c>
      <c r="K322">
        <v>8717.25</v>
      </c>
      <c r="L322">
        <v>39.071739130434779</v>
      </c>
      <c r="M322">
        <v>35.173043478260873</v>
      </c>
      <c r="N322">
        <v>37.773913043478267</v>
      </c>
      <c r="O322">
        <v>568.21739130434787</v>
      </c>
      <c r="P322">
        <v>967.43478260869563</v>
      </c>
      <c r="Q322">
        <v>15.420476190476187</v>
      </c>
      <c r="R322">
        <v>37.339565217391304</v>
      </c>
      <c r="S322">
        <v>93.608598124972517</v>
      </c>
      <c r="T322">
        <v>97.082943643197424</v>
      </c>
    </row>
    <row r="323" spans="1:20">
      <c r="A323" t="s">
        <v>432</v>
      </c>
      <c r="B323">
        <v>1571.2261904761904</v>
      </c>
      <c r="C323">
        <v>54.658673469387601</v>
      </c>
      <c r="D323">
        <v>52.868095238095201</v>
      </c>
      <c r="E323">
        <v>4872.7380952380954</v>
      </c>
      <c r="F323">
        <v>1242.261904761905</v>
      </c>
      <c r="G323">
        <v>60.966666666666654</v>
      </c>
      <c r="H323">
        <v>4.0199999999999996</v>
      </c>
      <c r="I323">
        <v>6.68</v>
      </c>
      <c r="J323">
        <v>1.903261904761905</v>
      </c>
      <c r="K323">
        <v>8878.8571428571431</v>
      </c>
      <c r="L323">
        <v>42.247619047619047</v>
      </c>
      <c r="M323">
        <v>39.037619047619046</v>
      </c>
      <c r="N323">
        <v>40.962857142857139</v>
      </c>
      <c r="O323">
        <v>574.33333333333337</v>
      </c>
      <c r="P323">
        <v>994.19047619047615</v>
      </c>
      <c r="Q323">
        <v>16.258809523809521</v>
      </c>
      <c r="R323">
        <v>40.749365079365077</v>
      </c>
      <c r="S323">
        <v>96.758541331427395</v>
      </c>
      <c r="T323">
        <v>100.06911140313098</v>
      </c>
    </row>
    <row r="324" spans="1:20">
      <c r="A324" t="s">
        <v>433</v>
      </c>
      <c r="B324">
        <v>1550.625</v>
      </c>
      <c r="C324">
        <v>54.527142857142699</v>
      </c>
      <c r="D324">
        <v>53.448999999999998</v>
      </c>
      <c r="E324">
        <v>4694.5375000000004</v>
      </c>
      <c r="F324">
        <v>1259.3974999999996</v>
      </c>
      <c r="G324">
        <v>55.886363636363633</v>
      </c>
      <c r="H324">
        <v>3.99</v>
      </c>
      <c r="I324">
        <v>6.81</v>
      </c>
      <c r="J324">
        <v>1.9214047619047618</v>
      </c>
      <c r="K324">
        <v>8660.35</v>
      </c>
      <c r="L324">
        <v>47.132727272727273</v>
      </c>
      <c r="M324">
        <v>43.964545454545458</v>
      </c>
      <c r="N324">
        <v>46.845909090909096</v>
      </c>
      <c r="O324">
        <v>578.13636363636363</v>
      </c>
      <c r="P324">
        <v>1032.8636363636363</v>
      </c>
      <c r="Q324">
        <v>16.888749999999995</v>
      </c>
      <c r="R324">
        <v>45.981060606060595</v>
      </c>
      <c r="S324">
        <v>100.58206146238072</v>
      </c>
      <c r="T324">
        <v>101.44126822142564</v>
      </c>
    </row>
    <row r="325" spans="1:20">
      <c r="A325" t="s">
        <v>434</v>
      </c>
      <c r="B325">
        <v>1593.5068181818183</v>
      </c>
      <c r="C325">
        <v>56.2285714285713</v>
      </c>
      <c r="D325">
        <v>58.07</v>
      </c>
      <c r="E325">
        <v>4641.965909090909</v>
      </c>
      <c r="F325">
        <v>1276.4045454545451</v>
      </c>
      <c r="G325">
        <v>52.340909090909093</v>
      </c>
      <c r="H325">
        <v>4.04</v>
      </c>
      <c r="I325">
        <v>7.08</v>
      </c>
      <c r="J325">
        <v>2.566377272727272</v>
      </c>
      <c r="K325">
        <v>8928.3522727272721</v>
      </c>
      <c r="L325">
        <v>48.478181818181817</v>
      </c>
      <c r="M325">
        <v>45.834545454545456</v>
      </c>
      <c r="N325">
        <v>48.748636363636372</v>
      </c>
      <c r="O325">
        <v>553.09090909090912</v>
      </c>
      <c r="P325">
        <v>984.13636363636363</v>
      </c>
      <c r="Q325">
        <v>17.181136363636366</v>
      </c>
      <c r="R325">
        <v>47.687121212121205</v>
      </c>
      <c r="S325">
        <v>103.20915908130543</v>
      </c>
      <c r="T325">
        <v>103.57827172650637</v>
      </c>
    </row>
    <row r="326" spans="1:20">
      <c r="A326" t="s">
        <v>435</v>
      </c>
      <c r="B326">
        <v>1629.047619047619</v>
      </c>
      <c r="C326">
        <v>64.418367346938695</v>
      </c>
      <c r="D326">
        <v>62.680476190476199</v>
      </c>
      <c r="E326">
        <v>4864.9047619047615</v>
      </c>
      <c r="F326">
        <v>1337.3261904761907</v>
      </c>
      <c r="G326">
        <v>57.30952380952381</v>
      </c>
      <c r="H326">
        <v>4.3</v>
      </c>
      <c r="I326">
        <v>6.85</v>
      </c>
      <c r="J326">
        <v>2.7879399999999999</v>
      </c>
      <c r="K326">
        <v>10262.857142857143</v>
      </c>
      <c r="L326">
        <v>45.07095238095237</v>
      </c>
      <c r="M326">
        <v>42.709523809523809</v>
      </c>
      <c r="N326">
        <v>44.891904761904755</v>
      </c>
      <c r="O326">
        <v>646.04761904761904</v>
      </c>
      <c r="P326">
        <v>1086.4761904761904</v>
      </c>
      <c r="Q326">
        <v>19.928571428571427</v>
      </c>
      <c r="R326">
        <v>44.224126984126983</v>
      </c>
      <c r="S326">
        <v>102.82818881660569</v>
      </c>
      <c r="T326">
        <v>103.88291064856783</v>
      </c>
    </row>
    <row r="327" spans="1:20">
      <c r="A327" t="s">
        <v>436</v>
      </c>
      <c r="B327">
        <v>1639.284090909091</v>
      </c>
      <c r="C327">
        <v>71.326948051947895</v>
      </c>
      <c r="D327">
        <v>65.95</v>
      </c>
      <c r="E327">
        <v>4751.670454545455</v>
      </c>
      <c r="F327">
        <v>1341.0886363636366</v>
      </c>
      <c r="G327">
        <v>60.869565217391305</v>
      </c>
      <c r="H327">
        <v>4.25</v>
      </c>
      <c r="I327">
        <v>7.42</v>
      </c>
      <c r="J327">
        <v>2.7912565217391307</v>
      </c>
      <c r="K327">
        <v>10335.988636363636</v>
      </c>
      <c r="L327">
        <v>46.144347826086943</v>
      </c>
      <c r="M327">
        <v>43.635652173913051</v>
      </c>
      <c r="N327">
        <v>44.749130434782607</v>
      </c>
      <c r="O327">
        <v>699.56521739130437</v>
      </c>
      <c r="P327">
        <v>1121.7391304347825</v>
      </c>
      <c r="Q327">
        <v>19.640227272727273</v>
      </c>
      <c r="R327">
        <v>44.843043478260867</v>
      </c>
      <c r="S327">
        <v>103.30582188210266</v>
      </c>
      <c r="T327">
        <v>102.12454834463537</v>
      </c>
    </row>
    <row r="328" spans="1:20">
      <c r="A328" t="s">
        <v>437</v>
      </c>
      <c r="B328">
        <v>1592.3636363636363</v>
      </c>
      <c r="C328">
        <v>76.373863636363495</v>
      </c>
      <c r="D328">
        <v>67.491818181818203</v>
      </c>
      <c r="E328">
        <v>4722.204545454545</v>
      </c>
      <c r="F328">
        <v>1326.0295454545451</v>
      </c>
      <c r="G328">
        <v>57.659090909090907</v>
      </c>
      <c r="H328">
        <v>3.96</v>
      </c>
      <c r="I328">
        <v>7.79</v>
      </c>
      <c r="J328">
        <v>2.968871428571429</v>
      </c>
      <c r="K328">
        <v>10191.78409090909</v>
      </c>
      <c r="L328">
        <v>46.18863636363637</v>
      </c>
      <c r="M328">
        <v>43.81727272727273</v>
      </c>
      <c r="N328">
        <v>45.167272727272717</v>
      </c>
      <c r="O328">
        <v>682.59090909090912</v>
      </c>
      <c r="P328">
        <v>1045.9545454545455</v>
      </c>
      <c r="Q328">
        <v>19.284772727272728</v>
      </c>
      <c r="R328">
        <v>45.057727272727277</v>
      </c>
      <c r="S328">
        <v>103.35638250099814</v>
      </c>
      <c r="T328">
        <v>101.70664702702703</v>
      </c>
    </row>
    <row r="329" spans="1:20">
      <c r="A329" t="s">
        <v>438</v>
      </c>
      <c r="B329">
        <v>1665.9047619047619</v>
      </c>
      <c r="C329">
        <v>96.239795918367193</v>
      </c>
      <c r="D329">
        <v>83.6</v>
      </c>
      <c r="E329">
        <v>4731.2619047619046</v>
      </c>
      <c r="F329">
        <v>1266.5690476190478</v>
      </c>
      <c r="G329">
        <v>58.952380952380949</v>
      </c>
      <c r="H329">
        <v>4.01</v>
      </c>
      <c r="I329">
        <v>7.93</v>
      </c>
      <c r="J329">
        <v>2.9506285714285712</v>
      </c>
      <c r="K329">
        <v>10259.738095238095</v>
      </c>
      <c r="L329">
        <v>49.732380952380957</v>
      </c>
      <c r="M329">
        <v>48.263333333333328</v>
      </c>
      <c r="N329">
        <v>49.885238095238094</v>
      </c>
      <c r="O329">
        <v>648.52380952380952</v>
      </c>
      <c r="P329">
        <v>959.14285714285711</v>
      </c>
      <c r="Q329">
        <v>17.73714285714286</v>
      </c>
      <c r="R329">
        <v>49.293650793650784</v>
      </c>
      <c r="S329">
        <v>106.56969932697673</v>
      </c>
      <c r="T329">
        <v>100.64342220885253</v>
      </c>
    </row>
    <row r="330" spans="1:20">
      <c r="A330" t="s">
        <v>439</v>
      </c>
      <c r="B330">
        <v>1737.1136363636363</v>
      </c>
      <c r="C330">
        <v>111.428084415584</v>
      </c>
      <c r="D330">
        <v>89.594545454545496</v>
      </c>
      <c r="E330">
        <v>5450.931818181818</v>
      </c>
      <c r="F330">
        <v>1235.9795454545454</v>
      </c>
      <c r="G330">
        <v>74.13636363636364</v>
      </c>
      <c r="H330">
        <v>4.54</v>
      </c>
      <c r="I330">
        <v>7.16</v>
      </c>
      <c r="J330">
        <v>2.5008749999999997</v>
      </c>
      <c r="K330">
        <v>11128.90909090909</v>
      </c>
      <c r="L330">
        <v>46.435909090909092</v>
      </c>
      <c r="M330">
        <v>43.774999999999991</v>
      </c>
      <c r="N330">
        <v>45.62318181818182</v>
      </c>
      <c r="O330">
        <v>697.40909090909088</v>
      </c>
      <c r="P330">
        <v>953.27272727272725</v>
      </c>
      <c r="Q330">
        <v>17.415454545454544</v>
      </c>
      <c r="R330">
        <v>45.278030303030306</v>
      </c>
      <c r="S330">
        <v>105.44564119729789</v>
      </c>
      <c r="T330">
        <v>101.19577735032286</v>
      </c>
    </row>
    <row r="331" spans="1:20">
      <c r="A331" t="s">
        <v>440</v>
      </c>
      <c r="B331">
        <v>1727.7375</v>
      </c>
      <c r="C331">
        <v>93.134464285714103</v>
      </c>
      <c r="D331">
        <v>82.718999999999994</v>
      </c>
      <c r="E331">
        <v>5660.35</v>
      </c>
      <c r="F331">
        <v>1151.4027777777778</v>
      </c>
      <c r="G331">
        <v>79.431818181818187</v>
      </c>
      <c r="H331">
        <v>5.16</v>
      </c>
      <c r="I331">
        <v>7.09</v>
      </c>
      <c r="J331">
        <v>3.581838095238095</v>
      </c>
      <c r="K331">
        <v>10972.275</v>
      </c>
      <c r="L331">
        <v>54.06636363636364</v>
      </c>
      <c r="M331">
        <v>51.762727272727268</v>
      </c>
      <c r="N331">
        <v>52.013636363636358</v>
      </c>
      <c r="O331">
        <v>702.15909090909088</v>
      </c>
      <c r="P331">
        <v>917.5</v>
      </c>
      <c r="Q331">
        <v>16.378500000000003</v>
      </c>
      <c r="R331">
        <v>52.614242424242427</v>
      </c>
      <c r="S331">
        <v>111.64279301316935</v>
      </c>
      <c r="T331">
        <v>102.32674944892257</v>
      </c>
    </row>
    <row r="332" spans="1:20">
      <c r="A332" t="s">
        <v>441</v>
      </c>
      <c r="B332">
        <v>1791.2380952380952</v>
      </c>
      <c r="C332">
        <v>91.424489795918205</v>
      </c>
      <c r="D332">
        <v>86.087142857142894</v>
      </c>
      <c r="E332">
        <v>5754.5595238095239</v>
      </c>
      <c r="F332">
        <v>1192.6166666666663</v>
      </c>
      <c r="G332">
        <v>80.818181818181813</v>
      </c>
      <c r="H332">
        <v>6.2781398585858597</v>
      </c>
      <c r="I332">
        <v>9.1740909090909106</v>
      </c>
      <c r="J332">
        <v>3.2607849999999998</v>
      </c>
      <c r="K332">
        <v>9971.4642857142862</v>
      </c>
      <c r="L332">
        <v>54.892727272727278</v>
      </c>
      <c r="M332">
        <v>53.43454545454545</v>
      </c>
      <c r="N332">
        <v>52.55954545454545</v>
      </c>
      <c r="O332">
        <v>744.81818181818187</v>
      </c>
      <c r="P332">
        <v>968.40909090909088</v>
      </c>
      <c r="Q332">
        <v>16.807619047619049</v>
      </c>
      <c r="R332">
        <v>53.628939393939383</v>
      </c>
      <c r="S332">
        <v>115.91232862639042</v>
      </c>
      <c r="T332">
        <v>106.5366290159841</v>
      </c>
    </row>
    <row r="333" spans="1:20">
      <c r="A333" t="s">
        <v>442</v>
      </c>
      <c r="B333">
        <v>1860.75</v>
      </c>
      <c r="C333">
        <v>85.969285714285604</v>
      </c>
      <c r="D333">
        <v>83.033500000000004</v>
      </c>
      <c r="E333">
        <v>5940.9125000000004</v>
      </c>
      <c r="F333">
        <v>1234.3575000000001</v>
      </c>
      <c r="G333">
        <v>88.95</v>
      </c>
      <c r="H333">
        <v>6.1002983055555502</v>
      </c>
      <c r="I333">
        <v>7.1280000000000001</v>
      </c>
      <c r="J333">
        <v>2.8232842105263156</v>
      </c>
      <c r="K333">
        <v>10643.3</v>
      </c>
      <c r="L333">
        <v>55.493500000000004</v>
      </c>
      <c r="M333">
        <v>54.171000000000014</v>
      </c>
      <c r="N333">
        <v>53.401499999999999</v>
      </c>
      <c r="O333">
        <v>775.55</v>
      </c>
      <c r="P333">
        <v>1007.35</v>
      </c>
      <c r="Q333">
        <v>17.874249999999996</v>
      </c>
      <c r="R333">
        <v>54.355333333333327</v>
      </c>
      <c r="S333">
        <v>116.36967752249221</v>
      </c>
      <c r="T333">
        <v>107.02278794316925</v>
      </c>
    </row>
    <row r="334" spans="1:20">
      <c r="A334" t="s">
        <v>443</v>
      </c>
      <c r="B334">
        <v>1901.4673913043478</v>
      </c>
      <c r="C334">
        <v>86.333850931676807</v>
      </c>
      <c r="D334">
        <v>78.302608695652197</v>
      </c>
      <c r="E334">
        <v>5824.630434782609</v>
      </c>
      <c r="F334">
        <v>1231.0934782608692</v>
      </c>
      <c r="G334">
        <v>87.195652173913047</v>
      </c>
      <c r="H334">
        <v>4.9450203478260804</v>
      </c>
      <c r="I334">
        <v>5.79478260869565</v>
      </c>
      <c r="J334">
        <v>2.8874999999999997</v>
      </c>
      <c r="K334">
        <v>10204.66304347826</v>
      </c>
      <c r="L334">
        <v>51.968260869565235</v>
      </c>
      <c r="M334">
        <v>51.164347826086967</v>
      </c>
      <c r="N334">
        <v>49.584782608695654</v>
      </c>
      <c r="O334">
        <v>776.304347826087</v>
      </c>
      <c r="P334">
        <v>962.26086956521738</v>
      </c>
      <c r="Q334">
        <v>17.587826086956522</v>
      </c>
      <c r="R334">
        <v>50.905797101449281</v>
      </c>
      <c r="S334">
        <v>110.86862038090501</v>
      </c>
      <c r="T334">
        <v>103.43533644775873</v>
      </c>
    </row>
    <row r="335" spans="1:20">
      <c r="A335" t="s">
        <v>444</v>
      </c>
      <c r="B335">
        <v>1921.2222222222222</v>
      </c>
      <c r="C335">
        <v>90.110714285714096</v>
      </c>
      <c r="D335">
        <v>77.305000000000007</v>
      </c>
      <c r="E335">
        <v>5683.9027777777774</v>
      </c>
      <c r="F335">
        <v>1265.6277777777777</v>
      </c>
      <c r="G335">
        <v>70.400000000000006</v>
      </c>
      <c r="H335">
        <v>5.0351273138888901</v>
      </c>
      <c r="I335">
        <v>5.7095000000000002</v>
      </c>
      <c r="J335">
        <v>3.0820368421052637</v>
      </c>
      <c r="K335">
        <v>9609.2777777777774</v>
      </c>
      <c r="L335">
        <v>53.063499999999998</v>
      </c>
      <c r="M335">
        <v>52.447500000000005</v>
      </c>
      <c r="N335">
        <v>51.167999999999999</v>
      </c>
      <c r="O335">
        <v>800.6</v>
      </c>
      <c r="P335">
        <v>961.4</v>
      </c>
      <c r="Q335">
        <v>18.05833333333333</v>
      </c>
      <c r="R335">
        <v>52.226333333333329</v>
      </c>
      <c r="S335">
        <v>110.97639080642973</v>
      </c>
      <c r="T335">
        <v>102.80470979601672</v>
      </c>
    </row>
    <row r="336" spans="1:20">
      <c r="A336" t="s">
        <v>445</v>
      </c>
      <c r="B336">
        <v>1913.0238095238096</v>
      </c>
      <c r="C336">
        <v>80.118367346938598</v>
      </c>
      <c r="D336">
        <v>72.502857142857195</v>
      </c>
      <c r="E336">
        <v>5599.5595238095239</v>
      </c>
      <c r="F336">
        <v>1245.0047619047618</v>
      </c>
      <c r="G336">
        <v>61.630434782608695</v>
      </c>
      <c r="H336">
        <v>5.0677284130434801</v>
      </c>
      <c r="I336">
        <v>5.7190624999999997</v>
      </c>
      <c r="J336">
        <v>3.1248000000000005</v>
      </c>
      <c r="K336">
        <v>9155.1190476190477</v>
      </c>
      <c r="L336">
        <v>50.87086956521739</v>
      </c>
      <c r="M336">
        <v>50.304347826086953</v>
      </c>
      <c r="N336">
        <v>48.559565217391302</v>
      </c>
      <c r="O336">
        <v>793.26086956521738</v>
      </c>
      <c r="P336">
        <v>931.78260869565213</v>
      </c>
      <c r="Q336">
        <v>16.764761904761901</v>
      </c>
      <c r="R336">
        <v>49.911594202898563</v>
      </c>
      <c r="S336">
        <v>108.83827631239674</v>
      </c>
      <c r="T336">
        <v>105.2184556262368</v>
      </c>
    </row>
    <row r="337" spans="1:20">
      <c r="A337" t="s">
        <v>446</v>
      </c>
      <c r="B337">
        <v>1885.2863636363638</v>
      </c>
      <c r="C337">
        <v>85.673376623376399</v>
      </c>
      <c r="D337">
        <v>78.063181818181803</v>
      </c>
      <c r="E337">
        <v>5719.761363636364</v>
      </c>
      <c r="F337">
        <v>1260.2568181818181</v>
      </c>
      <c r="G337">
        <v>57.863636363636367</v>
      </c>
      <c r="H337">
        <v>4.9842259974747503</v>
      </c>
      <c r="I337">
        <v>5.5236363636363599</v>
      </c>
      <c r="J337">
        <v>2.9409954545454551</v>
      </c>
      <c r="K337">
        <v>8931.761363636364</v>
      </c>
      <c r="L337">
        <v>46.894545454545458</v>
      </c>
      <c r="M337">
        <v>46.336818181818188</v>
      </c>
      <c r="N337">
        <v>45.167727272727262</v>
      </c>
      <c r="O337">
        <v>864.63636363636363</v>
      </c>
      <c r="P337">
        <v>930.72727272727275</v>
      </c>
      <c r="Q337">
        <v>16.945909090909087</v>
      </c>
      <c r="R337">
        <v>46.133030303030303</v>
      </c>
      <c r="S337">
        <v>105.64405026099951</v>
      </c>
      <c r="T337">
        <v>104.5174124848143</v>
      </c>
    </row>
    <row r="338" spans="1:20">
      <c r="A338" t="s">
        <v>447</v>
      </c>
      <c r="B338">
        <v>1902.9642857142858</v>
      </c>
      <c r="C338">
        <v>90.773979591836607</v>
      </c>
      <c r="D338">
        <v>81.690952380952396</v>
      </c>
      <c r="E338">
        <v>5985.1190476190477</v>
      </c>
      <c r="F338">
        <v>1236.2214285714283</v>
      </c>
      <c r="G338">
        <v>66.738095238095241</v>
      </c>
      <c r="H338">
        <v>5.0983402010581997</v>
      </c>
      <c r="I338">
        <v>5.6319047619047602</v>
      </c>
      <c r="J338">
        <v>2.9580200000000003</v>
      </c>
      <c r="K338">
        <v>9491.3928571428569</v>
      </c>
      <c r="L338">
        <v>48.69</v>
      </c>
      <c r="M338">
        <v>47.631428571428579</v>
      </c>
      <c r="N338">
        <v>46.673809523809524</v>
      </c>
      <c r="O338">
        <v>856</v>
      </c>
      <c r="P338">
        <v>918.38095238095241</v>
      </c>
      <c r="Q338">
        <v>16.143809523809526</v>
      </c>
      <c r="R338">
        <v>47.665079365079364</v>
      </c>
      <c r="S338">
        <v>108.48214300067038</v>
      </c>
      <c r="T338">
        <v>106.86400798733676</v>
      </c>
    </row>
    <row r="339" spans="1:20">
      <c r="A339" t="s">
        <v>448</v>
      </c>
      <c r="B339">
        <v>2030.0113636363637</v>
      </c>
      <c r="C339">
        <v>102.77240259740201</v>
      </c>
      <c r="D339">
        <v>87.174090909090907</v>
      </c>
      <c r="E339">
        <v>6485.625</v>
      </c>
      <c r="F339">
        <v>1282.3159090909094</v>
      </c>
      <c r="G339">
        <v>74.586956521739125</v>
      </c>
      <c r="H339">
        <v>5.5365165458937202</v>
      </c>
      <c r="I339">
        <v>6.1308695652173899</v>
      </c>
      <c r="J339">
        <v>2.8756782608695657</v>
      </c>
      <c r="K339">
        <v>10889.977272727272</v>
      </c>
      <c r="L339">
        <v>51.369565217391312</v>
      </c>
      <c r="M339">
        <v>50.426521739130429</v>
      </c>
      <c r="N339">
        <v>48.031739130434786</v>
      </c>
      <c r="O339">
        <v>913</v>
      </c>
      <c r="P339">
        <v>972.47826086956525</v>
      </c>
      <c r="Q339">
        <v>16.90909090909091</v>
      </c>
      <c r="R339">
        <v>49.942608695652169</v>
      </c>
      <c r="S339">
        <v>111.37236548451996</v>
      </c>
      <c r="T339">
        <v>102.08084936005673</v>
      </c>
    </row>
    <row r="340" spans="1:20">
      <c r="A340" t="s">
        <v>449</v>
      </c>
      <c r="B340">
        <v>2096.4880952380954</v>
      </c>
      <c r="C340">
        <v>104.77500000000001</v>
      </c>
      <c r="D340">
        <v>91.869047619047606</v>
      </c>
      <c r="E340">
        <v>6577.166666666667</v>
      </c>
      <c r="F340">
        <v>1314.9785714285711</v>
      </c>
      <c r="G340">
        <v>69.238095238095241</v>
      </c>
      <c r="H340">
        <v>6.0326823571428596</v>
      </c>
      <c r="I340">
        <v>7.0842857142857101</v>
      </c>
      <c r="J340">
        <v>2.9629600000000003</v>
      </c>
      <c r="K340">
        <v>11215.785714285714</v>
      </c>
      <c r="L340">
        <v>55.162857142857128</v>
      </c>
      <c r="M340">
        <v>53.861904761904768</v>
      </c>
      <c r="N340">
        <v>49.706190476190486</v>
      </c>
      <c r="O340">
        <v>934.90476190476193</v>
      </c>
      <c r="P340">
        <v>966.14285714285711</v>
      </c>
      <c r="Q340">
        <v>17.448571428571427</v>
      </c>
      <c r="R340">
        <v>52.910317460317465</v>
      </c>
      <c r="S340">
        <v>114.56811736486772</v>
      </c>
      <c r="T340">
        <v>100.84922316811497</v>
      </c>
    </row>
    <row r="341" spans="1:20">
      <c r="A341" t="s">
        <v>450</v>
      </c>
      <c r="B341">
        <v>2131.4886363636365</v>
      </c>
      <c r="C341">
        <v>103.249675324675</v>
      </c>
      <c r="D341">
        <v>91.262727272727304</v>
      </c>
      <c r="E341">
        <v>6807.602272727273</v>
      </c>
      <c r="F341">
        <v>1279.5136363636366</v>
      </c>
      <c r="G341">
        <v>61.045454545454547</v>
      </c>
      <c r="H341">
        <v>5.8910180959595904</v>
      </c>
      <c r="I341">
        <v>8.7927272727272694</v>
      </c>
      <c r="J341">
        <v>2.867336363636364</v>
      </c>
      <c r="K341">
        <v>11335.772727272728</v>
      </c>
      <c r="L341">
        <v>57.617727272727279</v>
      </c>
      <c r="M341">
        <v>55.584090909090904</v>
      </c>
      <c r="N341">
        <v>51.56454545454546</v>
      </c>
      <c r="O341">
        <v>959.36363636363637</v>
      </c>
      <c r="P341">
        <v>921</v>
      </c>
      <c r="Q341">
        <v>16.937272727272724</v>
      </c>
      <c r="R341">
        <v>54.922121212121212</v>
      </c>
      <c r="S341">
        <v>116.08646916728648</v>
      </c>
      <c r="T341">
        <v>101.65215499046518</v>
      </c>
    </row>
    <row r="342" spans="1:20">
      <c r="A342" t="s">
        <v>451</v>
      </c>
      <c r="B342">
        <v>2097.4409090909089</v>
      </c>
      <c r="C342">
        <v>102.487012987013</v>
      </c>
      <c r="D342">
        <v>91.639545454545498</v>
      </c>
      <c r="E342">
        <v>6826.545454545455</v>
      </c>
      <c r="F342">
        <v>1282.284090909091</v>
      </c>
      <c r="G342">
        <v>63.409090909090907</v>
      </c>
      <c r="H342">
        <v>6.7391957500000004</v>
      </c>
      <c r="I342">
        <v>9.5714285714285694</v>
      </c>
      <c r="J342">
        <v>2.9926349999999999</v>
      </c>
      <c r="K342">
        <v>11972</v>
      </c>
      <c r="L342">
        <v>62.575454545454548</v>
      </c>
      <c r="M342">
        <v>60.582727272727261</v>
      </c>
      <c r="N342">
        <v>56.710454545454553</v>
      </c>
      <c r="O342">
        <v>999.7954545454545</v>
      </c>
      <c r="P342">
        <v>934</v>
      </c>
      <c r="Q342">
        <v>17.005000000000003</v>
      </c>
      <c r="R342">
        <v>59.956212121212111</v>
      </c>
      <c r="S342">
        <v>120.84938966647276</v>
      </c>
      <c r="T342">
        <v>102.29060043898986</v>
      </c>
    </row>
    <row r="343" spans="1:20">
      <c r="A343" t="s">
        <v>452</v>
      </c>
      <c r="B343">
        <v>2080.4736842105262</v>
      </c>
      <c r="C343">
        <v>105.968796992481</v>
      </c>
      <c r="D343">
        <v>94.904736842105294</v>
      </c>
      <c r="E343">
        <v>6833.894736842105</v>
      </c>
      <c r="F343">
        <v>1261.2558823529414</v>
      </c>
      <c r="G343">
        <v>71.738095238095241</v>
      </c>
      <c r="H343">
        <v>7.2143216455026504</v>
      </c>
      <c r="I343">
        <v>10.709047619047601</v>
      </c>
      <c r="J343">
        <v>2.7973600000000003</v>
      </c>
      <c r="K343">
        <v>11495.105263157895</v>
      </c>
      <c r="L343">
        <v>64.211904761904762</v>
      </c>
      <c r="M343">
        <v>61.451904761904764</v>
      </c>
      <c r="N343">
        <v>57.962380952380954</v>
      </c>
      <c r="O343">
        <v>1021.8095238095239</v>
      </c>
      <c r="P343">
        <v>906.85714285714289</v>
      </c>
      <c r="Q343">
        <v>16.160789473684211</v>
      </c>
      <c r="R343">
        <v>61.208730158730162</v>
      </c>
      <c r="S343">
        <v>122.57806510590699</v>
      </c>
      <c r="T343">
        <v>102.2817265025389</v>
      </c>
    </row>
    <row r="344" spans="1:20">
      <c r="A344" t="s">
        <v>453</v>
      </c>
      <c r="B344">
        <v>2209.7272727272725</v>
      </c>
      <c r="C344">
        <v>111.93262987013</v>
      </c>
      <c r="D344">
        <v>97.381818181818204</v>
      </c>
      <c r="E344">
        <v>7065.852272727273</v>
      </c>
      <c r="F344">
        <v>1331.6659090909091</v>
      </c>
      <c r="G344">
        <v>75.782608695652172</v>
      </c>
      <c r="H344">
        <v>6.6475151135265698</v>
      </c>
      <c r="I344">
        <v>11.6695652173913</v>
      </c>
      <c r="J344">
        <v>3.8804380952380959</v>
      </c>
      <c r="K344">
        <v>12864.875</v>
      </c>
      <c r="L344">
        <v>68.986521739130424</v>
      </c>
      <c r="M344">
        <v>65.917826086956509</v>
      </c>
      <c r="N344">
        <v>63.556956521739131</v>
      </c>
      <c r="O344">
        <v>1092.7826086956522</v>
      </c>
      <c r="P344">
        <v>987.89130434782612</v>
      </c>
      <c r="Q344">
        <v>17.168409090909091</v>
      </c>
      <c r="R344">
        <v>66.153768115942043</v>
      </c>
      <c r="S344">
        <v>129.84020564603335</v>
      </c>
      <c r="T344">
        <v>105.81764855552785</v>
      </c>
    </row>
    <row r="345" spans="1:20">
      <c r="A345" t="s">
        <v>454</v>
      </c>
      <c r="B345">
        <v>2181.7874999999999</v>
      </c>
      <c r="C345">
        <v>111.477321428571</v>
      </c>
      <c r="D345">
        <v>94.102000000000004</v>
      </c>
      <c r="E345">
        <v>7006.5249999999996</v>
      </c>
      <c r="F345">
        <v>1331.5249999999999</v>
      </c>
      <c r="G345">
        <v>77.650000000000006</v>
      </c>
      <c r="H345">
        <v>7.8349927888888899</v>
      </c>
      <c r="I345">
        <v>10.471</v>
      </c>
      <c r="J345">
        <v>2.6721052631578943</v>
      </c>
      <c r="K345">
        <v>13595.875</v>
      </c>
      <c r="L345">
        <v>65.421999999999997</v>
      </c>
      <c r="M345">
        <v>62.742000000000004</v>
      </c>
      <c r="N345">
        <v>62.150000000000013</v>
      </c>
      <c r="O345">
        <v>1022.45</v>
      </c>
      <c r="P345">
        <v>988.25</v>
      </c>
      <c r="Q345">
        <v>16.65925</v>
      </c>
      <c r="R345">
        <v>63.437999999999988</v>
      </c>
      <c r="S345">
        <v>126.82234293577987</v>
      </c>
      <c r="T345">
        <v>105.89334425494337</v>
      </c>
    </row>
    <row r="346" spans="1:20">
      <c r="A346" t="s">
        <v>455</v>
      </c>
      <c r="B346">
        <v>2069.2380952380954</v>
      </c>
      <c r="C346">
        <v>105.72806122449001</v>
      </c>
      <c r="D346">
        <v>91.027142857142806</v>
      </c>
      <c r="E346">
        <v>6799.1785714285716</v>
      </c>
      <c r="F346">
        <v>1324.6571428571428</v>
      </c>
      <c r="G346">
        <v>71.318181818181813</v>
      </c>
      <c r="H346">
        <v>8.51188305050505</v>
      </c>
      <c r="I346">
        <v>8.4609090909090892</v>
      </c>
      <c r="J346">
        <v>2.6917952380952381</v>
      </c>
      <c r="K346">
        <v>13392.5</v>
      </c>
      <c r="L346">
        <v>66.445454545454538</v>
      </c>
      <c r="M346">
        <v>63.287272727272715</v>
      </c>
      <c r="N346">
        <v>62.861363636363649</v>
      </c>
      <c r="O346">
        <v>986.5454545454545</v>
      </c>
      <c r="P346">
        <v>953.72727272727275</v>
      </c>
      <c r="Q346">
        <v>16.470476190476191</v>
      </c>
      <c r="R346">
        <v>64.198030303030293</v>
      </c>
      <c r="S346">
        <v>126.36472147610215</v>
      </c>
      <c r="T346">
        <v>106.90542239454022</v>
      </c>
    </row>
    <row r="347" spans="1:20">
      <c r="A347" t="s">
        <v>456</v>
      </c>
      <c r="B347">
        <v>2254.6875</v>
      </c>
      <c r="C347">
        <v>99.223392857142699</v>
      </c>
      <c r="D347">
        <v>94.397999999999996</v>
      </c>
      <c r="E347">
        <v>6851.5124999999998</v>
      </c>
      <c r="F347">
        <v>1334.7400000000002</v>
      </c>
      <c r="G347">
        <v>66.333333333333329</v>
      </c>
      <c r="H347">
        <v>7.0602493915343896</v>
      </c>
      <c r="I347">
        <v>7.4752380952380904</v>
      </c>
      <c r="J347">
        <v>2.7616142857142858</v>
      </c>
      <c r="K347">
        <v>13938.1</v>
      </c>
      <c r="L347">
        <v>71.627619047619035</v>
      </c>
      <c r="M347">
        <v>68.429047619047623</v>
      </c>
      <c r="N347">
        <v>66.320476190476185</v>
      </c>
      <c r="O347">
        <v>970.52380952380952</v>
      </c>
      <c r="P347">
        <v>924.09523809523807</v>
      </c>
      <c r="Q347">
        <v>16.608499999999999</v>
      </c>
      <c r="R347">
        <v>68.792380952380967</v>
      </c>
      <c r="S347">
        <v>128.36623933318856</v>
      </c>
      <c r="T347">
        <v>106.71889200595579</v>
      </c>
    </row>
    <row r="348" spans="1:20">
      <c r="A348" t="s">
        <v>457</v>
      </c>
      <c r="B348">
        <v>2299.6666666666665</v>
      </c>
      <c r="C348">
        <v>109.375</v>
      </c>
      <c r="D348">
        <v>102.740952380952</v>
      </c>
      <c r="E348">
        <v>6825.2738095238092</v>
      </c>
      <c r="F348">
        <v>1303.0261904761903</v>
      </c>
      <c r="G348">
        <v>66.630434782608702</v>
      </c>
      <c r="H348">
        <v>7.4641672318840602</v>
      </c>
      <c r="I348">
        <v>8.6126086956521704</v>
      </c>
      <c r="J348">
        <v>2.7842818181818183</v>
      </c>
      <c r="K348">
        <v>14366.488095238095</v>
      </c>
      <c r="L348">
        <v>76.646956521739142</v>
      </c>
      <c r="M348">
        <v>73.482608695652175</v>
      </c>
      <c r="N348">
        <v>69.892608695652186</v>
      </c>
      <c r="O348">
        <v>979.08695652173913</v>
      </c>
      <c r="P348">
        <v>904.304347826087</v>
      </c>
      <c r="Q348">
        <v>16.468333333333334</v>
      </c>
      <c r="R348">
        <v>73.340724637681163</v>
      </c>
      <c r="S348">
        <v>133.05051385025521</v>
      </c>
      <c r="T348">
        <v>108.3625263785131</v>
      </c>
    </row>
    <row r="349" spans="1:20">
      <c r="A349" t="s">
        <v>458</v>
      </c>
      <c r="B349">
        <v>2237.6190476190477</v>
      </c>
      <c r="C349">
        <v>121.524489795918</v>
      </c>
      <c r="D349">
        <v>104.56571428571399</v>
      </c>
      <c r="E349">
        <v>6965.8571428571431</v>
      </c>
      <c r="F349">
        <v>1281.5666666666668</v>
      </c>
      <c r="G349">
        <v>66.857142857142861</v>
      </c>
      <c r="H349">
        <v>7.5104641481481504</v>
      </c>
      <c r="I349">
        <v>10.437619047619</v>
      </c>
      <c r="J349">
        <v>2.9391238095238097</v>
      </c>
      <c r="K349">
        <v>15105.654761904761</v>
      </c>
      <c r="L349">
        <v>75.19142857142856</v>
      </c>
      <c r="M349">
        <v>73.268571428571434</v>
      </c>
      <c r="N349">
        <v>67.522857142857148</v>
      </c>
      <c r="O349">
        <v>985.04761904761904</v>
      </c>
      <c r="P349">
        <v>884.90476190476193</v>
      </c>
      <c r="Q349">
        <v>16.523333333333333</v>
      </c>
      <c r="R349">
        <v>71.994285714285709</v>
      </c>
      <c r="S349">
        <v>131.96766762000834</v>
      </c>
      <c r="T349">
        <v>104.08010576570329</v>
      </c>
    </row>
    <row r="350" spans="1:20">
      <c r="A350" t="s">
        <v>459</v>
      </c>
      <c r="B350">
        <v>2082.2386363636365</v>
      </c>
      <c r="C350">
        <v>125.085876623376</v>
      </c>
      <c r="D350">
        <v>107.56954545454499</v>
      </c>
      <c r="E350">
        <v>6250.75</v>
      </c>
      <c r="F350">
        <v>1238.5250000000001</v>
      </c>
      <c r="G350">
        <v>67.045454545454547</v>
      </c>
      <c r="H350">
        <v>7.6218759974747501</v>
      </c>
      <c r="I350">
        <v>9.9722727272727294</v>
      </c>
      <c r="J350">
        <v>2.797709523809524</v>
      </c>
      <c r="K350">
        <v>13793.863636363636</v>
      </c>
      <c r="L350">
        <v>74.437727272727273</v>
      </c>
      <c r="M350">
        <v>72.723636363636373</v>
      </c>
      <c r="N350">
        <v>70.99136363636363</v>
      </c>
      <c r="O350">
        <v>931.13636363636363</v>
      </c>
      <c r="P350">
        <v>832.11363636363637</v>
      </c>
      <c r="Q350">
        <v>15.710000000000003</v>
      </c>
      <c r="R350">
        <v>72.717575757575759</v>
      </c>
      <c r="S350">
        <v>130.27471251153673</v>
      </c>
      <c r="T350">
        <v>101.33013955678165</v>
      </c>
    </row>
    <row r="351" spans="1:20">
      <c r="A351" t="s">
        <v>460</v>
      </c>
      <c r="B351">
        <v>2051.5113636363635</v>
      </c>
      <c r="C351">
        <v>123.734902597402</v>
      </c>
      <c r="D351">
        <v>98.450909090909093</v>
      </c>
      <c r="E351">
        <v>6051.045454545455</v>
      </c>
      <c r="F351">
        <v>1201.2454545454545</v>
      </c>
      <c r="G351">
        <v>68.021739130434781</v>
      </c>
      <c r="H351">
        <v>8.1011533357487906</v>
      </c>
      <c r="I351">
        <v>10.5904347826087</v>
      </c>
      <c r="J351">
        <v>2.9591304347826082</v>
      </c>
      <c r="K351">
        <v>13411.352272727272</v>
      </c>
      <c r="L351">
        <v>73.128695652173917</v>
      </c>
      <c r="M351">
        <v>72.058260869565231</v>
      </c>
      <c r="N351">
        <v>67.988695652173917</v>
      </c>
      <c r="O351">
        <v>918.60869565217388</v>
      </c>
      <c r="P351">
        <v>804.58695652173913</v>
      </c>
      <c r="Q351">
        <v>15.004999999999995</v>
      </c>
      <c r="R351">
        <v>71.058550724637684</v>
      </c>
      <c r="S351">
        <v>127.97718280823732</v>
      </c>
      <c r="T351">
        <v>97.361344418990285</v>
      </c>
    </row>
    <row r="352" spans="1:20">
      <c r="A352" t="s">
        <v>461</v>
      </c>
      <c r="B352">
        <v>2026.4625000000001</v>
      </c>
      <c r="C352">
        <v>122.229107142857</v>
      </c>
      <c r="D352">
        <v>98.266999999999996</v>
      </c>
      <c r="E352">
        <v>6050.7624999999998</v>
      </c>
      <c r="F352">
        <v>1198.4725000000003</v>
      </c>
      <c r="G352">
        <v>68.8</v>
      </c>
      <c r="H352">
        <v>9.5249937583333306</v>
      </c>
      <c r="I352">
        <v>11.0905</v>
      </c>
      <c r="J352">
        <v>2.9975052631578945</v>
      </c>
      <c r="K352">
        <v>12510.35</v>
      </c>
      <c r="L352">
        <v>78.860000000000014</v>
      </c>
      <c r="M352">
        <v>77.019500000000008</v>
      </c>
      <c r="N352">
        <v>70.185500000000005</v>
      </c>
      <c r="O352">
        <v>1012.95</v>
      </c>
      <c r="P352">
        <v>803.97500000000002</v>
      </c>
      <c r="Q352">
        <v>14.263000000000002</v>
      </c>
      <c r="R352">
        <v>75.355000000000004</v>
      </c>
      <c r="S352">
        <v>132.4258440759246</v>
      </c>
      <c r="T352">
        <v>98.62668218060314</v>
      </c>
    </row>
    <row r="353" spans="1:20">
      <c r="A353" t="s">
        <v>462</v>
      </c>
      <c r="B353">
        <v>2029.858695652174</v>
      </c>
      <c r="C353">
        <v>114.762111801242</v>
      </c>
      <c r="D353">
        <v>99.337391304347804</v>
      </c>
      <c r="E353">
        <v>6219.586956521739</v>
      </c>
      <c r="F353">
        <v>1215.3934782608694</v>
      </c>
      <c r="G353">
        <v>72.021739130434781</v>
      </c>
      <c r="H353">
        <v>8.6066392077294704</v>
      </c>
      <c r="I353">
        <v>10.035652173913</v>
      </c>
      <c r="J353">
        <v>3.2882608695652173</v>
      </c>
      <c r="K353">
        <v>12314.91304347826</v>
      </c>
      <c r="L353">
        <v>80.470434782608677</v>
      </c>
      <c r="M353">
        <v>78.956521739130437</v>
      </c>
      <c r="N353">
        <v>70.751304347826078</v>
      </c>
      <c r="O353">
        <v>1083.7391304347825</v>
      </c>
      <c r="P353">
        <v>829.86956521739125</v>
      </c>
      <c r="Q353">
        <v>14.583695652173912</v>
      </c>
      <c r="R353">
        <v>76.72608695652174</v>
      </c>
      <c r="S353">
        <v>133.42602934989884</v>
      </c>
      <c r="T353">
        <v>100.42137832663246</v>
      </c>
    </row>
    <row r="354" spans="1:20">
      <c r="A354" t="s">
        <v>463</v>
      </c>
      <c r="B354">
        <v>1938.5113636363637</v>
      </c>
      <c r="C354">
        <v>107.55292207792201</v>
      </c>
      <c r="D354">
        <v>91.533181818181802</v>
      </c>
      <c r="E354">
        <v>6195.920454545455</v>
      </c>
      <c r="F354">
        <v>1220.9454545454546</v>
      </c>
      <c r="G354">
        <v>72.295454545454547</v>
      </c>
      <c r="H354">
        <v>8.2112175934343394</v>
      </c>
      <c r="I354">
        <v>9.7772727272727291</v>
      </c>
      <c r="J354">
        <v>4.1349999999999998</v>
      </c>
      <c r="K354">
        <v>11239.71590909091</v>
      </c>
      <c r="L354">
        <v>65.173636363636376</v>
      </c>
      <c r="M354">
        <v>65.398636363636356</v>
      </c>
      <c r="N354">
        <v>56.567727272727275</v>
      </c>
      <c r="O354">
        <v>1141.2045454545455</v>
      </c>
      <c r="P354">
        <v>846.13636363636363</v>
      </c>
      <c r="Q354">
        <v>14.366818181818179</v>
      </c>
      <c r="R354">
        <v>62.380000000000017</v>
      </c>
      <c r="S354">
        <v>121.85279466804238</v>
      </c>
      <c r="T354">
        <v>95.855224223726736</v>
      </c>
    </row>
    <row r="355" spans="1:20">
      <c r="A355" t="s">
        <v>464</v>
      </c>
      <c r="B355">
        <v>1920.3815789473683</v>
      </c>
      <c r="C355">
        <v>106.14360902255601</v>
      </c>
      <c r="D355">
        <v>95.724736842105301</v>
      </c>
      <c r="E355">
        <v>6075.3157894736842</v>
      </c>
      <c r="F355">
        <v>1247.9235294117648</v>
      </c>
      <c r="G355">
        <v>68.904761904761898</v>
      </c>
      <c r="H355">
        <v>7.8835032195767196</v>
      </c>
      <c r="I355">
        <v>8.9519047619047605</v>
      </c>
      <c r="J355">
        <v>3.9542000000000002</v>
      </c>
      <c r="K355">
        <v>10835.078947368422</v>
      </c>
      <c r="L355">
        <v>56.463809523809545</v>
      </c>
      <c r="M355">
        <v>56.275714285714287</v>
      </c>
      <c r="N355">
        <v>48.635238095238101</v>
      </c>
      <c r="O355">
        <v>1246.8571428571429</v>
      </c>
      <c r="P355">
        <v>790.90476190476193</v>
      </c>
      <c r="Q355">
        <v>14.695263157894738</v>
      </c>
      <c r="R355">
        <v>53.791587301587299</v>
      </c>
      <c r="S355">
        <v>115.9628283712471</v>
      </c>
      <c r="T355">
        <v>98.689926328298</v>
      </c>
    </row>
    <row r="356" spans="1:20">
      <c r="A356" t="s">
        <v>465</v>
      </c>
      <c r="B356">
        <v>1853.715909090909</v>
      </c>
      <c r="C356">
        <v>105.401298701298</v>
      </c>
      <c r="D356">
        <v>90.365454545454497</v>
      </c>
      <c r="E356">
        <v>5939.102272727273</v>
      </c>
      <c r="F356">
        <v>1291.7454545454545</v>
      </c>
      <c r="G356">
        <v>75.199999999999989</v>
      </c>
      <c r="H356">
        <v>7.1653609879227096</v>
      </c>
      <c r="I356">
        <v>8.2856521739130393</v>
      </c>
      <c r="J356">
        <v>3.0795238095238098</v>
      </c>
      <c r="K356">
        <v>11523.09090909091</v>
      </c>
      <c r="L356">
        <v>59.272608695652174</v>
      </c>
      <c r="M356">
        <v>58.673478260869558</v>
      </c>
      <c r="N356">
        <v>51.357391304347829</v>
      </c>
      <c r="O356">
        <v>1328.3478260869565</v>
      </c>
      <c r="P356">
        <v>806.21739130434787</v>
      </c>
      <c r="Q356">
        <v>15.590227272727271</v>
      </c>
      <c r="R356">
        <v>56.434492753623189</v>
      </c>
      <c r="S356">
        <v>117.0782439312927</v>
      </c>
      <c r="T356">
        <v>100.46654163406639</v>
      </c>
    </row>
    <row r="357" spans="1:20">
      <c r="A357" t="s">
        <v>466</v>
      </c>
      <c r="B357">
        <v>1862.9875</v>
      </c>
      <c r="C357">
        <v>101.357142857143</v>
      </c>
      <c r="D357">
        <v>80.911500000000004</v>
      </c>
      <c r="E357">
        <v>6300.4875000000002</v>
      </c>
      <c r="F357">
        <v>1320.0650000000001</v>
      </c>
      <c r="G357">
        <v>87.59</v>
      </c>
      <c r="H357">
        <v>5.9832159527777797</v>
      </c>
      <c r="I357">
        <v>6.5010000000000003</v>
      </c>
      <c r="J357">
        <v>2.7161111111111107</v>
      </c>
      <c r="K357">
        <v>12685.225</v>
      </c>
      <c r="L357">
        <v>64.133999999999986</v>
      </c>
      <c r="M357">
        <v>64.186000000000007</v>
      </c>
      <c r="N357">
        <v>54.986000000000004</v>
      </c>
      <c r="O357">
        <v>1446.6315789473683</v>
      </c>
      <c r="P357">
        <v>817.9473684210526</v>
      </c>
      <c r="Q357">
        <v>15.806250000000002</v>
      </c>
      <c r="R357">
        <v>61.102000000000018</v>
      </c>
      <c r="S357">
        <v>119.0115250081528</v>
      </c>
      <c r="T357">
        <v>98.772205073072286</v>
      </c>
    </row>
    <row r="358" spans="1:20">
      <c r="A358" t="s">
        <v>467</v>
      </c>
      <c r="B358">
        <v>1871.2142857142858</v>
      </c>
      <c r="C358">
        <v>99.669897959183501</v>
      </c>
      <c r="D358">
        <v>74.088571428571399</v>
      </c>
      <c r="E358">
        <v>6439.4642857142853</v>
      </c>
      <c r="F358">
        <v>1300.8976190476189</v>
      </c>
      <c r="G358">
        <v>87.071428571428569</v>
      </c>
      <c r="H358">
        <v>5.1960309417989397</v>
      </c>
      <c r="I358">
        <v>5.2452380952380997</v>
      </c>
      <c r="J358">
        <v>2.9350000000000001</v>
      </c>
      <c r="K358">
        <v>13026.273809523809</v>
      </c>
      <c r="L358">
        <v>66.410952380952381</v>
      </c>
      <c r="M358">
        <v>66.804761904761889</v>
      </c>
      <c r="N358">
        <v>58.153809523809535</v>
      </c>
      <c r="O358">
        <v>1530.7142857142858</v>
      </c>
      <c r="P358">
        <v>842.80952380952385</v>
      </c>
      <c r="Q358">
        <v>15.320714285714283</v>
      </c>
      <c r="R358">
        <v>63.789841269841276</v>
      </c>
      <c r="S358">
        <v>119.91003631374713</v>
      </c>
      <c r="T358">
        <v>98.063109720746482</v>
      </c>
    </row>
    <row r="359" spans="1:20">
      <c r="A359" t="s">
        <v>724</v>
      </c>
      <c r="B359">
        <v>1845.425</v>
      </c>
      <c r="C359">
        <v>88.764642857142704</v>
      </c>
      <c r="D359">
        <v>68.700999999999993</v>
      </c>
      <c r="E359">
        <v>6438.3625000000002</v>
      </c>
      <c r="F359">
        <v>1286.4449999999999</v>
      </c>
      <c r="G359">
        <v>94.5</v>
      </c>
      <c r="H359">
        <v>4.96</v>
      </c>
      <c r="I359">
        <v>5.0797619047618996</v>
      </c>
      <c r="J359">
        <v>2.6524999999999999</v>
      </c>
      <c r="K359">
        <v>12772.7875</v>
      </c>
      <c r="L359">
        <v>71.196818181818159</v>
      </c>
      <c r="M359">
        <v>70.642272727272726</v>
      </c>
      <c r="N359">
        <v>63.875909090909097</v>
      </c>
      <c r="O359">
        <v>1389.8181818181818</v>
      </c>
      <c r="P359">
        <v>886.63636363636363</v>
      </c>
      <c r="Q359">
        <v>15.042000000000002</v>
      </c>
      <c r="R359">
        <v>68.571666666666658</v>
      </c>
      <c r="S359">
        <v>123.4167306132176</v>
      </c>
      <c r="T359">
        <v>101.56920127626263</v>
      </c>
    </row>
    <row r="360" spans="1:20">
      <c r="A360" t="s">
        <v>725</v>
      </c>
      <c r="B360">
        <v>1781.2619047619048</v>
      </c>
      <c r="C360">
        <v>89.564285714285504</v>
      </c>
      <c r="D360">
        <v>65.757619047619002</v>
      </c>
      <c r="E360">
        <v>6017.9047619047615</v>
      </c>
      <c r="F360">
        <v>1283.9476190476191</v>
      </c>
      <c r="G360">
        <v>101.76086956521739</v>
      </c>
      <c r="H360">
        <v>4.3591307487922704</v>
      </c>
      <c r="I360">
        <v>5.0332608695652201</v>
      </c>
      <c r="J360">
        <v>2.6278636363636361</v>
      </c>
      <c r="K360">
        <v>12016.309523809523</v>
      </c>
      <c r="L360">
        <v>70.52652173913043</v>
      </c>
      <c r="M360">
        <v>69.370869565217376</v>
      </c>
      <c r="N360">
        <v>60.733478260869568</v>
      </c>
      <c r="O360">
        <v>1331.4347826086957</v>
      </c>
      <c r="P360">
        <v>831.82608695652175</v>
      </c>
      <c r="Q360">
        <v>14.62547619047619</v>
      </c>
      <c r="R360">
        <v>66.87695652173916</v>
      </c>
      <c r="S360">
        <v>120.47754081485459</v>
      </c>
      <c r="T360">
        <v>98.094289080567989</v>
      </c>
    </row>
    <row r="361" spans="1:20">
      <c r="A361" t="s">
        <v>726</v>
      </c>
      <c r="B361">
        <v>1755.95</v>
      </c>
      <c r="C361">
        <v>77.629821428571304</v>
      </c>
      <c r="D361">
        <v>63.140999999999998</v>
      </c>
      <c r="E361">
        <v>5882.2250000000004</v>
      </c>
      <c r="F361">
        <v>1359.0425</v>
      </c>
      <c r="G361">
        <v>109.55</v>
      </c>
      <c r="H361">
        <v>3.483016825</v>
      </c>
      <c r="I361">
        <v>4.3892499999999997</v>
      </c>
      <c r="J361">
        <v>2.396500000000001</v>
      </c>
      <c r="K361">
        <v>11943.9375</v>
      </c>
      <c r="L361">
        <v>63.296000000000014</v>
      </c>
      <c r="M361">
        <v>61.213999999999999</v>
      </c>
      <c r="N361">
        <v>54.677</v>
      </c>
      <c r="O361">
        <v>1443.85</v>
      </c>
      <c r="P361">
        <v>808.2</v>
      </c>
      <c r="Q361">
        <v>14.995750000000001</v>
      </c>
      <c r="R361">
        <v>59.728999999999999</v>
      </c>
      <c r="S361">
        <v>115.52894242929111</v>
      </c>
      <c r="T361">
        <v>100.21284140868016</v>
      </c>
    </row>
    <row r="362" spans="1:20">
      <c r="A362" t="s">
        <v>727</v>
      </c>
      <c r="B362">
        <v>1796.9891304347825</v>
      </c>
      <c r="C362">
        <v>77.845807453415901</v>
      </c>
      <c r="D362">
        <v>65.379565217391303</v>
      </c>
      <c r="E362">
        <v>5941.195652173913</v>
      </c>
      <c r="F362">
        <v>1412.978260869565</v>
      </c>
      <c r="G362">
        <v>119.58695652173913</v>
      </c>
      <c r="H362">
        <v>3.5943396714975799</v>
      </c>
      <c r="I362">
        <v>4.4193478260869599</v>
      </c>
      <c r="J362">
        <v>2.36</v>
      </c>
      <c r="K362">
        <v>13546.304347826086</v>
      </c>
      <c r="L362">
        <v>64</v>
      </c>
      <c r="M362">
        <v>62.906956521739119</v>
      </c>
      <c r="N362">
        <v>57.508695652173905</v>
      </c>
      <c r="O362">
        <v>1545.391304347826</v>
      </c>
      <c r="P362">
        <v>843.60869565217388</v>
      </c>
      <c r="Q362">
        <v>15.745217391304347</v>
      </c>
      <c r="R362">
        <v>61.471884057971018</v>
      </c>
      <c r="S362">
        <v>117.96795442067405</v>
      </c>
      <c r="T362">
        <v>100.2719739356133</v>
      </c>
    </row>
    <row r="363" spans="1:20">
      <c r="A363" t="s">
        <v>728</v>
      </c>
      <c r="B363">
        <v>1740.6785714285713</v>
      </c>
      <c r="C363">
        <v>69.739285714285501</v>
      </c>
      <c r="D363">
        <v>58.813809523809503</v>
      </c>
      <c r="E363">
        <v>5709.4404761904761</v>
      </c>
      <c r="F363">
        <v>1498.7976190476193</v>
      </c>
      <c r="G363">
        <v>93.5</v>
      </c>
      <c r="H363">
        <v>3.2737499368686902</v>
      </c>
      <c r="I363">
        <v>4.2802272727272701</v>
      </c>
      <c r="J363">
        <v>2.2243227272727277</v>
      </c>
      <c r="K363">
        <v>15748.642857142857</v>
      </c>
      <c r="L363">
        <v>59.24727272727273</v>
      </c>
      <c r="M363">
        <v>58.699545454545458</v>
      </c>
      <c r="N363">
        <v>54.839090909090913</v>
      </c>
      <c r="O363">
        <v>1453.7272727272727</v>
      </c>
      <c r="P363">
        <v>858.77272727272725</v>
      </c>
      <c r="Q363">
        <v>17.137857142857143</v>
      </c>
      <c r="R363">
        <v>57.595303030303029</v>
      </c>
      <c r="S363">
        <v>112.71228204303013</v>
      </c>
      <c r="T363">
        <v>98.260429796590472</v>
      </c>
    </row>
    <row r="364" spans="1:20">
      <c r="A364" t="s">
        <v>729</v>
      </c>
      <c r="B364">
        <v>1753.5119047619048</v>
      </c>
      <c r="C364">
        <v>66.958673469387605</v>
      </c>
      <c r="D364">
        <v>59.720476190476198</v>
      </c>
      <c r="E364">
        <v>5759.25</v>
      </c>
      <c r="F364">
        <v>1511.3142857142859</v>
      </c>
      <c r="G364">
        <v>92.261904761904759</v>
      </c>
      <c r="H364">
        <v>3.0944239920634899</v>
      </c>
      <c r="I364">
        <v>5.0545238095238103</v>
      </c>
      <c r="J364">
        <v>2.58</v>
      </c>
      <c r="K364">
        <v>17656.880952380954</v>
      </c>
      <c r="L364">
        <v>62.329999999999991</v>
      </c>
      <c r="M364">
        <v>60.841428571428587</v>
      </c>
      <c r="N364">
        <v>56.857142857142854</v>
      </c>
      <c r="O364">
        <v>1601.0952380952381</v>
      </c>
      <c r="P364">
        <v>943.90476190476193</v>
      </c>
      <c r="Q364">
        <v>18.169999999999998</v>
      </c>
      <c r="R364">
        <v>60.00952380952382</v>
      </c>
      <c r="S364">
        <v>114.8090662669791</v>
      </c>
      <c r="T364">
        <v>96.053057750248115</v>
      </c>
    </row>
    <row r="365" spans="1:20">
      <c r="A365" t="s">
        <v>730</v>
      </c>
      <c r="B365">
        <v>1725.9565217391305</v>
      </c>
      <c r="C365">
        <v>69.194254658384907</v>
      </c>
      <c r="D365">
        <v>67.588695652173897</v>
      </c>
      <c r="E365">
        <v>5757.2978260869568</v>
      </c>
      <c r="F365">
        <v>1494.8</v>
      </c>
      <c r="G365">
        <v>88.586956521739125</v>
      </c>
      <c r="H365">
        <v>3.3164307512077298</v>
      </c>
      <c r="I365">
        <v>6.0173913043478304</v>
      </c>
      <c r="J365">
        <v>2.3313043478260864</v>
      </c>
      <c r="K365">
        <v>17046.217391304348</v>
      </c>
      <c r="L365">
        <v>59.37</v>
      </c>
      <c r="M365">
        <v>58.536521739130421</v>
      </c>
      <c r="N365">
        <v>53.979130434782611</v>
      </c>
      <c r="O365">
        <v>1728.2608695652175</v>
      </c>
      <c r="P365">
        <v>897.26086956521738</v>
      </c>
      <c r="Q365">
        <v>17.624565217391304</v>
      </c>
      <c r="R365">
        <v>57.295217391304348</v>
      </c>
      <c r="S365">
        <v>113.02163190855677</v>
      </c>
      <c r="T365">
        <v>96.42774735125127</v>
      </c>
    </row>
    <row r="366" spans="1:20">
      <c r="A366" t="s">
        <v>731</v>
      </c>
      <c r="B366">
        <v>1774.7857142857142</v>
      </c>
      <c r="C366">
        <v>69.729081632652907</v>
      </c>
      <c r="D366">
        <v>77.570476190476199</v>
      </c>
      <c r="E366">
        <v>5859.9523809523807</v>
      </c>
      <c r="F366">
        <v>1470.0166666666669</v>
      </c>
      <c r="G366">
        <v>82.904761904761898</v>
      </c>
      <c r="H366">
        <v>4.7360471111111098</v>
      </c>
      <c r="I366">
        <v>5.4564285714285701</v>
      </c>
      <c r="J366">
        <v>2.6505263157894738</v>
      </c>
      <c r="K366">
        <v>15171.809523809523</v>
      </c>
      <c r="L366">
        <v>62.744285714285709</v>
      </c>
      <c r="M366">
        <v>61.407619047619058</v>
      </c>
      <c r="N366">
        <v>57.110476190476184</v>
      </c>
      <c r="O366">
        <v>1767.7619047619048</v>
      </c>
      <c r="P366">
        <v>901.23809523809518</v>
      </c>
      <c r="Q366">
        <v>17.179523809523808</v>
      </c>
      <c r="R366">
        <v>60.420793650793648</v>
      </c>
      <c r="S366">
        <v>116.90755093004708</v>
      </c>
      <c r="T366">
        <v>100.01078203644526</v>
      </c>
    </row>
    <row r="367" spans="1:20">
      <c r="A367" t="s">
        <v>732</v>
      </c>
      <c r="B367">
        <v>1771.3799999999999</v>
      </c>
      <c r="C367">
        <v>70.464642857142707</v>
      </c>
      <c r="D367">
        <v>83.141499999999994</v>
      </c>
      <c r="E367">
        <v>6077.0625</v>
      </c>
      <c r="F367">
        <v>1476.0444444444445</v>
      </c>
      <c r="G367">
        <v>90.977272727272734</v>
      </c>
      <c r="H367">
        <v>4.2319628888888898</v>
      </c>
      <c r="I367">
        <v>5.5734090909090899</v>
      </c>
      <c r="J367">
        <v>2.2425000000000006</v>
      </c>
      <c r="K367">
        <v>13829.424999999999</v>
      </c>
      <c r="L367">
        <v>65.854545454545459</v>
      </c>
      <c r="M367">
        <v>64.477272727272734</v>
      </c>
      <c r="N367">
        <v>59.857727272727267</v>
      </c>
      <c r="O367">
        <v>1900.590909090909</v>
      </c>
      <c r="P367">
        <v>925.22727272727275</v>
      </c>
      <c r="Q367">
        <v>17.114249999999998</v>
      </c>
      <c r="R367">
        <v>63.39651515151516</v>
      </c>
      <c r="S367">
        <v>119.91370577203438</v>
      </c>
      <c r="T367">
        <v>103.73135981722206</v>
      </c>
    </row>
    <row r="368" spans="1:20">
      <c r="A368" t="s">
        <v>733</v>
      </c>
      <c r="B368">
        <v>1773.090909090909</v>
      </c>
      <c r="C368">
        <v>72.106168831168702</v>
      </c>
      <c r="D368">
        <v>87.266363636363593</v>
      </c>
      <c r="E368">
        <v>6031.2090909090912</v>
      </c>
      <c r="F368">
        <v>1560.6727272727273</v>
      </c>
      <c r="G368">
        <v>95.217391304347828</v>
      </c>
      <c r="H368">
        <v>3.6236468937198101</v>
      </c>
      <c r="I368">
        <v>4.9136956521739101</v>
      </c>
      <c r="J368">
        <v>2.0304761904761897</v>
      </c>
      <c r="K368">
        <v>13506.863636363636</v>
      </c>
      <c r="L368">
        <v>63.602173913043472</v>
      </c>
      <c r="M368">
        <v>63.732173913043482</v>
      </c>
      <c r="N368">
        <v>57.714782608695657</v>
      </c>
      <c r="O368">
        <v>2226.6521739130435</v>
      </c>
      <c r="P368">
        <v>986.6521739130435</v>
      </c>
      <c r="Q368">
        <v>17.965</v>
      </c>
      <c r="R368">
        <v>61.683043478260871</v>
      </c>
      <c r="S368">
        <v>119.47235229260349</v>
      </c>
      <c r="T368">
        <v>105.36144797899708</v>
      </c>
    </row>
    <row r="369" spans="1:20">
      <c r="A369" t="s">
        <v>734</v>
      </c>
      <c r="B369">
        <v>1688.095</v>
      </c>
      <c r="C369">
        <v>71.050178571428404</v>
      </c>
      <c r="D369">
        <v>82.515000000000001</v>
      </c>
      <c r="E369">
        <v>5687.75</v>
      </c>
      <c r="F369">
        <v>1597.1025</v>
      </c>
      <c r="G369">
        <v>87.625</v>
      </c>
      <c r="H369">
        <v>2.9951981111111099</v>
      </c>
      <c r="I369">
        <v>2.9202499999999998</v>
      </c>
      <c r="J369">
        <v>1.9157894736842109</v>
      </c>
      <c r="K369">
        <v>12715.55</v>
      </c>
      <c r="L369">
        <v>55.003499999999995</v>
      </c>
      <c r="M369">
        <v>54.512500000000003</v>
      </c>
      <c r="N369">
        <v>50.601500000000001</v>
      </c>
      <c r="O369">
        <v>2524.6999999999998</v>
      </c>
      <c r="P369">
        <v>961.32500000000005</v>
      </c>
      <c r="Q369">
        <v>17.921999999999993</v>
      </c>
      <c r="R369">
        <v>53.372500000000002</v>
      </c>
      <c r="S369">
        <v>111.03640519762082</v>
      </c>
      <c r="T369">
        <v>101.4973764462753</v>
      </c>
    </row>
    <row r="370" spans="1:20">
      <c r="A370" t="s">
        <v>735</v>
      </c>
    </row>
    <row r="371" spans="1:20">
      <c r="A371" t="s">
        <v>736</v>
      </c>
    </row>
    <row r="372" spans="1:20">
      <c r="A372" t="s">
        <v>737</v>
      </c>
    </row>
    <row r="373" spans="1:20">
      <c r="A373" t="s">
        <v>738</v>
      </c>
    </row>
    <row r="374" spans="1:20">
      <c r="A374" t="s">
        <v>739</v>
      </c>
    </row>
    <row r="375" spans="1:20">
      <c r="A375" t="s">
        <v>740</v>
      </c>
    </row>
    <row r="376" spans="1:20">
      <c r="A376" t="s">
        <v>741</v>
      </c>
    </row>
    <row r="377" spans="1:20">
      <c r="A377" t="s">
        <v>742</v>
      </c>
    </row>
    <row r="378" spans="1:20">
      <c r="A378" t="s">
        <v>743</v>
      </c>
    </row>
    <row r="379" spans="1:20">
      <c r="A379" t="s">
        <v>744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42CB-3C5E-4F41-95E8-971891459368}">
  <dimension ref="A1:L355"/>
  <sheetViews>
    <sheetView workbookViewId="0">
      <pane xSplit="2" ySplit="4" topLeftCell="C252" activePane="bottomRight" state="frozen"/>
      <selection pane="topRight" activeCell="C1" sqref="C1"/>
      <selection pane="bottomLeft" activeCell="A5" sqref="A5"/>
      <selection pane="bottomRight" activeCell="A260" sqref="A260"/>
    </sheetView>
  </sheetViews>
  <sheetFormatPr defaultRowHeight="15"/>
  <cols>
    <col min="11" max="11" width="9.5703125" bestFit="1" customWidth="1"/>
  </cols>
  <sheetData>
    <row r="1" spans="1:12">
      <c r="A1" s="2" t="s">
        <v>779</v>
      </c>
      <c r="B1" s="2" t="s">
        <v>758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1126</v>
      </c>
      <c r="L1" s="5" t="s">
        <v>1139</v>
      </c>
    </row>
    <row r="2" spans="1:12" s="1" customFormat="1" ht="127.5">
      <c r="A2" s="1" t="s">
        <v>761</v>
      </c>
      <c r="C2" s="1" t="s">
        <v>773</v>
      </c>
      <c r="D2" s="1" t="s">
        <v>774</v>
      </c>
      <c r="E2" s="1" t="s">
        <v>775</v>
      </c>
      <c r="F2" s="1" t="s">
        <v>776</v>
      </c>
      <c r="G2" s="1" t="s">
        <v>777</v>
      </c>
      <c r="H2" s="1" t="s">
        <v>778</v>
      </c>
      <c r="I2" s="1" t="s">
        <v>765</v>
      </c>
      <c r="J2" s="1" t="s">
        <v>771</v>
      </c>
      <c r="K2" s="1" t="s">
        <v>1128</v>
      </c>
      <c r="L2" s="1" t="s">
        <v>1141</v>
      </c>
    </row>
    <row r="3" spans="1:12">
      <c r="A3" t="s">
        <v>760</v>
      </c>
      <c r="C3" t="s">
        <v>770</v>
      </c>
      <c r="D3" t="s">
        <v>770</v>
      </c>
      <c r="E3" t="s">
        <v>772</v>
      </c>
      <c r="F3" t="s">
        <v>766</v>
      </c>
      <c r="G3" t="s">
        <v>770</v>
      </c>
      <c r="H3" t="s">
        <v>763</v>
      </c>
      <c r="I3" t="s">
        <v>764</v>
      </c>
      <c r="J3" t="s">
        <v>770</v>
      </c>
      <c r="K3" t="s">
        <v>1127</v>
      </c>
      <c r="L3" t="s">
        <v>1140</v>
      </c>
    </row>
    <row r="4" spans="1:12">
      <c r="A4" t="s">
        <v>759</v>
      </c>
      <c r="C4" t="s">
        <v>1201</v>
      </c>
      <c r="D4" t="s">
        <v>1201</v>
      </c>
      <c r="E4" t="s">
        <v>1201</v>
      </c>
      <c r="F4" t="s">
        <v>1201</v>
      </c>
      <c r="G4" t="s">
        <v>1201</v>
      </c>
      <c r="H4" t="s">
        <v>1201</v>
      </c>
      <c r="I4" t="s">
        <v>1201</v>
      </c>
      <c r="J4" t="s">
        <v>1201</v>
      </c>
      <c r="K4" t="s">
        <v>1201</v>
      </c>
      <c r="L4" t="s">
        <v>1201</v>
      </c>
    </row>
    <row r="5" spans="1:12">
      <c r="A5" t="s">
        <v>780</v>
      </c>
      <c r="B5" s="3">
        <v>36191</v>
      </c>
      <c r="C5" s="4">
        <v>53.597799999999999</v>
      </c>
      <c r="D5" s="4">
        <v>42.7209</v>
      </c>
      <c r="E5" s="4" t="e">
        <v>#N/A</v>
      </c>
      <c r="F5" s="4" t="e">
        <v>#N/A</v>
      </c>
      <c r="G5" s="4">
        <v>50.825299999999999</v>
      </c>
      <c r="H5" s="4">
        <v>48.725000000000001</v>
      </c>
      <c r="I5" s="4" t="e">
        <v>#N/A</v>
      </c>
      <c r="J5" s="4">
        <v>55.695300000000003</v>
      </c>
      <c r="K5" s="9">
        <v>104.75529</v>
      </c>
      <c r="L5" s="10">
        <v>803</v>
      </c>
    </row>
    <row r="6" spans="1:12">
      <c r="A6" t="s">
        <v>781</v>
      </c>
      <c r="B6" s="3">
        <v>36219</v>
      </c>
      <c r="C6" s="4">
        <v>54.123100000000001</v>
      </c>
      <c r="D6" s="4">
        <v>42.862099999999998</v>
      </c>
      <c r="E6" s="4" t="e">
        <v>#N/A</v>
      </c>
      <c r="F6" s="4" t="e">
        <v>#N/A</v>
      </c>
      <c r="G6" s="4">
        <v>51.454999999999998</v>
      </c>
      <c r="H6" s="4">
        <v>49.855499999999999</v>
      </c>
      <c r="I6" s="4" t="e">
        <v>#N/A</v>
      </c>
      <c r="J6" s="4">
        <v>55.325000000000003</v>
      </c>
      <c r="K6" s="9">
        <v>105.58412</v>
      </c>
      <c r="L6" s="10">
        <v>836</v>
      </c>
    </row>
    <row r="7" spans="1:12">
      <c r="A7" t="s">
        <v>782</v>
      </c>
      <c r="B7" s="3">
        <v>36250</v>
      </c>
      <c r="C7" s="4">
        <v>55.385199999999998</v>
      </c>
      <c r="D7" s="4">
        <v>46.313600000000001</v>
      </c>
      <c r="E7" s="4" t="e">
        <v>#N/A</v>
      </c>
      <c r="F7" s="4" t="e">
        <v>#N/A</v>
      </c>
      <c r="G7" s="4">
        <v>51.459899999999998</v>
      </c>
      <c r="H7" s="4">
        <v>50.735799999999998</v>
      </c>
      <c r="I7" s="4" t="e">
        <v>#N/A</v>
      </c>
      <c r="J7" s="4">
        <v>56.976100000000002</v>
      </c>
      <c r="K7" s="9">
        <v>106.60348</v>
      </c>
      <c r="L7" s="10">
        <v>967</v>
      </c>
    </row>
    <row r="8" spans="1:12">
      <c r="A8" t="s">
        <v>783</v>
      </c>
      <c r="B8" s="3">
        <v>36280</v>
      </c>
      <c r="C8" s="4">
        <v>55.998600000000003</v>
      </c>
      <c r="D8" s="4">
        <v>49.047400000000003</v>
      </c>
      <c r="E8" s="4" t="e">
        <v>#N/A</v>
      </c>
      <c r="F8" s="4" t="e">
        <v>#N/A</v>
      </c>
      <c r="G8" s="4">
        <v>52.089500000000001</v>
      </c>
      <c r="H8" s="4">
        <v>51.2547</v>
      </c>
      <c r="I8" s="4" t="e">
        <v>#N/A</v>
      </c>
      <c r="J8" s="4">
        <v>57.591299999999997</v>
      </c>
      <c r="K8" s="9">
        <v>106.42934</v>
      </c>
      <c r="L8" s="10">
        <v>924</v>
      </c>
    </row>
    <row r="9" spans="1:12">
      <c r="A9" t="s">
        <v>784</v>
      </c>
      <c r="B9" s="3">
        <v>36311</v>
      </c>
      <c r="C9" s="4">
        <v>55.915900000000001</v>
      </c>
      <c r="D9" s="4">
        <v>51.091099999999997</v>
      </c>
      <c r="E9" s="4" t="e">
        <v>#N/A</v>
      </c>
      <c r="F9" s="4" t="e">
        <v>#N/A</v>
      </c>
      <c r="G9" s="4">
        <v>52.693199999999997</v>
      </c>
      <c r="H9" s="4">
        <v>52.340800000000002</v>
      </c>
      <c r="I9" s="4" t="e">
        <v>#N/A</v>
      </c>
      <c r="J9" s="4">
        <v>56.572600000000001</v>
      </c>
      <c r="K9" s="9">
        <v>107.03248000000001</v>
      </c>
      <c r="L9" s="10">
        <v>1063</v>
      </c>
    </row>
    <row r="10" spans="1:12">
      <c r="A10" t="s">
        <v>785</v>
      </c>
      <c r="B10" s="3">
        <v>36341</v>
      </c>
      <c r="C10" s="4">
        <v>57.88</v>
      </c>
      <c r="D10" s="4">
        <v>52.105600000000003</v>
      </c>
      <c r="E10" s="4" t="e">
        <v>#N/A</v>
      </c>
      <c r="F10" s="4" t="e">
        <v>#N/A</v>
      </c>
      <c r="G10" s="4">
        <v>53.680300000000003</v>
      </c>
      <c r="H10" s="4">
        <v>53.542200000000001</v>
      </c>
      <c r="I10" s="4" t="e">
        <v>#N/A</v>
      </c>
      <c r="J10" s="4">
        <v>57.460299999999997</v>
      </c>
      <c r="K10" s="9">
        <v>108.01749</v>
      </c>
      <c r="L10" s="10">
        <v>989</v>
      </c>
    </row>
    <row r="11" spans="1:12">
      <c r="A11" t="s">
        <v>786</v>
      </c>
      <c r="B11" s="3">
        <v>36372</v>
      </c>
      <c r="C11" s="4">
        <v>57.314599999999999</v>
      </c>
      <c r="D11" s="4">
        <v>54.7592</v>
      </c>
      <c r="E11" s="4" t="e">
        <v>#N/A</v>
      </c>
      <c r="F11" s="4" t="e">
        <v>#N/A</v>
      </c>
      <c r="G11" s="4">
        <v>53.422899999999998</v>
      </c>
      <c r="H11" s="4">
        <v>53.127699999999997</v>
      </c>
      <c r="I11" s="4" t="e">
        <v>#N/A</v>
      </c>
      <c r="J11" s="4">
        <v>59.446399999999997</v>
      </c>
      <c r="K11" s="9">
        <v>107.85762</v>
      </c>
      <c r="L11" s="10">
        <v>977</v>
      </c>
    </row>
    <row r="12" spans="1:12">
      <c r="A12" t="s">
        <v>787</v>
      </c>
      <c r="B12" s="3">
        <v>36403</v>
      </c>
      <c r="C12" s="4">
        <v>58.445500000000003</v>
      </c>
      <c r="D12" s="4">
        <v>56.783299999999997</v>
      </c>
      <c r="E12" s="4" t="e">
        <v>#N/A</v>
      </c>
      <c r="F12" s="4" t="e">
        <v>#N/A</v>
      </c>
      <c r="G12" s="4">
        <v>53.566099999999999</v>
      </c>
      <c r="H12" s="4">
        <v>54.078600000000002</v>
      </c>
      <c r="I12" s="4" t="e">
        <v>#N/A</v>
      </c>
      <c r="J12" s="4">
        <v>59.464500000000001</v>
      </c>
      <c r="K12" s="9">
        <v>107.49370999999999</v>
      </c>
      <c r="L12" s="10">
        <v>1046</v>
      </c>
    </row>
    <row r="13" spans="1:12">
      <c r="A13" t="s">
        <v>788</v>
      </c>
      <c r="B13" s="3">
        <v>36433</v>
      </c>
      <c r="C13" s="4">
        <v>60.0929</v>
      </c>
      <c r="D13" s="4">
        <v>60.643999999999998</v>
      </c>
      <c r="E13" s="4" t="e">
        <v>#N/A</v>
      </c>
      <c r="F13" s="4" t="e">
        <v>#N/A</v>
      </c>
      <c r="G13" s="4">
        <v>53.511600000000001</v>
      </c>
      <c r="H13" s="4">
        <v>55.688000000000002</v>
      </c>
      <c r="I13" s="4" t="e">
        <v>#N/A</v>
      </c>
      <c r="J13" s="4">
        <v>59.041699999999999</v>
      </c>
      <c r="K13" s="9">
        <v>106.90362</v>
      </c>
      <c r="L13" s="10">
        <v>1146</v>
      </c>
    </row>
    <row r="14" spans="1:12">
      <c r="A14" t="s">
        <v>789</v>
      </c>
      <c r="B14" s="3">
        <v>36464</v>
      </c>
      <c r="C14" s="4">
        <v>60.822499999999998</v>
      </c>
      <c r="D14" s="4">
        <v>60.562800000000003</v>
      </c>
      <c r="E14" s="4" t="e">
        <v>#N/A</v>
      </c>
      <c r="F14" s="4" t="e">
        <v>#N/A</v>
      </c>
      <c r="G14" s="4">
        <v>54.108800000000002</v>
      </c>
      <c r="H14" s="4">
        <v>56.532899999999998</v>
      </c>
      <c r="I14" s="4" t="e">
        <v>#N/A</v>
      </c>
      <c r="J14" s="4">
        <v>60.356499999999997</v>
      </c>
      <c r="K14" s="9">
        <v>105.98497</v>
      </c>
      <c r="L14" s="10">
        <v>1339</v>
      </c>
    </row>
    <row r="15" spans="1:12">
      <c r="A15" t="s">
        <v>790</v>
      </c>
      <c r="B15" s="3">
        <v>36494</v>
      </c>
      <c r="C15" s="4">
        <v>58.686999999999998</v>
      </c>
      <c r="D15" s="4">
        <v>60.702300000000001</v>
      </c>
      <c r="E15" s="4" t="e">
        <v>#N/A</v>
      </c>
      <c r="F15" s="4" t="e">
        <v>#N/A</v>
      </c>
      <c r="G15" s="4">
        <v>53.7348</v>
      </c>
      <c r="H15" s="4">
        <v>56.987099999999998</v>
      </c>
      <c r="I15" s="4" t="e">
        <v>#N/A</v>
      </c>
      <c r="J15" s="4">
        <v>58.1496</v>
      </c>
      <c r="K15" s="9">
        <v>106.29799</v>
      </c>
      <c r="L15" s="10">
        <v>1334</v>
      </c>
    </row>
    <row r="16" spans="1:12">
      <c r="A16" t="s">
        <v>791</v>
      </c>
      <c r="B16" s="3">
        <v>36525</v>
      </c>
      <c r="C16" s="4">
        <v>60.106099999999998</v>
      </c>
      <c r="D16" s="4">
        <v>61.061900000000001</v>
      </c>
      <c r="E16" s="4" t="e">
        <v>#N/A</v>
      </c>
      <c r="F16" s="4" t="e">
        <v>#N/A</v>
      </c>
      <c r="G16" s="4">
        <v>55.101700000000001</v>
      </c>
      <c r="H16" s="4">
        <v>57.0854</v>
      </c>
      <c r="I16" s="4" t="e">
        <v>#N/A</v>
      </c>
      <c r="J16" s="4">
        <v>59.6569</v>
      </c>
      <c r="K16" s="9">
        <v>105.52769000000001</v>
      </c>
      <c r="L16" s="10">
        <v>1343</v>
      </c>
    </row>
    <row r="17" spans="1:12">
      <c r="A17" t="s">
        <v>792</v>
      </c>
      <c r="B17" s="3">
        <v>36556</v>
      </c>
      <c r="C17" s="4">
        <v>59.722299999999997</v>
      </c>
      <c r="D17" s="4">
        <v>62.970799999999997</v>
      </c>
      <c r="E17" s="4" t="e">
        <v>#N/A</v>
      </c>
      <c r="F17" s="4" t="e">
        <v>#N/A</v>
      </c>
      <c r="G17" s="4">
        <v>54.117800000000003</v>
      </c>
      <c r="H17" s="4">
        <v>55.368200000000002</v>
      </c>
      <c r="I17" s="4" t="e">
        <v>#N/A</v>
      </c>
      <c r="J17" s="4">
        <v>57.993899999999996</v>
      </c>
      <c r="K17" s="9">
        <v>105.35406</v>
      </c>
      <c r="L17" s="10">
        <v>1371</v>
      </c>
    </row>
    <row r="18" spans="1:12">
      <c r="A18" t="s">
        <v>793</v>
      </c>
      <c r="B18" s="3">
        <v>36585</v>
      </c>
      <c r="C18" s="4">
        <v>58.9161</v>
      </c>
      <c r="D18" s="4">
        <v>65.125</v>
      </c>
      <c r="E18" s="4" t="e">
        <v>#N/A</v>
      </c>
      <c r="F18" s="4" t="e">
        <v>#N/A</v>
      </c>
      <c r="G18" s="4">
        <v>54.650100000000002</v>
      </c>
      <c r="H18" s="4">
        <v>55.297499999999999</v>
      </c>
      <c r="I18" s="4" t="e">
        <v>#N/A</v>
      </c>
      <c r="J18" s="4">
        <v>58.284799999999997</v>
      </c>
      <c r="K18" s="9">
        <v>107.38453</v>
      </c>
      <c r="L18" s="10">
        <v>1393</v>
      </c>
    </row>
    <row r="19" spans="1:12">
      <c r="A19" t="s">
        <v>794</v>
      </c>
      <c r="B19" s="3">
        <v>36616</v>
      </c>
      <c r="C19" s="4">
        <v>60.226599999999998</v>
      </c>
      <c r="D19" s="4">
        <v>67.654499999999999</v>
      </c>
      <c r="E19" s="4" t="e">
        <v>#N/A</v>
      </c>
      <c r="F19" s="4" t="e">
        <v>#N/A</v>
      </c>
      <c r="G19" s="4">
        <v>55.2532</v>
      </c>
      <c r="H19" s="4">
        <v>55.645499999999998</v>
      </c>
      <c r="I19" s="4" t="e">
        <v>#N/A</v>
      </c>
      <c r="J19" s="4">
        <v>60.365400000000001</v>
      </c>
      <c r="K19" s="9">
        <v>107.60908999999999</v>
      </c>
      <c r="L19" s="10">
        <v>1621</v>
      </c>
    </row>
    <row r="20" spans="1:12">
      <c r="A20" t="s">
        <v>795</v>
      </c>
      <c r="B20" s="3">
        <v>36646</v>
      </c>
      <c r="C20" s="4">
        <v>60.337600000000002</v>
      </c>
      <c r="D20" s="4">
        <v>64.913899999999998</v>
      </c>
      <c r="E20" s="4" t="e">
        <v>#N/A</v>
      </c>
      <c r="F20" s="4" t="e">
        <v>#N/A</v>
      </c>
      <c r="G20" s="4">
        <v>55.7746</v>
      </c>
      <c r="H20" s="4">
        <v>55.997999999999998</v>
      </c>
      <c r="I20" s="4" t="e">
        <v>#N/A</v>
      </c>
      <c r="J20" s="4">
        <v>61.189599999999999</v>
      </c>
      <c r="K20" s="9">
        <v>107.9357</v>
      </c>
      <c r="L20" s="10">
        <v>1667</v>
      </c>
    </row>
    <row r="21" spans="1:12">
      <c r="A21" t="s">
        <v>796</v>
      </c>
      <c r="B21" s="3">
        <v>36677</v>
      </c>
      <c r="C21" s="4">
        <v>58.7485</v>
      </c>
      <c r="D21" s="4">
        <v>64.1096</v>
      </c>
      <c r="E21" s="4" t="e">
        <v>#N/A</v>
      </c>
      <c r="F21" s="4" t="e">
        <v>#N/A</v>
      </c>
      <c r="G21" s="4">
        <v>55.488100000000003</v>
      </c>
      <c r="H21" s="4">
        <v>54.895200000000003</v>
      </c>
      <c r="I21" s="4" t="e">
        <v>#N/A</v>
      </c>
      <c r="J21" s="4">
        <v>60.044199999999996</v>
      </c>
      <c r="K21" s="9">
        <v>110.66388000000001</v>
      </c>
      <c r="L21" s="10">
        <v>1602</v>
      </c>
    </row>
    <row r="22" spans="1:12">
      <c r="A22" t="s">
        <v>797</v>
      </c>
      <c r="B22" s="3">
        <v>36707</v>
      </c>
      <c r="C22" s="4">
        <v>57.782800000000002</v>
      </c>
      <c r="D22" s="4">
        <v>63.616399999999999</v>
      </c>
      <c r="E22" s="4" t="e">
        <v>#N/A</v>
      </c>
      <c r="F22" s="4" t="e">
        <v>#N/A</v>
      </c>
      <c r="G22" s="4">
        <v>55.340400000000002</v>
      </c>
      <c r="H22" s="4">
        <v>53.836399999999998</v>
      </c>
      <c r="I22" s="4" t="e">
        <v>#N/A</v>
      </c>
      <c r="J22" s="4">
        <v>60.079900000000002</v>
      </c>
      <c r="K22" s="9">
        <v>111.02743</v>
      </c>
      <c r="L22" s="10">
        <v>1589</v>
      </c>
    </row>
    <row r="23" spans="1:12">
      <c r="A23" t="s">
        <v>798</v>
      </c>
      <c r="B23" s="3">
        <v>36738</v>
      </c>
      <c r="C23" s="4">
        <v>58.130499999999998</v>
      </c>
      <c r="D23" s="4">
        <v>62.654000000000003</v>
      </c>
      <c r="E23" s="4" t="e">
        <v>#N/A</v>
      </c>
      <c r="F23" s="4" t="e">
        <v>#N/A</v>
      </c>
      <c r="G23" s="4">
        <v>54.033000000000001</v>
      </c>
      <c r="H23" s="4">
        <v>54.261899999999997</v>
      </c>
      <c r="I23" s="4" t="e">
        <v>#N/A</v>
      </c>
      <c r="J23" s="4">
        <v>57.701799999999999</v>
      </c>
      <c r="K23" s="9">
        <v>110.71677</v>
      </c>
      <c r="L23" s="10">
        <v>1618</v>
      </c>
    </row>
    <row r="24" spans="1:12">
      <c r="A24" t="s">
        <v>799</v>
      </c>
      <c r="B24" s="3">
        <v>36769</v>
      </c>
      <c r="C24" s="4">
        <v>57.719700000000003</v>
      </c>
      <c r="D24" s="4">
        <v>59.630899999999997</v>
      </c>
      <c r="E24" s="4" t="e">
        <v>#N/A</v>
      </c>
      <c r="F24" s="4" t="e">
        <v>#N/A</v>
      </c>
      <c r="G24" s="4">
        <v>54.613999999999997</v>
      </c>
      <c r="H24" s="4">
        <v>52.746699999999997</v>
      </c>
      <c r="I24" s="4" t="e">
        <v>#N/A</v>
      </c>
      <c r="J24" s="4">
        <v>60.6218</v>
      </c>
      <c r="K24" s="9">
        <v>110.67823</v>
      </c>
      <c r="L24" s="10">
        <v>1639</v>
      </c>
    </row>
    <row r="25" spans="1:12">
      <c r="A25" t="s">
        <v>800</v>
      </c>
      <c r="B25" s="3">
        <v>36799</v>
      </c>
      <c r="C25" s="4">
        <v>57.058</v>
      </c>
      <c r="D25" s="4">
        <v>62.436100000000003</v>
      </c>
      <c r="E25" s="4" t="e">
        <v>#N/A</v>
      </c>
      <c r="F25" s="4" t="e">
        <v>#N/A</v>
      </c>
      <c r="G25" s="4">
        <v>54.462000000000003</v>
      </c>
      <c r="H25" s="4">
        <v>52.128900000000002</v>
      </c>
      <c r="I25" s="4" t="e">
        <v>#N/A</v>
      </c>
      <c r="J25" s="4">
        <v>59.188400000000001</v>
      </c>
      <c r="K25" s="9">
        <v>112.70334</v>
      </c>
      <c r="L25" s="10">
        <v>1712</v>
      </c>
    </row>
    <row r="26" spans="1:12">
      <c r="A26" t="s">
        <v>801</v>
      </c>
      <c r="B26" s="3">
        <v>36830</v>
      </c>
      <c r="C26" s="4">
        <v>56.109699999999997</v>
      </c>
      <c r="D26" s="4">
        <v>62.048999999999999</v>
      </c>
      <c r="E26" s="4" t="e">
        <v>#N/A</v>
      </c>
      <c r="F26" s="4" t="e">
        <v>#N/A</v>
      </c>
      <c r="G26" s="4">
        <v>54.3992</v>
      </c>
      <c r="H26" s="4">
        <v>51.15</v>
      </c>
      <c r="I26" s="4" t="e">
        <v>#N/A</v>
      </c>
      <c r="J26" s="4">
        <v>58.306399999999996</v>
      </c>
      <c r="K26" s="9">
        <v>114.52209000000001</v>
      </c>
      <c r="L26" s="10">
        <v>1734</v>
      </c>
    </row>
    <row r="27" spans="1:12">
      <c r="A27" t="s">
        <v>802</v>
      </c>
      <c r="B27" s="3">
        <v>36860</v>
      </c>
      <c r="C27" s="4">
        <v>54.868299999999998</v>
      </c>
      <c r="D27" s="4">
        <v>59.7087</v>
      </c>
      <c r="E27" s="4" t="e">
        <v>#N/A</v>
      </c>
      <c r="F27" s="4" t="e">
        <v>#N/A</v>
      </c>
      <c r="G27" s="4">
        <v>54.126800000000003</v>
      </c>
      <c r="H27" s="4">
        <v>50.746699999999997</v>
      </c>
      <c r="I27" s="4" t="e">
        <v>#N/A</v>
      </c>
      <c r="J27" s="4">
        <v>58.236199999999997</v>
      </c>
      <c r="K27" s="9">
        <v>114.70455</v>
      </c>
      <c r="L27" s="10">
        <v>1722</v>
      </c>
    </row>
    <row r="28" spans="1:12">
      <c r="A28" t="s">
        <v>803</v>
      </c>
      <c r="B28" s="3">
        <v>36891</v>
      </c>
      <c r="C28" s="4">
        <v>52.905299999999997</v>
      </c>
      <c r="D28" s="4">
        <v>59.8902</v>
      </c>
      <c r="E28" s="4" t="e">
        <v>#N/A</v>
      </c>
      <c r="F28" s="4" t="e">
        <v>#N/A</v>
      </c>
      <c r="G28" s="4">
        <v>52.018599999999999</v>
      </c>
      <c r="H28" s="4">
        <v>47.851100000000002</v>
      </c>
      <c r="I28" s="4" t="e">
        <v>#N/A</v>
      </c>
      <c r="J28" s="4">
        <v>56.988500000000002</v>
      </c>
      <c r="K28" s="9">
        <v>115.36207</v>
      </c>
      <c r="L28" s="10">
        <v>1609</v>
      </c>
    </row>
    <row r="29" spans="1:12">
      <c r="A29" t="s">
        <v>804</v>
      </c>
      <c r="B29" s="3">
        <v>36922</v>
      </c>
      <c r="C29" s="4">
        <v>50.400700000000001</v>
      </c>
      <c r="D29" s="4">
        <v>59.842599999999997</v>
      </c>
      <c r="E29" s="4" t="e">
        <v>#N/A</v>
      </c>
      <c r="F29" s="4" t="e">
        <v>#N/A</v>
      </c>
      <c r="G29" s="4">
        <v>51.613999999999997</v>
      </c>
      <c r="H29" s="4">
        <v>46.6736</v>
      </c>
      <c r="I29" s="4" t="e">
        <v>#N/A</v>
      </c>
      <c r="J29" s="4">
        <v>53.514499999999998</v>
      </c>
      <c r="K29" s="9">
        <v>118.40965</v>
      </c>
      <c r="L29" s="10">
        <v>1566</v>
      </c>
    </row>
    <row r="30" spans="1:12">
      <c r="A30" t="s">
        <v>805</v>
      </c>
      <c r="B30" s="3">
        <v>36950</v>
      </c>
      <c r="C30" s="4">
        <v>50.696100000000001</v>
      </c>
      <c r="D30" s="4">
        <v>56.06</v>
      </c>
      <c r="E30" s="4" t="e">
        <v>#N/A</v>
      </c>
      <c r="F30" s="4" t="e">
        <v>#N/A</v>
      </c>
      <c r="G30" s="4">
        <v>50.067900000000002</v>
      </c>
      <c r="H30" s="4">
        <v>46.1233</v>
      </c>
      <c r="I30" s="4" t="e">
        <v>#N/A</v>
      </c>
      <c r="J30" s="4">
        <v>52.518500000000003</v>
      </c>
      <c r="K30" s="9">
        <v>116.84793999999999</v>
      </c>
      <c r="L30" s="10">
        <v>1479</v>
      </c>
    </row>
    <row r="31" spans="1:12">
      <c r="A31" t="s">
        <v>806</v>
      </c>
      <c r="B31" s="3">
        <v>36981</v>
      </c>
      <c r="C31" s="4">
        <v>50.778399999999998</v>
      </c>
      <c r="D31" s="4">
        <v>53.378100000000003</v>
      </c>
      <c r="E31" s="4" t="e">
        <v>#N/A</v>
      </c>
      <c r="F31" s="4" t="e">
        <v>#N/A</v>
      </c>
      <c r="G31" s="4">
        <v>50.028500000000001</v>
      </c>
      <c r="H31" s="4">
        <v>46.315800000000003</v>
      </c>
      <c r="I31" s="4" t="e">
        <v>#N/A</v>
      </c>
      <c r="J31" s="4">
        <v>51.298099999999998</v>
      </c>
      <c r="K31" s="9">
        <v>117.21304000000001</v>
      </c>
      <c r="L31" s="10">
        <v>1502</v>
      </c>
    </row>
    <row r="32" spans="1:12">
      <c r="A32" t="s">
        <v>807</v>
      </c>
      <c r="B32" s="3">
        <v>37011</v>
      </c>
      <c r="C32" s="4">
        <v>48.3887</v>
      </c>
      <c r="D32" s="4">
        <v>51.5304</v>
      </c>
      <c r="E32" s="4" t="e">
        <v>#N/A</v>
      </c>
      <c r="F32" s="4" t="e">
        <v>#N/A</v>
      </c>
      <c r="G32" s="4">
        <v>47.997199999999999</v>
      </c>
      <c r="H32" s="4">
        <v>45.661000000000001</v>
      </c>
      <c r="I32" s="4" t="e">
        <v>#N/A</v>
      </c>
      <c r="J32" s="4">
        <v>49.730800000000002</v>
      </c>
      <c r="K32" s="9">
        <v>118.05614</v>
      </c>
      <c r="L32" s="10">
        <v>1440</v>
      </c>
    </row>
    <row r="33" spans="1:12">
      <c r="A33" t="s">
        <v>808</v>
      </c>
      <c r="B33" s="3">
        <v>37042</v>
      </c>
      <c r="C33" s="4">
        <v>49.134500000000003</v>
      </c>
      <c r="D33" s="4">
        <v>52.884500000000003</v>
      </c>
      <c r="E33" s="4" t="e">
        <v>#N/A</v>
      </c>
      <c r="F33" s="4" t="e">
        <v>#N/A</v>
      </c>
      <c r="G33" s="4">
        <v>47.517800000000001</v>
      </c>
      <c r="H33" s="4">
        <v>44.7577</v>
      </c>
      <c r="I33" s="4" t="e">
        <v>#N/A</v>
      </c>
      <c r="J33" s="4">
        <v>49.423099999999998</v>
      </c>
      <c r="K33" s="9">
        <v>117.89707</v>
      </c>
      <c r="L33" s="10">
        <v>1448</v>
      </c>
    </row>
    <row r="34" spans="1:12">
      <c r="A34" t="s">
        <v>809</v>
      </c>
      <c r="B34" s="3">
        <v>37072</v>
      </c>
      <c r="C34" s="4">
        <v>50.803600000000003</v>
      </c>
      <c r="D34" s="4">
        <v>50.747399999999999</v>
      </c>
      <c r="E34" s="4" t="e">
        <v>#N/A</v>
      </c>
      <c r="F34" s="4" t="e">
        <v>#N/A</v>
      </c>
      <c r="G34" s="4">
        <v>46.948700000000002</v>
      </c>
      <c r="H34" s="4">
        <v>45.632199999999997</v>
      </c>
      <c r="I34" s="4" t="e">
        <v>#N/A</v>
      </c>
      <c r="J34" s="4">
        <v>51.959600000000002</v>
      </c>
      <c r="K34" s="9">
        <v>117.75357</v>
      </c>
      <c r="L34" s="10">
        <v>1377</v>
      </c>
    </row>
    <row r="35" spans="1:12">
      <c r="A35" t="s">
        <v>810</v>
      </c>
      <c r="B35" s="3">
        <v>37103</v>
      </c>
      <c r="C35" s="4">
        <v>49.0458</v>
      </c>
      <c r="D35" s="4">
        <v>47.485900000000001</v>
      </c>
      <c r="E35" s="4" t="e">
        <v>#N/A</v>
      </c>
      <c r="F35" s="4" t="e">
        <v>#N/A</v>
      </c>
      <c r="G35" s="4">
        <v>47.551499999999997</v>
      </c>
      <c r="H35" s="4">
        <v>45.746099999999998</v>
      </c>
      <c r="I35" s="4" t="e">
        <v>#N/A</v>
      </c>
      <c r="J35" s="4">
        <v>49.535299999999999</v>
      </c>
      <c r="K35" s="9">
        <v>116.59327</v>
      </c>
      <c r="L35" s="10">
        <v>1221</v>
      </c>
    </row>
    <row r="36" spans="1:12">
      <c r="A36" t="s">
        <v>811</v>
      </c>
      <c r="B36" s="3">
        <v>37134</v>
      </c>
      <c r="C36" s="4">
        <v>49.399900000000002</v>
      </c>
      <c r="D36" s="4">
        <v>45.691200000000002</v>
      </c>
      <c r="E36" s="4" t="e">
        <v>#N/A</v>
      </c>
      <c r="F36" s="4" t="e">
        <v>#N/A</v>
      </c>
      <c r="G36" s="4">
        <v>47.817700000000002</v>
      </c>
      <c r="H36" s="4">
        <v>47.605899999999998</v>
      </c>
      <c r="I36" s="4" t="e">
        <v>#N/A</v>
      </c>
      <c r="J36" s="4">
        <v>48.754100000000001</v>
      </c>
      <c r="K36" s="9">
        <v>115.02526</v>
      </c>
      <c r="L36" s="10">
        <v>980</v>
      </c>
    </row>
    <row r="37" spans="1:12">
      <c r="A37" t="s">
        <v>812</v>
      </c>
      <c r="B37" s="3">
        <v>37164</v>
      </c>
      <c r="C37" s="4">
        <v>49.478999999999999</v>
      </c>
      <c r="D37" s="4">
        <v>46.113900000000001</v>
      </c>
      <c r="E37" s="4" t="e">
        <v>#N/A</v>
      </c>
      <c r="F37" s="4" t="e">
        <v>#N/A</v>
      </c>
      <c r="G37" s="4">
        <v>47.773299999999999</v>
      </c>
      <c r="H37" s="4">
        <v>46.740200000000002</v>
      </c>
      <c r="I37" s="4" t="e">
        <v>#N/A</v>
      </c>
      <c r="J37" s="4">
        <v>49.223599999999998</v>
      </c>
      <c r="K37" s="9">
        <v>115.00387000000001</v>
      </c>
      <c r="L37" s="10">
        <v>945</v>
      </c>
    </row>
    <row r="38" spans="1:12">
      <c r="A38" t="s">
        <v>813</v>
      </c>
      <c r="B38" s="3">
        <v>37195</v>
      </c>
      <c r="C38" s="4">
        <v>41.772300000000001</v>
      </c>
      <c r="D38" s="4">
        <v>41.566000000000003</v>
      </c>
      <c r="E38" s="4" t="e">
        <v>#N/A</v>
      </c>
      <c r="F38" s="4" t="e">
        <v>#N/A</v>
      </c>
      <c r="G38" s="4">
        <v>44.860799999999998</v>
      </c>
      <c r="H38" s="4">
        <v>41.021700000000003</v>
      </c>
      <c r="I38" s="4" t="e">
        <v>#N/A</v>
      </c>
      <c r="J38" s="4">
        <v>42.8904</v>
      </c>
      <c r="K38" s="9">
        <v>113.80347</v>
      </c>
      <c r="L38" s="10">
        <v>898</v>
      </c>
    </row>
    <row r="39" spans="1:12">
      <c r="A39" t="s">
        <v>814</v>
      </c>
      <c r="B39" s="3">
        <v>37225</v>
      </c>
      <c r="C39" s="4">
        <v>46.024700000000003</v>
      </c>
      <c r="D39" s="4">
        <v>40.396900000000002</v>
      </c>
      <c r="E39" s="4" t="e">
        <v>#N/A</v>
      </c>
      <c r="F39" s="4" t="e">
        <v>#N/A</v>
      </c>
      <c r="G39" s="4">
        <v>44.920999999999999</v>
      </c>
      <c r="H39" s="4">
        <v>43.485399999999998</v>
      </c>
      <c r="I39" s="4" t="e">
        <v>#N/A</v>
      </c>
      <c r="J39" s="4">
        <v>48.477600000000002</v>
      </c>
      <c r="K39" s="9">
        <v>114.14976</v>
      </c>
      <c r="L39" s="10">
        <v>855</v>
      </c>
    </row>
    <row r="40" spans="1:12">
      <c r="A40" t="s">
        <v>815</v>
      </c>
      <c r="B40" s="3">
        <v>37256</v>
      </c>
      <c r="C40" s="4">
        <v>48.448599999999999</v>
      </c>
      <c r="D40" s="4">
        <v>41.402900000000002</v>
      </c>
      <c r="E40" s="4" t="e">
        <v>#N/A</v>
      </c>
      <c r="F40" s="4" t="e">
        <v>#N/A</v>
      </c>
      <c r="G40" s="4">
        <v>45.3675</v>
      </c>
      <c r="H40" s="4">
        <v>44.069400000000002</v>
      </c>
      <c r="I40" s="4" t="e">
        <v>#N/A</v>
      </c>
      <c r="J40" s="4">
        <v>50.219299999999997</v>
      </c>
      <c r="K40" s="9">
        <v>113.26776</v>
      </c>
      <c r="L40" s="10">
        <v>870</v>
      </c>
    </row>
    <row r="41" spans="1:12">
      <c r="A41" t="s">
        <v>816</v>
      </c>
      <c r="B41" s="3">
        <v>37287</v>
      </c>
      <c r="C41" s="4">
        <v>49.706699999999998</v>
      </c>
      <c r="D41" s="4">
        <v>46.869599999999998</v>
      </c>
      <c r="E41" s="4" t="e">
        <v>#N/A</v>
      </c>
      <c r="F41" s="4" t="e">
        <v>#N/A</v>
      </c>
      <c r="G41" s="4">
        <v>45.684699999999999</v>
      </c>
      <c r="H41" s="4">
        <v>46.493499999999997</v>
      </c>
      <c r="I41" s="4" t="e">
        <v>#N/A</v>
      </c>
      <c r="J41" s="4">
        <v>50.270899999999997</v>
      </c>
      <c r="K41" s="9">
        <v>114.5098</v>
      </c>
      <c r="L41" s="10">
        <v>931</v>
      </c>
    </row>
    <row r="42" spans="1:12">
      <c r="A42" t="s">
        <v>817</v>
      </c>
      <c r="B42" s="3">
        <v>37315</v>
      </c>
      <c r="C42" s="4">
        <v>54.393000000000001</v>
      </c>
      <c r="D42" s="4">
        <v>46.475200000000001</v>
      </c>
      <c r="E42" s="4" t="e">
        <v>#N/A</v>
      </c>
      <c r="F42" s="4" t="e">
        <v>#N/A</v>
      </c>
      <c r="G42" s="4">
        <v>46.419899999999998</v>
      </c>
      <c r="H42" s="4">
        <v>49.090200000000003</v>
      </c>
      <c r="I42" s="4" t="e">
        <v>#N/A</v>
      </c>
      <c r="J42" s="4">
        <v>55.192399999999999</v>
      </c>
      <c r="K42" s="9">
        <v>114.92203000000001</v>
      </c>
      <c r="L42" s="10">
        <v>960</v>
      </c>
    </row>
    <row r="43" spans="1:12">
      <c r="A43" t="s">
        <v>818</v>
      </c>
      <c r="B43" s="3">
        <v>37346</v>
      </c>
      <c r="C43" s="4">
        <v>55.914099999999998</v>
      </c>
      <c r="D43" s="4">
        <v>49.279699999999998</v>
      </c>
      <c r="E43" s="4" t="e">
        <v>#N/A</v>
      </c>
      <c r="F43" s="4" t="e">
        <v>#N/A</v>
      </c>
      <c r="G43" s="4">
        <v>47.976500000000001</v>
      </c>
      <c r="H43" s="4">
        <v>51.011000000000003</v>
      </c>
      <c r="I43" s="4" t="e">
        <v>#N/A</v>
      </c>
      <c r="J43" s="4">
        <v>55.423699999999997</v>
      </c>
      <c r="K43" s="9">
        <v>114.84430999999999</v>
      </c>
      <c r="L43" s="10">
        <v>1065</v>
      </c>
    </row>
    <row r="44" spans="1:12">
      <c r="A44" t="s">
        <v>819</v>
      </c>
      <c r="B44" s="3">
        <v>37376</v>
      </c>
      <c r="C44" s="4">
        <v>56.818199999999997</v>
      </c>
      <c r="D44" s="4">
        <v>53.107500000000002</v>
      </c>
      <c r="E44" s="4" t="e">
        <v>#N/A</v>
      </c>
      <c r="F44" s="4" t="e">
        <v>#N/A</v>
      </c>
      <c r="G44" s="4">
        <v>49.438299999999998</v>
      </c>
      <c r="H44" s="4">
        <v>51.953299999999999</v>
      </c>
      <c r="I44" s="4" t="e">
        <v>#N/A</v>
      </c>
      <c r="J44" s="4">
        <v>55.192399999999999</v>
      </c>
      <c r="K44" s="9">
        <v>114.60590999999999</v>
      </c>
      <c r="L44" s="10">
        <v>1077</v>
      </c>
    </row>
    <row r="45" spans="1:12">
      <c r="A45" t="s">
        <v>820</v>
      </c>
      <c r="B45" s="3">
        <v>37407</v>
      </c>
      <c r="C45" s="4">
        <v>56.710900000000002</v>
      </c>
      <c r="D45" s="4">
        <v>54.037100000000002</v>
      </c>
      <c r="E45" s="4" t="e">
        <v>#N/A</v>
      </c>
      <c r="F45" s="4" t="e">
        <v>#N/A</v>
      </c>
      <c r="G45" s="4">
        <v>50.423299999999998</v>
      </c>
      <c r="H45" s="4">
        <v>53.142499999999998</v>
      </c>
      <c r="I45" s="4" t="e">
        <v>#N/A</v>
      </c>
      <c r="J45" s="4">
        <v>57.653599999999997</v>
      </c>
      <c r="K45" s="9">
        <v>113.0735</v>
      </c>
      <c r="L45" s="10">
        <v>1033</v>
      </c>
    </row>
    <row r="46" spans="1:12">
      <c r="A46" t="s">
        <v>821</v>
      </c>
      <c r="B46" s="3">
        <v>37437</v>
      </c>
      <c r="C46" s="4">
        <v>56.360700000000001</v>
      </c>
      <c r="D46" s="4">
        <v>54.298499999999997</v>
      </c>
      <c r="E46" s="4" t="e">
        <v>#N/A</v>
      </c>
      <c r="F46" s="4" t="e">
        <v>#N/A</v>
      </c>
      <c r="G46" s="4">
        <v>48.3703</v>
      </c>
      <c r="H46" s="4">
        <v>53.494799999999998</v>
      </c>
      <c r="I46" s="4" t="e">
        <v>#N/A</v>
      </c>
      <c r="J46" s="4">
        <v>54.918700000000001</v>
      </c>
      <c r="K46" s="9">
        <v>111.99786</v>
      </c>
      <c r="L46" s="10">
        <v>995</v>
      </c>
    </row>
    <row r="47" spans="1:12">
      <c r="A47" t="s">
        <v>822</v>
      </c>
      <c r="B47" s="3">
        <v>37468</v>
      </c>
      <c r="C47" s="4">
        <v>52.523800000000001</v>
      </c>
      <c r="D47" s="4">
        <v>57.510899999999999</v>
      </c>
      <c r="E47" s="4" t="e">
        <v>#N/A</v>
      </c>
      <c r="F47" s="4" t="e">
        <v>#N/A</v>
      </c>
      <c r="G47" s="4">
        <v>48.483800000000002</v>
      </c>
      <c r="H47" s="4">
        <v>51.242600000000003</v>
      </c>
      <c r="I47" s="4" t="e">
        <v>#N/A</v>
      </c>
      <c r="J47" s="4">
        <v>52.229900000000001</v>
      </c>
      <c r="K47" s="9">
        <v>110.35115</v>
      </c>
      <c r="L47" s="10">
        <v>989</v>
      </c>
    </row>
    <row r="48" spans="1:12">
      <c r="A48" t="s">
        <v>823</v>
      </c>
      <c r="B48" s="3">
        <v>37499</v>
      </c>
      <c r="C48" s="4">
        <v>52.2742</v>
      </c>
      <c r="D48" s="4">
        <v>53.954099999999997</v>
      </c>
      <c r="E48" s="4" t="e">
        <v>#N/A</v>
      </c>
      <c r="F48" s="4" t="e">
        <v>#N/A</v>
      </c>
      <c r="G48" s="4">
        <v>48.474200000000003</v>
      </c>
      <c r="H48" s="4">
        <v>50.542499999999997</v>
      </c>
      <c r="I48" s="4" t="e">
        <v>#N/A</v>
      </c>
      <c r="J48" s="4">
        <v>51.7864</v>
      </c>
      <c r="K48" s="9">
        <v>111.62636999999999</v>
      </c>
      <c r="L48" s="10">
        <v>1002</v>
      </c>
    </row>
    <row r="49" spans="1:12">
      <c r="A49" t="s">
        <v>824</v>
      </c>
      <c r="B49" s="3">
        <v>37529</v>
      </c>
      <c r="C49" s="4">
        <v>52.7744</v>
      </c>
      <c r="D49" s="4">
        <v>53.497300000000003</v>
      </c>
      <c r="E49" s="4" t="e">
        <v>#N/A</v>
      </c>
      <c r="F49" s="4" t="e">
        <v>#N/A</v>
      </c>
      <c r="G49" s="4">
        <v>47.813899999999997</v>
      </c>
      <c r="H49" s="4">
        <v>49.643099999999997</v>
      </c>
      <c r="I49" s="4" t="e">
        <v>#N/A</v>
      </c>
      <c r="J49" s="4">
        <v>53.256900000000002</v>
      </c>
      <c r="K49" s="9">
        <v>112.49731</v>
      </c>
      <c r="L49" s="10">
        <v>1182</v>
      </c>
    </row>
    <row r="50" spans="1:12">
      <c r="A50" t="s">
        <v>825</v>
      </c>
      <c r="B50" s="3">
        <v>37560</v>
      </c>
      <c r="C50" s="4">
        <v>51.961599999999997</v>
      </c>
      <c r="D50" s="4">
        <v>53.234299999999998</v>
      </c>
      <c r="E50" s="4" t="e">
        <v>#N/A</v>
      </c>
      <c r="F50" s="4" t="e">
        <v>#N/A</v>
      </c>
      <c r="G50" s="4">
        <v>47.927700000000002</v>
      </c>
      <c r="H50" s="4">
        <v>49.191899999999997</v>
      </c>
      <c r="I50" s="4" t="e">
        <v>#N/A</v>
      </c>
      <c r="J50" s="4">
        <v>52.392299999999999</v>
      </c>
      <c r="K50" s="9">
        <v>113.6806</v>
      </c>
      <c r="L50" s="10">
        <v>1365</v>
      </c>
    </row>
    <row r="51" spans="1:12">
      <c r="A51" t="s">
        <v>767</v>
      </c>
      <c r="B51" s="3">
        <v>37590</v>
      </c>
      <c r="C51" s="4">
        <v>53.302999999999997</v>
      </c>
      <c r="D51" s="4">
        <v>53.144300000000001</v>
      </c>
      <c r="E51" s="4" t="e">
        <v>#N/A</v>
      </c>
      <c r="F51" s="4" t="e">
        <v>#N/A</v>
      </c>
      <c r="G51" s="4">
        <v>47.553699999999999</v>
      </c>
      <c r="H51" s="4">
        <v>48.996699999999997</v>
      </c>
      <c r="I51" s="4" t="e">
        <v>#N/A</v>
      </c>
      <c r="J51" s="4">
        <v>54.853700000000003</v>
      </c>
      <c r="K51" s="9">
        <v>112.42230000000001</v>
      </c>
      <c r="L51" s="10">
        <v>1460</v>
      </c>
    </row>
    <row r="52" spans="1:12">
      <c r="A52" t="s">
        <v>826</v>
      </c>
      <c r="B52" s="3">
        <v>37621</v>
      </c>
      <c r="C52" s="4">
        <v>53.590299999999999</v>
      </c>
      <c r="D52" s="4">
        <v>53.214399999999998</v>
      </c>
      <c r="E52" s="4" t="e">
        <v>#N/A</v>
      </c>
      <c r="F52" s="4" t="e">
        <v>#N/A</v>
      </c>
      <c r="G52" s="4">
        <v>48.174199999999999</v>
      </c>
      <c r="H52" s="4">
        <v>50.148299999999999</v>
      </c>
      <c r="I52" s="4" t="e">
        <v>#N/A</v>
      </c>
      <c r="J52" s="4">
        <v>53.828200000000002</v>
      </c>
      <c r="K52" s="9">
        <v>111.39613</v>
      </c>
      <c r="L52" s="10">
        <v>1666</v>
      </c>
    </row>
    <row r="53" spans="1:12">
      <c r="A53" t="s">
        <v>827</v>
      </c>
      <c r="B53" s="3">
        <v>37652</v>
      </c>
      <c r="C53" s="4">
        <v>53.299100000000003</v>
      </c>
      <c r="D53" s="4">
        <v>54.667299999999997</v>
      </c>
      <c r="E53" s="4" t="e">
        <v>#N/A</v>
      </c>
      <c r="F53" s="4" t="e">
        <v>#N/A</v>
      </c>
      <c r="G53" s="4">
        <v>49.340499999999999</v>
      </c>
      <c r="H53" s="4">
        <v>50.072299999999998</v>
      </c>
      <c r="I53" s="4" t="e">
        <v>#N/A</v>
      </c>
      <c r="J53" s="4">
        <v>54.021900000000002</v>
      </c>
      <c r="K53" s="9">
        <v>111.2911</v>
      </c>
      <c r="L53" s="10">
        <v>1694</v>
      </c>
    </row>
    <row r="54" spans="1:12">
      <c r="A54" t="s">
        <v>828</v>
      </c>
      <c r="B54" s="3">
        <v>37680</v>
      </c>
      <c r="C54" s="4">
        <v>52.0212</v>
      </c>
      <c r="D54" s="4">
        <v>57.857199999999999</v>
      </c>
      <c r="E54" s="4" t="e">
        <v>#N/A</v>
      </c>
      <c r="F54" s="4" t="e">
        <v>#N/A</v>
      </c>
      <c r="G54" s="4">
        <v>47.873100000000001</v>
      </c>
      <c r="H54" s="4">
        <v>49.052</v>
      </c>
      <c r="I54" s="4" t="e">
        <v>#N/A</v>
      </c>
      <c r="J54" s="4">
        <v>53.1736</v>
      </c>
      <c r="K54" s="9">
        <v>112.3172</v>
      </c>
      <c r="L54" s="10">
        <v>1674</v>
      </c>
    </row>
    <row r="55" spans="1:12">
      <c r="A55" t="s">
        <v>829</v>
      </c>
      <c r="B55" s="3">
        <v>37711</v>
      </c>
      <c r="C55" s="4">
        <v>49.0471</v>
      </c>
      <c r="D55" s="4">
        <v>58.664400000000001</v>
      </c>
      <c r="E55" s="4" t="e">
        <v>#N/A</v>
      </c>
      <c r="F55" s="4" t="e">
        <v>#N/A</v>
      </c>
      <c r="G55" s="4">
        <v>47.715800000000002</v>
      </c>
      <c r="H55" s="4">
        <v>47.493600000000001</v>
      </c>
      <c r="I55" s="4" t="e">
        <v>#N/A</v>
      </c>
      <c r="J55" s="4">
        <v>47.053699999999999</v>
      </c>
      <c r="K55" s="9">
        <v>114.44665999999999</v>
      </c>
      <c r="L55" s="10">
        <v>1850</v>
      </c>
    </row>
    <row r="56" spans="1:12">
      <c r="A56" t="s">
        <v>830</v>
      </c>
      <c r="B56" s="3">
        <v>37741</v>
      </c>
      <c r="C56" s="4">
        <v>49.218800000000002</v>
      </c>
      <c r="D56" s="4">
        <v>55.132800000000003</v>
      </c>
      <c r="E56" s="4" t="e">
        <v>#N/A</v>
      </c>
      <c r="F56" s="4" t="e">
        <v>#N/A</v>
      </c>
      <c r="G56" s="4">
        <v>47.912700000000001</v>
      </c>
      <c r="H56" s="4">
        <v>47.735799999999998</v>
      </c>
      <c r="I56" s="4" t="e">
        <v>#N/A</v>
      </c>
      <c r="J56" s="4">
        <v>49.630200000000002</v>
      </c>
      <c r="K56" s="9">
        <v>110.58292</v>
      </c>
      <c r="L56" s="10">
        <v>2064</v>
      </c>
    </row>
    <row r="57" spans="1:12">
      <c r="A57" t="s">
        <v>831</v>
      </c>
      <c r="B57" s="3">
        <v>37772</v>
      </c>
      <c r="C57" s="4">
        <v>52.085900000000002</v>
      </c>
      <c r="D57" s="4">
        <v>49.929000000000002</v>
      </c>
      <c r="E57" s="4" t="e">
        <v>#N/A</v>
      </c>
      <c r="F57" s="4" t="e">
        <v>#N/A</v>
      </c>
      <c r="G57" s="4">
        <v>47.904200000000003</v>
      </c>
      <c r="H57" s="4">
        <v>48.532600000000002</v>
      </c>
      <c r="I57" s="4" t="e">
        <v>#N/A</v>
      </c>
      <c r="J57" s="4">
        <v>52.335700000000003</v>
      </c>
      <c r="K57" s="9">
        <v>107.81438</v>
      </c>
      <c r="L57" s="10">
        <v>2231</v>
      </c>
    </row>
    <row r="58" spans="1:12">
      <c r="A58" t="s">
        <v>832</v>
      </c>
      <c r="B58" s="3">
        <v>37802</v>
      </c>
      <c r="C58" s="4">
        <v>53.198700000000002</v>
      </c>
      <c r="D58" s="4">
        <v>50.590600000000002</v>
      </c>
      <c r="E58" s="4" t="e">
        <v>#N/A</v>
      </c>
      <c r="F58" s="4" t="e">
        <v>#N/A</v>
      </c>
      <c r="G58" s="4">
        <v>48.849899999999998</v>
      </c>
      <c r="H58" s="4">
        <v>49.052700000000002</v>
      </c>
      <c r="I58" s="4" t="e">
        <v>#N/A</v>
      </c>
      <c r="J58" s="4">
        <v>55.603700000000003</v>
      </c>
      <c r="K58" s="9">
        <v>108.76233999999999</v>
      </c>
      <c r="L58" s="10">
        <v>2136</v>
      </c>
    </row>
    <row r="59" spans="1:12">
      <c r="A59" t="s">
        <v>833</v>
      </c>
      <c r="B59" s="3">
        <v>37833</v>
      </c>
      <c r="C59" s="4">
        <v>56.7727</v>
      </c>
      <c r="D59" s="4">
        <v>49.658099999999997</v>
      </c>
      <c r="E59" s="4" t="e">
        <v>#N/A</v>
      </c>
      <c r="F59" s="4" t="e">
        <v>#N/A</v>
      </c>
      <c r="G59" s="4">
        <v>49.385100000000001</v>
      </c>
      <c r="H59" s="4">
        <v>50.442</v>
      </c>
      <c r="I59" s="4" t="e">
        <v>#N/A</v>
      </c>
      <c r="J59" s="4">
        <v>58.5182</v>
      </c>
      <c r="K59" s="9">
        <v>109.09367</v>
      </c>
      <c r="L59" s="10">
        <v>2192</v>
      </c>
    </row>
    <row r="60" spans="1:12">
      <c r="A60" t="s">
        <v>834</v>
      </c>
      <c r="B60" s="3">
        <v>37864</v>
      </c>
      <c r="C60" s="4">
        <v>59.921999999999997</v>
      </c>
      <c r="D60" s="4">
        <v>52.185600000000001</v>
      </c>
      <c r="E60" s="4" t="e">
        <v>#N/A</v>
      </c>
      <c r="F60" s="4" t="e">
        <v>#N/A</v>
      </c>
      <c r="G60" s="4">
        <v>50.514800000000001</v>
      </c>
      <c r="H60" s="4">
        <v>52.375</v>
      </c>
      <c r="I60" s="4" t="e">
        <v>#N/A</v>
      </c>
      <c r="J60" s="4">
        <v>60.514699999999998</v>
      </c>
      <c r="K60" s="9">
        <v>110.41261</v>
      </c>
      <c r="L60" s="10">
        <v>2286</v>
      </c>
    </row>
    <row r="61" spans="1:12">
      <c r="A61" t="s">
        <v>835</v>
      </c>
      <c r="B61" s="3">
        <v>37894</v>
      </c>
      <c r="C61" s="4">
        <v>58.57</v>
      </c>
      <c r="D61" s="4">
        <v>54.134</v>
      </c>
      <c r="E61" s="4" t="e">
        <v>#N/A</v>
      </c>
      <c r="F61" s="4" t="e">
        <v>#N/A</v>
      </c>
      <c r="G61" s="4">
        <v>50.092300000000002</v>
      </c>
      <c r="H61" s="4">
        <v>52.490699999999997</v>
      </c>
      <c r="I61" s="4" t="e">
        <v>#N/A</v>
      </c>
      <c r="J61" s="4">
        <v>60.252299999999998</v>
      </c>
      <c r="K61" s="9">
        <v>109.3061</v>
      </c>
      <c r="L61" s="10">
        <v>2463</v>
      </c>
    </row>
    <row r="62" spans="1:12">
      <c r="A62" t="s">
        <v>836</v>
      </c>
      <c r="B62" s="3">
        <v>37925</v>
      </c>
      <c r="C62" s="4">
        <v>61.108600000000003</v>
      </c>
      <c r="D62" s="4">
        <v>54.536499999999997</v>
      </c>
      <c r="E62" s="4" t="e">
        <v>#N/A</v>
      </c>
      <c r="F62" s="4" t="e">
        <v>#N/A</v>
      </c>
      <c r="G62" s="4">
        <v>51.679000000000002</v>
      </c>
      <c r="H62" s="4">
        <v>54.691499999999998</v>
      </c>
      <c r="I62" s="4" t="e">
        <v>#N/A</v>
      </c>
      <c r="J62" s="4">
        <v>61.426499999999997</v>
      </c>
      <c r="K62" s="9">
        <v>107.83472</v>
      </c>
      <c r="L62" s="10">
        <v>4163</v>
      </c>
    </row>
    <row r="63" spans="1:12">
      <c r="A63" t="s">
        <v>837</v>
      </c>
      <c r="B63" s="3">
        <v>37955</v>
      </c>
      <c r="C63" s="4">
        <v>61.452599999999997</v>
      </c>
      <c r="D63" s="4">
        <v>56.173200000000001</v>
      </c>
      <c r="E63" s="4" t="e">
        <v>#N/A</v>
      </c>
      <c r="F63" s="4" t="e">
        <v>#N/A</v>
      </c>
      <c r="G63" s="4">
        <v>52.952500000000001</v>
      </c>
      <c r="H63" s="4">
        <v>56.378399999999999</v>
      </c>
      <c r="I63" s="4" t="e">
        <v>#N/A</v>
      </c>
      <c r="J63" s="4">
        <v>59.861899999999999</v>
      </c>
      <c r="K63" s="9">
        <v>107.19524</v>
      </c>
      <c r="L63" s="10">
        <v>4250</v>
      </c>
    </row>
    <row r="64" spans="1:12">
      <c r="A64" t="s">
        <v>838</v>
      </c>
      <c r="B64" s="3">
        <v>37986</v>
      </c>
      <c r="C64" s="4">
        <v>61.386099999999999</v>
      </c>
      <c r="D64" s="4">
        <v>57.462800000000001</v>
      </c>
      <c r="E64" s="4" t="e">
        <v>#N/A</v>
      </c>
      <c r="F64" s="4" t="e">
        <v>#N/A</v>
      </c>
      <c r="G64" s="4">
        <v>53.331600000000002</v>
      </c>
      <c r="H64" s="4">
        <v>57.348199999999999</v>
      </c>
      <c r="I64" s="4" t="e">
        <v>#N/A</v>
      </c>
      <c r="J64" s="4">
        <v>58.822200000000002</v>
      </c>
      <c r="K64" s="9">
        <v>105.90237</v>
      </c>
      <c r="L64" s="10">
        <v>4609</v>
      </c>
    </row>
    <row r="65" spans="1:12">
      <c r="A65" t="s">
        <v>839</v>
      </c>
      <c r="B65" s="3">
        <v>38017</v>
      </c>
      <c r="C65" s="4">
        <v>62.997399999999999</v>
      </c>
      <c r="D65" s="4">
        <v>59.888399999999997</v>
      </c>
      <c r="E65" s="4" t="e">
        <v>#N/A</v>
      </c>
      <c r="F65" s="4" t="e">
        <v>#N/A</v>
      </c>
      <c r="G65" s="4">
        <v>53.563499999999998</v>
      </c>
      <c r="H65" s="4">
        <v>57.404499999999999</v>
      </c>
      <c r="I65" s="4" t="e">
        <v>#N/A</v>
      </c>
      <c r="J65" s="4">
        <v>63.822000000000003</v>
      </c>
      <c r="K65" s="9">
        <v>104.8681</v>
      </c>
      <c r="L65" s="10">
        <v>5234</v>
      </c>
    </row>
    <row r="66" spans="1:12">
      <c r="A66" t="s">
        <v>840</v>
      </c>
      <c r="B66" s="3">
        <v>38046</v>
      </c>
      <c r="C66" s="4">
        <v>60.101700000000001</v>
      </c>
      <c r="D66" s="4">
        <v>60.592100000000002</v>
      </c>
      <c r="E66" s="4" t="e">
        <v>#N/A</v>
      </c>
      <c r="F66" s="4" t="e">
        <v>#N/A</v>
      </c>
      <c r="G66" s="4">
        <v>52.776899999999998</v>
      </c>
      <c r="H66" s="4">
        <v>56.401200000000003</v>
      </c>
      <c r="I66" s="4" t="e">
        <v>#N/A</v>
      </c>
      <c r="J66" s="4">
        <v>60.259700000000002</v>
      </c>
      <c r="K66" s="9">
        <v>105.01191</v>
      </c>
      <c r="L66" s="10">
        <v>5450</v>
      </c>
    </row>
    <row r="67" spans="1:12">
      <c r="A67" t="s">
        <v>841</v>
      </c>
      <c r="B67" s="3">
        <v>38077</v>
      </c>
      <c r="C67" s="4">
        <v>59.844499999999996</v>
      </c>
      <c r="D67" s="4">
        <v>64.555599999999998</v>
      </c>
      <c r="E67" s="4" t="e">
        <v>#N/A</v>
      </c>
      <c r="F67" s="4" t="e">
        <v>#N/A</v>
      </c>
      <c r="G67" s="4">
        <v>53.455100000000002</v>
      </c>
      <c r="H67" s="4">
        <v>56.944600000000001</v>
      </c>
      <c r="I67" s="4" t="e">
        <v>#N/A</v>
      </c>
      <c r="J67" s="4">
        <v>59.472700000000003</v>
      </c>
      <c r="K67" s="9">
        <v>105.79752999999999</v>
      </c>
      <c r="L67" s="10">
        <v>5131</v>
      </c>
    </row>
    <row r="68" spans="1:12">
      <c r="A68" t="s">
        <v>842</v>
      </c>
      <c r="B68" s="3">
        <v>38107</v>
      </c>
      <c r="C68" s="4">
        <v>60.214500000000001</v>
      </c>
      <c r="D68" s="4">
        <v>66.679599999999994</v>
      </c>
      <c r="E68" s="4" t="e">
        <v>#N/A</v>
      </c>
      <c r="F68" s="4" t="e">
        <v>#N/A</v>
      </c>
      <c r="G68" s="4">
        <v>54.384799999999998</v>
      </c>
      <c r="H68" s="4">
        <v>57.512999999999998</v>
      </c>
      <c r="I68" s="4" t="e">
        <v>#N/A</v>
      </c>
      <c r="J68" s="4">
        <v>60.573700000000002</v>
      </c>
      <c r="K68" s="9">
        <v>106.78036</v>
      </c>
      <c r="L68" s="10">
        <v>4494</v>
      </c>
    </row>
    <row r="69" spans="1:12">
      <c r="A69" t="s">
        <v>843</v>
      </c>
      <c r="B69" s="3">
        <v>38138</v>
      </c>
      <c r="C69" s="4">
        <v>59.546199999999999</v>
      </c>
      <c r="D69" s="4">
        <v>67.973200000000006</v>
      </c>
      <c r="E69" s="4" t="e">
        <v>#N/A</v>
      </c>
      <c r="F69" s="4" t="e">
        <v>#N/A</v>
      </c>
      <c r="G69" s="4">
        <v>54.740900000000003</v>
      </c>
      <c r="H69" s="4">
        <v>57.651400000000002</v>
      </c>
      <c r="I69" s="4" t="e">
        <v>#N/A</v>
      </c>
      <c r="J69" s="4">
        <v>59.920999999999999</v>
      </c>
      <c r="K69" s="9">
        <v>109.33734</v>
      </c>
      <c r="L69" s="10">
        <v>3596</v>
      </c>
    </row>
    <row r="70" spans="1:12">
      <c r="A70" t="s">
        <v>844</v>
      </c>
      <c r="B70" s="3">
        <v>38168</v>
      </c>
      <c r="C70" s="4">
        <v>59.136400000000002</v>
      </c>
      <c r="D70" s="4">
        <v>67.902299999999997</v>
      </c>
      <c r="E70" s="4" t="e">
        <v>#N/A</v>
      </c>
      <c r="F70" s="4" t="e">
        <v>#N/A</v>
      </c>
      <c r="G70" s="4">
        <v>54.735999999999997</v>
      </c>
      <c r="H70" s="4">
        <v>56.119</v>
      </c>
      <c r="I70" s="4" t="e">
        <v>#N/A</v>
      </c>
      <c r="J70" s="4">
        <v>57.687100000000001</v>
      </c>
      <c r="K70" s="9">
        <v>108.60608999999999</v>
      </c>
      <c r="L70" s="10">
        <v>2902</v>
      </c>
    </row>
    <row r="71" spans="1:12">
      <c r="A71" t="s">
        <v>845</v>
      </c>
      <c r="B71" s="3">
        <v>38199</v>
      </c>
      <c r="C71" s="4">
        <v>59.822299999999998</v>
      </c>
      <c r="D71" s="4">
        <v>66.598699999999994</v>
      </c>
      <c r="E71" s="4" t="e">
        <v>#N/A</v>
      </c>
      <c r="F71" s="4" t="e">
        <v>#N/A</v>
      </c>
      <c r="G71" s="4">
        <v>52.395899999999997</v>
      </c>
      <c r="H71" s="4">
        <v>56.314599999999999</v>
      </c>
      <c r="I71" s="4" t="e">
        <v>#N/A</v>
      </c>
      <c r="J71" s="4">
        <v>60.108600000000003</v>
      </c>
      <c r="K71" s="9">
        <v>107.48626</v>
      </c>
      <c r="L71" s="10">
        <v>3778</v>
      </c>
    </row>
    <row r="72" spans="1:12">
      <c r="A72" t="s">
        <v>846</v>
      </c>
      <c r="B72" s="3">
        <v>38230</v>
      </c>
      <c r="C72" s="4">
        <v>57.629800000000003</v>
      </c>
      <c r="D72" s="4">
        <v>67.493399999999994</v>
      </c>
      <c r="E72" s="4" t="e">
        <v>#N/A</v>
      </c>
      <c r="F72" s="4" t="e">
        <v>#N/A</v>
      </c>
      <c r="G72" s="4">
        <v>53.717599999999997</v>
      </c>
      <c r="H72" s="4">
        <v>55.240600000000001</v>
      </c>
      <c r="I72" s="4" t="e">
        <v>#N/A</v>
      </c>
      <c r="J72" s="4">
        <v>57.751800000000003</v>
      </c>
      <c r="K72" s="9">
        <v>107.68641</v>
      </c>
      <c r="L72" s="10">
        <v>4169</v>
      </c>
    </row>
    <row r="73" spans="1:12">
      <c r="A73" t="s">
        <v>847</v>
      </c>
      <c r="B73" s="3">
        <v>38260</v>
      </c>
      <c r="C73" s="4">
        <v>57.201700000000002</v>
      </c>
      <c r="D73" s="4">
        <v>65.602699999999999</v>
      </c>
      <c r="E73" s="4" t="e">
        <v>#N/A</v>
      </c>
      <c r="F73" s="4" t="e">
        <v>#N/A</v>
      </c>
      <c r="G73" s="4">
        <v>54.54</v>
      </c>
      <c r="H73" s="4">
        <v>54.354100000000003</v>
      </c>
      <c r="I73" s="4" t="e">
        <v>#N/A</v>
      </c>
      <c r="J73" s="4">
        <v>57.474400000000003</v>
      </c>
      <c r="K73" s="9">
        <v>106.54895999999999</v>
      </c>
      <c r="L73" s="10">
        <v>4141</v>
      </c>
    </row>
    <row r="74" spans="1:12">
      <c r="A74" t="s">
        <v>848</v>
      </c>
      <c r="B74" s="3">
        <v>38291</v>
      </c>
      <c r="C74" s="4">
        <v>57.398099999999999</v>
      </c>
      <c r="D74" s="4">
        <v>69.356399999999994</v>
      </c>
      <c r="E74" s="4" t="e">
        <v>#N/A</v>
      </c>
      <c r="F74" s="4" t="e">
        <v>#N/A</v>
      </c>
      <c r="G74" s="4">
        <v>54.573500000000003</v>
      </c>
      <c r="H74" s="4">
        <v>53.626100000000001</v>
      </c>
      <c r="I74" s="4" t="e">
        <v>#N/A</v>
      </c>
      <c r="J74" s="4">
        <v>58.235999999999997</v>
      </c>
      <c r="K74" s="9">
        <v>106.16631</v>
      </c>
      <c r="L74" s="10">
        <v>4539</v>
      </c>
    </row>
    <row r="75" spans="1:12">
      <c r="A75" t="s">
        <v>849</v>
      </c>
      <c r="B75" s="3">
        <v>38321</v>
      </c>
      <c r="C75" s="4">
        <v>56.637</v>
      </c>
      <c r="D75" s="4">
        <v>67.041700000000006</v>
      </c>
      <c r="E75" s="4" t="e">
        <v>#N/A</v>
      </c>
      <c r="F75" s="4" t="e">
        <v>#N/A</v>
      </c>
      <c r="G75" s="4">
        <v>54.190600000000003</v>
      </c>
      <c r="H75" s="4">
        <v>52.976900000000001</v>
      </c>
      <c r="I75" s="4" t="e">
        <v>#N/A</v>
      </c>
      <c r="J75" s="4">
        <v>59.106900000000003</v>
      </c>
      <c r="K75" s="9">
        <v>104.8777</v>
      </c>
      <c r="L75" s="10">
        <v>5309</v>
      </c>
    </row>
    <row r="76" spans="1:12">
      <c r="A76" t="s">
        <v>850</v>
      </c>
      <c r="B76" s="3">
        <v>38352</v>
      </c>
      <c r="C76" s="4">
        <v>58.363900000000001</v>
      </c>
      <c r="D76" s="4">
        <v>65.609899999999996</v>
      </c>
      <c r="E76" s="4" t="e">
        <v>#N/A</v>
      </c>
      <c r="F76" s="4" t="e">
        <v>#N/A</v>
      </c>
      <c r="G76" s="4">
        <v>53.579300000000003</v>
      </c>
      <c r="H76" s="4">
        <v>53.354999999999997</v>
      </c>
      <c r="I76" s="4" t="e">
        <v>#N/A</v>
      </c>
      <c r="J76" s="4">
        <v>60.305500000000002</v>
      </c>
      <c r="K76" s="9">
        <v>103.0774</v>
      </c>
      <c r="L76" s="10">
        <v>5519</v>
      </c>
    </row>
    <row r="77" spans="1:12">
      <c r="A77" t="s">
        <v>851</v>
      </c>
      <c r="B77" s="3">
        <v>38383</v>
      </c>
      <c r="C77" s="4">
        <v>58.572499999999998</v>
      </c>
      <c r="D77" s="4">
        <v>64.247</v>
      </c>
      <c r="E77" s="4" t="e">
        <v>#N/A</v>
      </c>
      <c r="F77" s="4" t="e">
        <v>#N/A</v>
      </c>
      <c r="G77" s="4">
        <v>54.872999999999998</v>
      </c>
      <c r="H77" s="4">
        <v>53.3401</v>
      </c>
      <c r="I77" s="4" t="e">
        <v>#N/A</v>
      </c>
      <c r="J77" s="4">
        <v>59.092599999999997</v>
      </c>
      <c r="K77" s="9">
        <v>103.63824</v>
      </c>
      <c r="L77" s="10">
        <v>4502</v>
      </c>
    </row>
    <row r="78" spans="1:12">
      <c r="A78" t="s">
        <v>852</v>
      </c>
      <c r="B78" s="3">
        <v>38411</v>
      </c>
      <c r="C78" s="4">
        <v>58.837899999999998</v>
      </c>
      <c r="D78" s="4">
        <v>63.870600000000003</v>
      </c>
      <c r="E78" s="4" t="e">
        <v>#N/A</v>
      </c>
      <c r="F78" s="4" t="e">
        <v>#N/A</v>
      </c>
      <c r="G78" s="4">
        <v>57.141800000000003</v>
      </c>
      <c r="H78" s="4">
        <v>53.167400000000001</v>
      </c>
      <c r="I78" s="4" t="e">
        <v>#N/A</v>
      </c>
      <c r="J78" s="4">
        <v>58.6751</v>
      </c>
      <c r="K78" s="9">
        <v>103.90049</v>
      </c>
      <c r="L78" s="10">
        <v>4532</v>
      </c>
    </row>
    <row r="79" spans="1:12">
      <c r="A79" t="s">
        <v>853</v>
      </c>
      <c r="B79" s="3">
        <v>38442</v>
      </c>
      <c r="C79" s="4">
        <v>57.655900000000003</v>
      </c>
      <c r="D79" s="4">
        <v>62.497599999999998</v>
      </c>
      <c r="E79" s="4" t="e">
        <v>#N/A</v>
      </c>
      <c r="F79" s="4" t="e">
        <v>#N/A</v>
      </c>
      <c r="G79" s="4">
        <v>55.992699999999999</v>
      </c>
      <c r="H79" s="4">
        <v>53.370399999999997</v>
      </c>
      <c r="I79" s="4" t="e">
        <v>#N/A</v>
      </c>
      <c r="J79" s="4">
        <v>58.365400000000001</v>
      </c>
      <c r="K79" s="9">
        <v>103.84204</v>
      </c>
      <c r="L79" s="10">
        <v>4678</v>
      </c>
    </row>
    <row r="80" spans="1:12">
      <c r="A80" t="s">
        <v>854</v>
      </c>
      <c r="B80" s="3">
        <v>38472</v>
      </c>
      <c r="C80" s="4">
        <v>55.893500000000003</v>
      </c>
      <c r="D80" s="4">
        <v>60.696599999999997</v>
      </c>
      <c r="E80" s="4" t="e">
        <v>#N/A</v>
      </c>
      <c r="F80" s="4" t="e">
        <v>#N/A</v>
      </c>
      <c r="G80" s="4">
        <v>54.148400000000002</v>
      </c>
      <c r="H80" s="4">
        <v>51.906199999999998</v>
      </c>
      <c r="I80" s="4" t="e">
        <v>#N/A</v>
      </c>
      <c r="J80" s="4">
        <v>56.568300000000001</v>
      </c>
      <c r="K80" s="9">
        <v>104.70048</v>
      </c>
      <c r="L80" s="10">
        <v>4532</v>
      </c>
    </row>
    <row r="81" spans="1:12">
      <c r="A81" t="s">
        <v>855</v>
      </c>
      <c r="B81" s="3">
        <v>38503</v>
      </c>
      <c r="C81" s="4">
        <v>56.012599999999999</v>
      </c>
      <c r="D81" s="4">
        <v>56.062199999999997</v>
      </c>
      <c r="E81" s="4" t="e">
        <v>#N/A</v>
      </c>
      <c r="F81" s="4" t="e">
        <v>#N/A</v>
      </c>
      <c r="G81" s="4">
        <v>53.049900000000001</v>
      </c>
      <c r="H81" s="4">
        <v>51.395200000000003</v>
      </c>
      <c r="I81" s="4" t="e">
        <v>#N/A</v>
      </c>
      <c r="J81" s="4">
        <v>55.968000000000004</v>
      </c>
      <c r="K81" s="9">
        <v>104.99907</v>
      </c>
      <c r="L81" s="10">
        <v>3667</v>
      </c>
    </row>
    <row r="82" spans="1:12">
      <c r="A82" t="s">
        <v>856</v>
      </c>
      <c r="B82" s="3">
        <v>38533</v>
      </c>
      <c r="C82" s="4">
        <v>56.794800000000002</v>
      </c>
      <c r="D82" s="4">
        <v>55.474499999999999</v>
      </c>
      <c r="E82" s="4" t="e">
        <v>#N/A</v>
      </c>
      <c r="F82" s="4" t="e">
        <v>#N/A</v>
      </c>
      <c r="G82" s="4">
        <v>54.9758</v>
      </c>
      <c r="H82" s="4">
        <v>52.188699999999997</v>
      </c>
      <c r="I82" s="4" t="e">
        <v>#N/A</v>
      </c>
      <c r="J82" s="4">
        <v>57.888100000000001</v>
      </c>
      <c r="K82" s="9">
        <v>106.18849</v>
      </c>
      <c r="L82" s="10">
        <v>2746</v>
      </c>
    </row>
    <row r="83" spans="1:12">
      <c r="A83" t="s">
        <v>857</v>
      </c>
      <c r="B83" s="3">
        <v>38564</v>
      </c>
      <c r="C83" s="4">
        <v>59.623800000000003</v>
      </c>
      <c r="D83" s="4">
        <v>59.529899999999998</v>
      </c>
      <c r="E83" s="4" t="e">
        <v>#N/A</v>
      </c>
      <c r="F83" s="4" t="e">
        <v>#N/A</v>
      </c>
      <c r="G83" s="4">
        <v>54.833399999999997</v>
      </c>
      <c r="H83" s="4">
        <v>52.614600000000003</v>
      </c>
      <c r="I83" s="4" t="e">
        <v>#N/A</v>
      </c>
      <c r="J83" s="4">
        <v>58.331299999999999</v>
      </c>
      <c r="K83" s="9">
        <v>107.33878</v>
      </c>
      <c r="L83" s="10">
        <v>2220</v>
      </c>
    </row>
    <row r="84" spans="1:12">
      <c r="A84" t="s">
        <v>858</v>
      </c>
      <c r="B84" s="3">
        <v>38595</v>
      </c>
      <c r="C84" s="4">
        <v>59.931399999999996</v>
      </c>
      <c r="D84" s="4">
        <v>61.508499999999998</v>
      </c>
      <c r="E84" s="4" t="e">
        <v>#N/A</v>
      </c>
      <c r="F84" s="4" t="e">
        <v>#N/A</v>
      </c>
      <c r="G84" s="4">
        <v>57.1614</v>
      </c>
      <c r="H84" s="4">
        <v>52.304900000000004</v>
      </c>
      <c r="I84" s="4" t="e">
        <v>#N/A</v>
      </c>
      <c r="J84" s="4">
        <v>60.354399999999998</v>
      </c>
      <c r="K84" s="9">
        <v>106.68134000000001</v>
      </c>
      <c r="L84" s="10">
        <v>2207</v>
      </c>
    </row>
    <row r="85" spans="1:12">
      <c r="A85" t="s">
        <v>859</v>
      </c>
      <c r="B85" s="3">
        <v>38625</v>
      </c>
      <c r="C85" s="4">
        <v>56.322400000000002</v>
      </c>
      <c r="D85" s="4">
        <v>71.510900000000007</v>
      </c>
      <c r="E85" s="4" t="e">
        <v>#N/A</v>
      </c>
      <c r="F85" s="4" t="e">
        <v>#N/A</v>
      </c>
      <c r="G85" s="4">
        <v>55.145400000000002</v>
      </c>
      <c r="H85" s="4">
        <v>54.4253</v>
      </c>
      <c r="I85" s="4" t="e">
        <v>#N/A</v>
      </c>
      <c r="J85" s="4">
        <v>54.813400000000001</v>
      </c>
      <c r="K85" s="9">
        <v>108.82196999999999</v>
      </c>
      <c r="L85" s="10">
        <v>2804</v>
      </c>
    </row>
    <row r="86" spans="1:12">
      <c r="A86" t="s">
        <v>860</v>
      </c>
      <c r="B86" s="3">
        <v>38656</v>
      </c>
      <c r="C86" s="4">
        <v>57.105699999999999</v>
      </c>
      <c r="D86" s="4">
        <v>69.954700000000003</v>
      </c>
      <c r="E86" s="4" t="e">
        <v>#N/A</v>
      </c>
      <c r="F86" s="4" t="e">
        <v>#N/A</v>
      </c>
      <c r="G86" s="4">
        <v>54.780999999999999</v>
      </c>
      <c r="H86" s="4">
        <v>54.6586</v>
      </c>
      <c r="I86" s="4" t="e">
        <v>#N/A</v>
      </c>
      <c r="J86" s="4">
        <v>57.512099999999997</v>
      </c>
      <c r="K86" s="9">
        <v>112.26128</v>
      </c>
      <c r="L86" s="10">
        <v>3161</v>
      </c>
    </row>
    <row r="87" spans="1:12">
      <c r="A87" t="s">
        <v>861</v>
      </c>
      <c r="B87" s="3">
        <v>38686</v>
      </c>
      <c r="C87" s="4">
        <v>58.044499999999999</v>
      </c>
      <c r="D87" s="4">
        <v>65.015600000000006</v>
      </c>
      <c r="E87" s="4" t="e">
        <v>#N/A</v>
      </c>
      <c r="F87" s="4" t="e">
        <v>#N/A</v>
      </c>
      <c r="G87" s="4">
        <v>55.958399999999997</v>
      </c>
      <c r="H87" s="4">
        <v>54.629199999999997</v>
      </c>
      <c r="I87" s="4" t="e">
        <v>#N/A</v>
      </c>
      <c r="J87" s="4">
        <v>57.778500000000001</v>
      </c>
      <c r="K87" s="9">
        <v>111.85851</v>
      </c>
      <c r="L87" s="10">
        <v>2916</v>
      </c>
    </row>
    <row r="88" spans="1:12">
      <c r="A88" t="s">
        <v>862</v>
      </c>
      <c r="B88" s="3">
        <v>38717</v>
      </c>
      <c r="C88" s="4">
        <v>60.001199999999997</v>
      </c>
      <c r="D88" s="4">
        <v>62.872700000000002</v>
      </c>
      <c r="E88" s="4" t="e">
        <v>#N/A</v>
      </c>
      <c r="F88" s="4" t="e">
        <v>#N/A</v>
      </c>
      <c r="G88" s="4">
        <v>55.804000000000002</v>
      </c>
      <c r="H88" s="4">
        <v>54.621099999999998</v>
      </c>
      <c r="I88" s="4" t="e">
        <v>#N/A</v>
      </c>
      <c r="J88" s="4">
        <v>58.873699999999999</v>
      </c>
      <c r="K88" s="9">
        <v>110.58374999999999</v>
      </c>
      <c r="L88" s="10">
        <v>2600</v>
      </c>
    </row>
    <row r="89" spans="1:12">
      <c r="A89" t="s">
        <v>863</v>
      </c>
      <c r="B89" s="3">
        <v>38748</v>
      </c>
      <c r="C89" s="4">
        <v>57.405000000000001</v>
      </c>
      <c r="D89" s="4">
        <v>62.7712</v>
      </c>
      <c r="E89" s="4" t="e">
        <v>#N/A</v>
      </c>
      <c r="F89" s="4" t="e">
        <v>#N/A</v>
      </c>
      <c r="G89" s="4">
        <v>54.592500000000001</v>
      </c>
      <c r="H89" s="4">
        <v>54.451000000000001</v>
      </c>
      <c r="I89" s="4" t="e">
        <v>#N/A</v>
      </c>
      <c r="J89" s="4">
        <v>57.941000000000003</v>
      </c>
      <c r="K89" s="9">
        <v>109.20908</v>
      </c>
      <c r="L89" s="10">
        <v>2262</v>
      </c>
    </row>
    <row r="90" spans="1:12">
      <c r="A90" t="s">
        <v>864</v>
      </c>
      <c r="B90" s="3">
        <v>38776</v>
      </c>
      <c r="C90" s="4">
        <v>58.016100000000002</v>
      </c>
      <c r="D90" s="4">
        <v>62.207000000000001</v>
      </c>
      <c r="E90" s="4" t="e">
        <v>#N/A</v>
      </c>
      <c r="F90" s="4" t="e">
        <v>#N/A</v>
      </c>
      <c r="G90" s="4">
        <v>56.2883</v>
      </c>
      <c r="H90" s="4">
        <v>55.058399999999999</v>
      </c>
      <c r="I90" s="4" t="e">
        <v>#N/A</v>
      </c>
      <c r="J90" s="4">
        <v>60.1402</v>
      </c>
      <c r="K90" s="9">
        <v>107.60973</v>
      </c>
      <c r="L90" s="10">
        <v>2444</v>
      </c>
    </row>
    <row r="91" spans="1:12">
      <c r="A91" t="s">
        <v>865</v>
      </c>
      <c r="B91" s="3">
        <v>38807</v>
      </c>
      <c r="C91" s="4">
        <v>58.010399999999997</v>
      </c>
      <c r="D91" s="4">
        <v>59.131</v>
      </c>
      <c r="E91" s="4" t="e">
        <v>#N/A</v>
      </c>
      <c r="F91" s="4" t="e">
        <v>#N/A</v>
      </c>
      <c r="G91" s="4">
        <v>55.280900000000003</v>
      </c>
      <c r="H91" s="4">
        <v>54.301499999999997</v>
      </c>
      <c r="I91" s="4" t="e">
        <v>#N/A</v>
      </c>
      <c r="J91" s="4">
        <v>59.124400000000001</v>
      </c>
      <c r="K91" s="9">
        <v>107.45659999999999</v>
      </c>
      <c r="L91" s="10">
        <v>2599</v>
      </c>
    </row>
    <row r="92" spans="1:12">
      <c r="A92" t="s">
        <v>866</v>
      </c>
      <c r="B92" s="3">
        <v>38837</v>
      </c>
      <c r="C92" s="4">
        <v>59.488799999999998</v>
      </c>
      <c r="D92" s="4">
        <v>63.932899999999997</v>
      </c>
      <c r="E92" s="4" t="e">
        <v>#N/A</v>
      </c>
      <c r="F92" s="4" t="e">
        <v>#N/A</v>
      </c>
      <c r="G92" s="4">
        <v>56.216999999999999</v>
      </c>
      <c r="H92" s="4">
        <v>55.127499999999998</v>
      </c>
      <c r="I92" s="4" t="e">
        <v>#N/A</v>
      </c>
      <c r="J92" s="4">
        <v>60.131700000000002</v>
      </c>
      <c r="K92" s="9">
        <v>107.00127000000001</v>
      </c>
      <c r="L92" s="10">
        <v>2465</v>
      </c>
    </row>
    <row r="93" spans="1:12">
      <c r="A93" t="s">
        <v>867</v>
      </c>
      <c r="B93" s="3">
        <v>38868</v>
      </c>
      <c r="C93" s="4">
        <v>58.271700000000003</v>
      </c>
      <c r="D93" s="4">
        <v>66.438000000000002</v>
      </c>
      <c r="E93" s="4" t="e">
        <v>#N/A</v>
      </c>
      <c r="F93" s="4" t="e">
        <v>#N/A</v>
      </c>
      <c r="G93" s="4">
        <v>55.411499999999997</v>
      </c>
      <c r="H93" s="4">
        <v>54.5623</v>
      </c>
      <c r="I93" s="4" t="e">
        <v>#N/A</v>
      </c>
      <c r="J93" s="4">
        <v>58.555999999999997</v>
      </c>
      <c r="K93" s="9">
        <v>105.40491</v>
      </c>
      <c r="L93" s="10">
        <v>2442</v>
      </c>
    </row>
    <row r="94" spans="1:12">
      <c r="A94" t="s">
        <v>868</v>
      </c>
      <c r="B94" s="3">
        <v>38898</v>
      </c>
      <c r="C94" s="4">
        <v>57.615600000000001</v>
      </c>
      <c r="D94" s="4">
        <v>65.6798</v>
      </c>
      <c r="E94" s="4" t="e">
        <v>#N/A</v>
      </c>
      <c r="F94" s="4" t="e">
        <v>#N/A</v>
      </c>
      <c r="G94" s="4">
        <v>54.0717</v>
      </c>
      <c r="H94" s="4">
        <v>54.085700000000003</v>
      </c>
      <c r="I94" s="4" t="e">
        <v>#N/A</v>
      </c>
      <c r="J94" s="4">
        <v>57.770499999999998</v>
      </c>
      <c r="K94" s="9">
        <v>106.69431</v>
      </c>
      <c r="L94" s="10">
        <v>2718</v>
      </c>
    </row>
    <row r="95" spans="1:12">
      <c r="A95" t="s">
        <v>869</v>
      </c>
      <c r="B95" s="3">
        <v>38929</v>
      </c>
      <c r="C95" s="4">
        <v>57.651699999999998</v>
      </c>
      <c r="D95" s="4">
        <v>66.354900000000001</v>
      </c>
      <c r="E95" s="4" t="e">
        <v>#N/A</v>
      </c>
      <c r="F95" s="4" t="e">
        <v>#N/A</v>
      </c>
      <c r="G95" s="4">
        <v>54.584200000000003</v>
      </c>
      <c r="H95" s="4">
        <v>54.371899999999997</v>
      </c>
      <c r="I95" s="4" t="e">
        <v>#N/A</v>
      </c>
      <c r="J95" s="4">
        <v>56.784799999999997</v>
      </c>
      <c r="K95" s="9">
        <v>105.96725000000001</v>
      </c>
      <c r="L95" s="10">
        <v>3050</v>
      </c>
    </row>
    <row r="96" spans="1:12">
      <c r="A96" t="s">
        <v>870</v>
      </c>
      <c r="B96" s="3">
        <v>38960</v>
      </c>
      <c r="C96" s="4">
        <v>55.270099999999999</v>
      </c>
      <c r="D96" s="4">
        <v>66.085300000000004</v>
      </c>
      <c r="E96" s="4" t="e">
        <v>#N/A</v>
      </c>
      <c r="F96" s="4" t="e">
        <v>#N/A</v>
      </c>
      <c r="G96" s="4">
        <v>53.977800000000002</v>
      </c>
      <c r="H96" s="4">
        <v>54.136499999999998</v>
      </c>
      <c r="I96" s="4" t="e">
        <v>#N/A</v>
      </c>
      <c r="J96" s="4">
        <v>56.775500000000001</v>
      </c>
      <c r="K96" s="9">
        <v>106.00157</v>
      </c>
      <c r="L96" s="10">
        <v>3687</v>
      </c>
    </row>
    <row r="97" spans="1:12">
      <c r="A97" t="s">
        <v>871</v>
      </c>
      <c r="B97" s="3">
        <v>38990</v>
      </c>
      <c r="C97" s="4">
        <v>56.921900000000001</v>
      </c>
      <c r="D97" s="4">
        <v>60.032899999999998</v>
      </c>
      <c r="E97" s="4" t="e">
        <v>#N/A</v>
      </c>
      <c r="F97" s="4" t="e">
        <v>#N/A</v>
      </c>
      <c r="G97" s="4">
        <v>54.264000000000003</v>
      </c>
      <c r="H97" s="4">
        <v>54.1785</v>
      </c>
      <c r="I97" s="4" t="e">
        <v>#N/A</v>
      </c>
      <c r="J97" s="4">
        <v>55.558100000000003</v>
      </c>
      <c r="K97" s="9">
        <v>104.8729</v>
      </c>
      <c r="L97" s="10">
        <v>4039</v>
      </c>
    </row>
    <row r="98" spans="1:12">
      <c r="A98" t="s">
        <v>872</v>
      </c>
      <c r="B98" s="3">
        <v>39021</v>
      </c>
      <c r="C98" s="4">
        <v>56.423999999999999</v>
      </c>
      <c r="D98" s="4">
        <v>56.077500000000001</v>
      </c>
      <c r="E98" s="4" t="e">
        <v>#N/A</v>
      </c>
      <c r="F98" s="4" t="e">
        <v>#N/A</v>
      </c>
      <c r="G98" s="4">
        <v>54.265999999999998</v>
      </c>
      <c r="H98" s="4">
        <v>53.720199999999998</v>
      </c>
      <c r="I98" s="4" t="e">
        <v>#N/A</v>
      </c>
      <c r="J98" s="4">
        <v>57.181899999999999</v>
      </c>
      <c r="K98" s="9">
        <v>103.38598</v>
      </c>
      <c r="L98" s="10">
        <v>4028</v>
      </c>
    </row>
    <row r="99" spans="1:12">
      <c r="A99" t="s">
        <v>873</v>
      </c>
      <c r="B99" s="3">
        <v>39051</v>
      </c>
      <c r="C99" s="4">
        <v>56.9358</v>
      </c>
      <c r="D99" s="4">
        <v>56.641399999999997</v>
      </c>
      <c r="E99" s="4" t="e">
        <v>#N/A</v>
      </c>
      <c r="F99" s="4" t="e">
        <v>#N/A</v>
      </c>
      <c r="G99" s="4">
        <v>54.183500000000002</v>
      </c>
      <c r="H99" s="4">
        <v>53.106900000000003</v>
      </c>
      <c r="I99" s="4" t="e">
        <v>#N/A</v>
      </c>
      <c r="J99" s="4">
        <v>58.709200000000003</v>
      </c>
      <c r="K99" s="9">
        <v>104.26607</v>
      </c>
      <c r="L99" s="10">
        <v>4190</v>
      </c>
    </row>
    <row r="100" spans="1:12">
      <c r="A100" t="s">
        <v>874</v>
      </c>
      <c r="B100" s="3">
        <v>39082</v>
      </c>
      <c r="C100" s="4">
        <v>55.922400000000003</v>
      </c>
      <c r="D100" s="4">
        <v>57.667200000000001</v>
      </c>
      <c r="E100" s="4" t="e">
        <v>#N/A</v>
      </c>
      <c r="F100" s="4" t="e">
        <v>#N/A</v>
      </c>
      <c r="G100" s="4">
        <v>54.383000000000003</v>
      </c>
      <c r="H100" s="4">
        <v>53.331000000000003</v>
      </c>
      <c r="I100" s="4" t="e">
        <v>#N/A</v>
      </c>
      <c r="J100" s="4">
        <v>56.877299999999998</v>
      </c>
      <c r="K100" s="9">
        <v>103.74003999999999</v>
      </c>
      <c r="L100" s="10">
        <v>4336</v>
      </c>
    </row>
    <row r="101" spans="1:12">
      <c r="A101" t="s">
        <v>875</v>
      </c>
      <c r="B101" s="3">
        <v>39113</v>
      </c>
      <c r="C101" s="4">
        <v>56.165399999999998</v>
      </c>
      <c r="D101" s="4">
        <v>57.178899999999999</v>
      </c>
      <c r="E101" s="4" t="e">
        <v>#N/A</v>
      </c>
      <c r="F101" s="4" t="e">
        <v>#N/A</v>
      </c>
      <c r="G101" s="4">
        <v>55.315800000000003</v>
      </c>
      <c r="H101" s="4">
        <v>52.658499999999997</v>
      </c>
      <c r="I101" s="4" t="e">
        <v>#N/A</v>
      </c>
      <c r="J101" s="4">
        <v>58.1188</v>
      </c>
      <c r="K101" s="9">
        <v>103.47403</v>
      </c>
      <c r="L101" s="10">
        <v>4462</v>
      </c>
    </row>
    <row r="102" spans="1:12">
      <c r="A102" t="s">
        <v>876</v>
      </c>
      <c r="B102" s="3">
        <v>39141</v>
      </c>
      <c r="C102" s="4">
        <v>56.223599999999998</v>
      </c>
      <c r="D102" s="4">
        <v>56.434100000000001</v>
      </c>
      <c r="E102" s="4" t="e">
        <v>#N/A</v>
      </c>
      <c r="F102" s="4" t="e">
        <v>#N/A</v>
      </c>
      <c r="G102" s="4">
        <v>54.390300000000003</v>
      </c>
      <c r="H102" s="4">
        <v>53.294199999999996</v>
      </c>
      <c r="I102" s="4" t="e">
        <v>#N/A</v>
      </c>
      <c r="J102" s="4">
        <v>56.645800000000001</v>
      </c>
      <c r="K102" s="9">
        <v>104.72768000000001</v>
      </c>
      <c r="L102" s="10">
        <v>4398</v>
      </c>
    </row>
    <row r="103" spans="1:12">
      <c r="A103" t="s">
        <v>877</v>
      </c>
      <c r="B103" s="3">
        <v>39172</v>
      </c>
      <c r="C103" s="4">
        <v>54.829799999999999</v>
      </c>
      <c r="D103" s="4">
        <v>59.674100000000003</v>
      </c>
      <c r="E103" s="4" t="e">
        <v>#N/A</v>
      </c>
      <c r="F103" s="4" t="e">
        <v>#N/A</v>
      </c>
      <c r="G103" s="4">
        <v>53.894100000000002</v>
      </c>
      <c r="H103" s="4">
        <v>52.425800000000002</v>
      </c>
      <c r="I103" s="4" t="e">
        <v>#N/A</v>
      </c>
      <c r="J103" s="4">
        <v>54.803400000000003</v>
      </c>
      <c r="K103" s="9">
        <v>104.97774</v>
      </c>
      <c r="L103" s="10">
        <v>5123</v>
      </c>
    </row>
    <row r="104" spans="1:12">
      <c r="A104" t="s">
        <v>878</v>
      </c>
      <c r="B104" s="3">
        <v>39202</v>
      </c>
      <c r="C104" s="4">
        <v>56.213799999999999</v>
      </c>
      <c r="D104" s="4">
        <v>60.459899999999998</v>
      </c>
      <c r="E104" s="4" t="e">
        <v>#N/A</v>
      </c>
      <c r="F104" s="4" t="e">
        <v>#N/A</v>
      </c>
      <c r="G104" s="4">
        <v>53.610900000000001</v>
      </c>
      <c r="H104" s="4">
        <v>53.520299999999999</v>
      </c>
      <c r="I104" s="4" t="e">
        <v>#N/A</v>
      </c>
      <c r="J104" s="4">
        <v>56.607199999999999</v>
      </c>
      <c r="K104" s="9">
        <v>103.9773</v>
      </c>
      <c r="L104" s="10">
        <v>5754</v>
      </c>
    </row>
    <row r="105" spans="1:12">
      <c r="A105" t="s">
        <v>764</v>
      </c>
      <c r="B105" s="3">
        <v>39233</v>
      </c>
      <c r="C105" s="4">
        <v>57.25</v>
      </c>
      <c r="D105" s="4">
        <v>60.989699999999999</v>
      </c>
      <c r="E105" s="4" t="e">
        <v>#N/A</v>
      </c>
      <c r="F105" s="4" t="e">
        <v>#N/A</v>
      </c>
      <c r="G105" s="4">
        <v>54.502000000000002</v>
      </c>
      <c r="H105" s="4">
        <v>53.325800000000001</v>
      </c>
      <c r="I105" s="4">
        <v>49.158999999999999</v>
      </c>
      <c r="J105" s="4">
        <v>57.7971</v>
      </c>
      <c r="K105" s="9">
        <v>104.00438</v>
      </c>
      <c r="L105" s="10">
        <v>6402</v>
      </c>
    </row>
    <row r="106" spans="1:12">
      <c r="A106" t="s">
        <v>879</v>
      </c>
      <c r="B106" s="3">
        <v>39263</v>
      </c>
      <c r="C106" s="4">
        <v>57.8048</v>
      </c>
      <c r="D106" s="4">
        <v>61.021799999999999</v>
      </c>
      <c r="E106" s="4" t="e">
        <v>#N/A</v>
      </c>
      <c r="F106" s="4" t="e">
        <v>#N/A</v>
      </c>
      <c r="G106" s="4">
        <v>55.1342</v>
      </c>
      <c r="H106" s="4">
        <v>53.708199999999998</v>
      </c>
      <c r="I106" s="4">
        <v>49.289099999999998</v>
      </c>
      <c r="J106" s="4">
        <v>59.122900000000001</v>
      </c>
      <c r="K106" s="9">
        <v>104.24436</v>
      </c>
      <c r="L106" s="10">
        <v>5772</v>
      </c>
    </row>
    <row r="107" spans="1:12">
      <c r="A107" t="s">
        <v>880</v>
      </c>
      <c r="B107" s="3">
        <v>39294</v>
      </c>
      <c r="C107" s="4">
        <v>56.453200000000002</v>
      </c>
      <c r="D107" s="4">
        <v>59.846499999999999</v>
      </c>
      <c r="E107" s="4" t="e">
        <v>#N/A</v>
      </c>
      <c r="F107" s="4" t="e">
        <v>#N/A</v>
      </c>
      <c r="G107" s="4">
        <v>54.000700000000002</v>
      </c>
      <c r="H107" s="4">
        <v>52.924799999999998</v>
      </c>
      <c r="I107" s="4">
        <v>49.281100000000002</v>
      </c>
      <c r="J107" s="4">
        <v>57.350999999999999</v>
      </c>
      <c r="K107" s="9">
        <v>103.2842</v>
      </c>
      <c r="L107" s="10">
        <v>6572</v>
      </c>
    </row>
    <row r="108" spans="1:12">
      <c r="A108" t="s">
        <v>881</v>
      </c>
      <c r="B108" s="3">
        <v>39325</v>
      </c>
      <c r="C108" s="4">
        <v>56.924999999999997</v>
      </c>
      <c r="D108" s="4">
        <v>59.626199999999997</v>
      </c>
      <c r="E108" s="4" t="e">
        <v>#N/A</v>
      </c>
      <c r="F108" s="4" t="e">
        <v>#N/A</v>
      </c>
      <c r="G108" s="4">
        <v>52.851100000000002</v>
      </c>
      <c r="H108" s="4">
        <v>52.603900000000003</v>
      </c>
      <c r="I108" s="4">
        <v>47.933500000000002</v>
      </c>
      <c r="J108" s="4">
        <v>56.527200000000001</v>
      </c>
      <c r="K108" s="9">
        <v>102.35413</v>
      </c>
      <c r="L108" s="10">
        <v>7195</v>
      </c>
    </row>
    <row r="109" spans="1:12">
      <c r="A109" t="s">
        <v>882</v>
      </c>
      <c r="B109" s="3">
        <v>39355</v>
      </c>
      <c r="C109" s="4">
        <v>53.939900000000002</v>
      </c>
      <c r="D109" s="4">
        <v>61.680799999999998</v>
      </c>
      <c r="E109" s="4" t="e">
        <v>#N/A</v>
      </c>
      <c r="F109" s="4" t="e">
        <v>#N/A</v>
      </c>
      <c r="G109" s="4">
        <v>54.261899999999997</v>
      </c>
      <c r="H109" s="4">
        <v>52.684100000000001</v>
      </c>
      <c r="I109" s="4">
        <v>48.400399999999998</v>
      </c>
      <c r="J109" s="4">
        <v>53.949599999999997</v>
      </c>
      <c r="K109" s="9">
        <v>101.04508</v>
      </c>
      <c r="L109" s="10">
        <v>8574</v>
      </c>
    </row>
    <row r="110" spans="1:12">
      <c r="A110" t="s">
        <v>883</v>
      </c>
      <c r="B110" s="3">
        <v>39386</v>
      </c>
      <c r="C110" s="4">
        <v>55.133000000000003</v>
      </c>
      <c r="D110" s="4">
        <v>62.557000000000002</v>
      </c>
      <c r="E110" s="4" t="e">
        <v>#N/A</v>
      </c>
      <c r="F110" s="4" t="e">
        <v>#N/A</v>
      </c>
      <c r="G110" s="4">
        <v>54.343200000000003</v>
      </c>
      <c r="H110" s="4">
        <v>52.340200000000003</v>
      </c>
      <c r="I110" s="4">
        <v>48.161499999999997</v>
      </c>
      <c r="J110" s="4">
        <v>54.342300000000002</v>
      </c>
      <c r="K110" s="9">
        <v>99.582790000000003</v>
      </c>
      <c r="L110" s="10">
        <v>10426</v>
      </c>
    </row>
    <row r="111" spans="1:12">
      <c r="A111" t="s">
        <v>884</v>
      </c>
      <c r="B111" s="3">
        <v>39416</v>
      </c>
      <c r="C111" s="4">
        <v>53.542499999999997</v>
      </c>
      <c r="D111" s="4">
        <v>66.3279</v>
      </c>
      <c r="E111" s="4" t="e">
        <v>#N/A</v>
      </c>
      <c r="F111" s="4" t="e">
        <v>#N/A</v>
      </c>
      <c r="G111" s="4">
        <v>53.545999999999999</v>
      </c>
      <c r="H111" s="4">
        <v>52.352899999999998</v>
      </c>
      <c r="I111" s="4">
        <v>48.488999999999997</v>
      </c>
      <c r="J111" s="4">
        <v>54.428100000000001</v>
      </c>
      <c r="K111" s="9">
        <v>99.743589999999998</v>
      </c>
      <c r="L111" s="10">
        <v>10543</v>
      </c>
    </row>
    <row r="112" spans="1:12">
      <c r="A112" t="s">
        <v>885</v>
      </c>
      <c r="B112" s="3">
        <v>39447</v>
      </c>
      <c r="C112" s="4">
        <v>52.851700000000001</v>
      </c>
      <c r="D112" s="4">
        <v>66.031199999999998</v>
      </c>
      <c r="E112" s="4" t="e">
        <v>#N/A</v>
      </c>
      <c r="F112" s="4" t="e">
        <v>#N/A</v>
      </c>
      <c r="G112" s="4">
        <v>53.4801</v>
      </c>
      <c r="H112" s="4">
        <v>51.967100000000002</v>
      </c>
      <c r="I112" s="4">
        <v>48.086100000000002</v>
      </c>
      <c r="J112" s="4">
        <v>53.190300000000001</v>
      </c>
      <c r="K112" s="9">
        <v>99.654210000000006</v>
      </c>
      <c r="L112" s="10">
        <v>9854</v>
      </c>
    </row>
    <row r="113" spans="1:12">
      <c r="A113" t="s">
        <v>886</v>
      </c>
      <c r="B113" s="3">
        <v>39478</v>
      </c>
      <c r="C113" s="4">
        <v>49.251300000000001</v>
      </c>
      <c r="D113" s="4">
        <v>65.897499999999994</v>
      </c>
      <c r="E113" s="4" t="e">
        <v>#N/A</v>
      </c>
      <c r="F113" s="4" t="e">
        <v>#N/A</v>
      </c>
      <c r="G113" s="4">
        <v>50.909100000000002</v>
      </c>
      <c r="H113" s="4">
        <v>52.1113</v>
      </c>
      <c r="I113" s="4">
        <v>47.884999999999998</v>
      </c>
      <c r="J113" s="4">
        <v>47.07</v>
      </c>
      <c r="K113" s="9">
        <v>99.137500000000003</v>
      </c>
      <c r="L113" s="10">
        <v>7170</v>
      </c>
    </row>
    <row r="114" spans="1:12">
      <c r="A114" t="s">
        <v>887</v>
      </c>
      <c r="B114" s="3">
        <v>39507</v>
      </c>
      <c r="C114" s="4">
        <v>51.509599999999999</v>
      </c>
      <c r="D114" s="4">
        <v>64.615600000000001</v>
      </c>
      <c r="E114" s="4" t="e">
        <v>#N/A</v>
      </c>
      <c r="F114" s="4" t="e">
        <v>#N/A</v>
      </c>
      <c r="G114" s="4">
        <v>51.020499999999998</v>
      </c>
      <c r="H114" s="4">
        <v>50.7361</v>
      </c>
      <c r="I114" s="4">
        <v>49.334099999999999</v>
      </c>
      <c r="J114" s="4">
        <v>51.912999999999997</v>
      </c>
      <c r="K114" s="9">
        <v>98.845200000000006</v>
      </c>
      <c r="L114" s="10">
        <v>6874</v>
      </c>
    </row>
    <row r="115" spans="1:12">
      <c r="A115" t="s">
        <v>888</v>
      </c>
      <c r="B115" s="3">
        <v>39538</v>
      </c>
      <c r="C115" s="4">
        <v>50.926400000000001</v>
      </c>
      <c r="D115" s="4">
        <v>66.756299999999996</v>
      </c>
      <c r="E115" s="4" t="e">
        <v>#N/A</v>
      </c>
      <c r="F115" s="4" t="e">
        <v>#N/A</v>
      </c>
      <c r="G115" s="4">
        <v>51.279000000000003</v>
      </c>
      <c r="H115" s="4">
        <v>50.621200000000002</v>
      </c>
      <c r="I115" s="4">
        <v>49.276400000000002</v>
      </c>
      <c r="J115" s="4">
        <v>51.481200000000001</v>
      </c>
      <c r="K115" s="9">
        <v>98.209339999999997</v>
      </c>
      <c r="L115" s="10">
        <v>8063</v>
      </c>
    </row>
    <row r="116" spans="1:12">
      <c r="A116" t="s">
        <v>889</v>
      </c>
      <c r="B116" s="3">
        <v>39568</v>
      </c>
      <c r="C116" s="4">
        <v>50.9574</v>
      </c>
      <c r="D116" s="4">
        <v>67.160700000000006</v>
      </c>
      <c r="E116" s="4" t="e">
        <v>#N/A</v>
      </c>
      <c r="F116" s="4" t="e">
        <v>#N/A</v>
      </c>
      <c r="G116" s="4">
        <v>52.232100000000003</v>
      </c>
      <c r="H116" s="4">
        <v>50.121000000000002</v>
      </c>
      <c r="I116" s="4">
        <v>48.128</v>
      </c>
      <c r="J116" s="4">
        <v>51.211399999999998</v>
      </c>
      <c r="K116" s="9">
        <v>97.912700000000001</v>
      </c>
      <c r="L116" s="10">
        <v>8287</v>
      </c>
    </row>
    <row r="117" spans="1:12">
      <c r="A117" t="s">
        <v>890</v>
      </c>
      <c r="B117" s="3">
        <v>39599</v>
      </c>
      <c r="C117" s="4">
        <v>51.768700000000003</v>
      </c>
      <c r="D117" s="4">
        <v>68.770099999999999</v>
      </c>
      <c r="E117" s="4" t="e">
        <v>#N/A</v>
      </c>
      <c r="F117" s="4" t="e">
        <v>#N/A</v>
      </c>
      <c r="G117" s="4">
        <v>50.6937</v>
      </c>
      <c r="H117" s="4">
        <v>49.976999999999997</v>
      </c>
      <c r="I117" s="4">
        <v>48.384399999999999</v>
      </c>
      <c r="J117" s="4">
        <v>51.762599999999999</v>
      </c>
      <c r="K117" s="9">
        <v>100.09099999999999</v>
      </c>
      <c r="L117" s="10">
        <v>10844</v>
      </c>
    </row>
    <row r="118" spans="1:12">
      <c r="A118" t="s">
        <v>891</v>
      </c>
      <c r="B118" s="3">
        <v>39629</v>
      </c>
      <c r="C118" s="4">
        <v>49.1768</v>
      </c>
      <c r="D118" s="4">
        <v>71.985699999999994</v>
      </c>
      <c r="E118" s="4" t="e">
        <v>#N/A</v>
      </c>
      <c r="F118" s="4" t="e">
        <v>#N/A</v>
      </c>
      <c r="G118" s="4">
        <v>49.213200000000001</v>
      </c>
      <c r="H118" s="4">
        <v>49.219700000000003</v>
      </c>
      <c r="I118" s="4">
        <v>47.9955</v>
      </c>
      <c r="J118" s="4">
        <v>49.638100000000001</v>
      </c>
      <c r="K118" s="9">
        <v>101.09206</v>
      </c>
      <c r="L118" s="10">
        <v>10242</v>
      </c>
    </row>
    <row r="119" spans="1:12">
      <c r="A119" t="s">
        <v>892</v>
      </c>
      <c r="B119" s="3">
        <v>39660</v>
      </c>
      <c r="C119" s="4">
        <v>48.3611</v>
      </c>
      <c r="D119" s="4">
        <v>71.462100000000007</v>
      </c>
      <c r="E119" s="4" t="e">
        <v>#N/A</v>
      </c>
      <c r="F119" s="4" t="e">
        <v>#N/A</v>
      </c>
      <c r="G119" s="4">
        <v>50.066699999999997</v>
      </c>
      <c r="H119" s="4">
        <v>49.071599999999997</v>
      </c>
      <c r="I119" s="4">
        <v>48.357900000000001</v>
      </c>
      <c r="J119" s="4">
        <v>49.075800000000001</v>
      </c>
      <c r="K119" s="9">
        <v>101.29934</v>
      </c>
      <c r="L119" s="10">
        <v>8936</v>
      </c>
    </row>
    <row r="120" spans="1:12">
      <c r="A120" t="s">
        <v>893</v>
      </c>
      <c r="B120" s="3">
        <v>39691</v>
      </c>
      <c r="C120" s="4">
        <v>49.003799999999998</v>
      </c>
      <c r="D120" s="4">
        <v>67.569199999999995</v>
      </c>
      <c r="E120" s="4" t="e">
        <v>#N/A</v>
      </c>
      <c r="F120" s="4" t="e">
        <v>#N/A</v>
      </c>
      <c r="G120" s="4">
        <v>49.183799999999998</v>
      </c>
      <c r="H120" s="4">
        <v>48.035800000000002</v>
      </c>
      <c r="I120" s="4">
        <v>48.485300000000002</v>
      </c>
      <c r="J120" s="4">
        <v>49.099800000000002</v>
      </c>
      <c r="K120" s="9">
        <v>100.98174</v>
      </c>
      <c r="L120" s="10">
        <v>7403</v>
      </c>
    </row>
    <row r="121" spans="1:12">
      <c r="A121" t="s">
        <v>894</v>
      </c>
      <c r="B121" s="3">
        <v>39721</v>
      </c>
      <c r="C121" s="4">
        <v>47.182299999999998</v>
      </c>
      <c r="D121" s="4">
        <v>62.583799999999997</v>
      </c>
      <c r="E121" s="4" t="e">
        <v>#N/A</v>
      </c>
      <c r="F121" s="4" t="e">
        <v>#N/A</v>
      </c>
      <c r="G121" s="4">
        <v>48.085900000000002</v>
      </c>
      <c r="H121" s="4">
        <v>45.090400000000002</v>
      </c>
      <c r="I121" s="4">
        <v>48.416499999999999</v>
      </c>
      <c r="J121" s="4">
        <v>48.2654</v>
      </c>
      <c r="K121" s="9">
        <v>102.6572</v>
      </c>
      <c r="L121" s="10">
        <v>4975</v>
      </c>
    </row>
    <row r="122" spans="1:12">
      <c r="A122" t="s">
        <v>895</v>
      </c>
      <c r="B122" s="3">
        <v>39752</v>
      </c>
      <c r="C122" s="4">
        <v>42.259399999999999</v>
      </c>
      <c r="D122" s="4">
        <v>53.386099999999999</v>
      </c>
      <c r="E122" s="4" t="e">
        <v>#N/A</v>
      </c>
      <c r="F122" s="4" t="e">
        <v>#N/A</v>
      </c>
      <c r="G122" s="4">
        <v>46.3964</v>
      </c>
      <c r="H122" s="4">
        <v>41.066600000000001</v>
      </c>
      <c r="I122" s="4">
        <v>49.233800000000002</v>
      </c>
      <c r="J122" s="4">
        <v>43.691099999999999</v>
      </c>
      <c r="K122" s="9">
        <v>104.64546</v>
      </c>
      <c r="L122" s="10">
        <v>1808</v>
      </c>
    </row>
    <row r="123" spans="1:12">
      <c r="A123" t="s">
        <v>896</v>
      </c>
      <c r="B123" s="3">
        <v>39782</v>
      </c>
      <c r="C123" s="4">
        <v>36.398400000000002</v>
      </c>
      <c r="D123" s="4">
        <v>42.786200000000001</v>
      </c>
      <c r="E123" s="4" t="e">
        <v>#N/A</v>
      </c>
      <c r="F123" s="4" t="e">
        <v>#N/A</v>
      </c>
      <c r="G123" s="4">
        <v>41.451599999999999</v>
      </c>
      <c r="H123" s="4">
        <v>36.841099999999997</v>
      </c>
      <c r="I123" s="4">
        <v>47.883499999999998</v>
      </c>
      <c r="J123" s="4">
        <v>37.786999999999999</v>
      </c>
      <c r="K123" s="9">
        <v>104.30476</v>
      </c>
      <c r="L123" s="10">
        <v>819</v>
      </c>
    </row>
    <row r="124" spans="1:12">
      <c r="A124" t="s">
        <v>897</v>
      </c>
      <c r="B124" s="3">
        <v>39813</v>
      </c>
      <c r="C124" s="4">
        <v>36.593899999999998</v>
      </c>
      <c r="D124" s="4">
        <v>40.371000000000002</v>
      </c>
      <c r="E124" s="4" t="e">
        <v>#N/A</v>
      </c>
      <c r="F124" s="4" t="e">
        <v>#N/A</v>
      </c>
      <c r="G124" s="4">
        <v>41.687600000000003</v>
      </c>
      <c r="H124" s="4">
        <v>33.8279</v>
      </c>
      <c r="I124" s="4">
        <v>48.249000000000002</v>
      </c>
      <c r="J124" s="4">
        <v>39.718299999999999</v>
      </c>
      <c r="K124" s="9">
        <v>101.38162</v>
      </c>
      <c r="L124" s="10">
        <v>743</v>
      </c>
    </row>
    <row r="125" spans="1:12">
      <c r="A125" t="s">
        <v>898</v>
      </c>
      <c r="B125" s="3">
        <v>39844</v>
      </c>
      <c r="C125" s="4">
        <v>38.314399999999999</v>
      </c>
      <c r="D125" s="4">
        <v>42.555700000000002</v>
      </c>
      <c r="E125" s="4" t="e">
        <v>#N/A</v>
      </c>
      <c r="F125" s="4" t="e">
        <v>#N/A</v>
      </c>
      <c r="G125" s="4">
        <v>41.766300000000001</v>
      </c>
      <c r="H125" s="4">
        <v>35.180700000000002</v>
      </c>
      <c r="I125" s="4">
        <v>44.977899999999998</v>
      </c>
      <c r="J125" s="4">
        <v>41.937600000000003</v>
      </c>
      <c r="K125" s="9">
        <v>102.84021</v>
      </c>
      <c r="L125" s="10">
        <v>905</v>
      </c>
    </row>
    <row r="126" spans="1:12">
      <c r="A126" t="s">
        <v>899</v>
      </c>
      <c r="B126" s="3">
        <v>39872</v>
      </c>
      <c r="C126" s="4">
        <v>38.3812</v>
      </c>
      <c r="D126" s="4">
        <v>44.731299999999997</v>
      </c>
      <c r="E126" s="4" t="e">
        <v>#N/A</v>
      </c>
      <c r="F126" s="4" t="e">
        <v>#N/A</v>
      </c>
      <c r="G126" s="4">
        <v>41.247700000000002</v>
      </c>
      <c r="H126" s="4">
        <v>36.674199999999999</v>
      </c>
      <c r="I126" s="4">
        <v>44.197800000000001</v>
      </c>
      <c r="J126" s="4">
        <v>39.996099999999998</v>
      </c>
      <c r="K126" s="9">
        <v>104.54483999999999</v>
      </c>
      <c r="L126" s="10">
        <v>1816</v>
      </c>
    </row>
    <row r="127" spans="1:12">
      <c r="A127" t="s">
        <v>900</v>
      </c>
      <c r="B127" s="3">
        <v>39903</v>
      </c>
      <c r="C127" s="4">
        <v>38.896700000000003</v>
      </c>
      <c r="D127" s="4">
        <v>41.320500000000003</v>
      </c>
      <c r="E127" s="4" t="e">
        <v>#N/A</v>
      </c>
      <c r="F127" s="4" t="e">
        <v>#N/A</v>
      </c>
      <c r="G127" s="4">
        <v>39.963099999999997</v>
      </c>
      <c r="H127" s="4">
        <v>38.312100000000001</v>
      </c>
      <c r="I127" s="4">
        <v>44.233600000000003</v>
      </c>
      <c r="J127" s="4">
        <v>41.85</v>
      </c>
      <c r="K127" s="9">
        <v>104.05119000000001</v>
      </c>
      <c r="L127" s="10">
        <v>1958</v>
      </c>
    </row>
    <row r="128" spans="1:12">
      <c r="A128" t="s">
        <v>901</v>
      </c>
      <c r="B128" s="3">
        <v>39933</v>
      </c>
      <c r="C128" s="4">
        <v>45.292099999999998</v>
      </c>
      <c r="D128" s="4">
        <v>42.653100000000002</v>
      </c>
      <c r="E128" s="4" t="e">
        <v>#N/A</v>
      </c>
      <c r="F128" s="4" t="e">
        <v>#N/A</v>
      </c>
      <c r="G128" s="4">
        <v>42.520499999999998</v>
      </c>
      <c r="H128" s="4">
        <v>42.628900000000002</v>
      </c>
      <c r="I128" s="4">
        <v>44.800600000000003</v>
      </c>
      <c r="J128" s="4">
        <v>44.602400000000003</v>
      </c>
      <c r="K128" s="9">
        <v>101.93371999999999</v>
      </c>
      <c r="L128" s="10">
        <v>1659</v>
      </c>
    </row>
    <row r="129" spans="1:12">
      <c r="A129" t="s">
        <v>902</v>
      </c>
      <c r="B129" s="3">
        <v>39964</v>
      </c>
      <c r="C129" s="4">
        <v>46.722200000000001</v>
      </c>
      <c r="D129" s="4">
        <v>46.134399999999999</v>
      </c>
      <c r="E129" s="4" t="e">
        <v>#N/A</v>
      </c>
      <c r="F129" s="4" t="e">
        <v>#N/A</v>
      </c>
      <c r="G129" s="4">
        <v>43.325699999999998</v>
      </c>
      <c r="H129" s="4">
        <v>45.511899999999997</v>
      </c>
      <c r="I129" s="4">
        <v>43.578099999999999</v>
      </c>
      <c r="J129" s="4">
        <v>44.625100000000003</v>
      </c>
      <c r="K129" s="9">
        <v>100.46177</v>
      </c>
      <c r="L129" s="10">
        <v>2540</v>
      </c>
    </row>
    <row r="130" spans="1:12">
      <c r="A130" t="s">
        <v>903</v>
      </c>
      <c r="B130" s="3">
        <v>39994</v>
      </c>
      <c r="C130" s="4">
        <v>48.743099999999998</v>
      </c>
      <c r="D130" s="4">
        <v>49.359299999999998</v>
      </c>
      <c r="E130" s="4" t="e">
        <v>#N/A</v>
      </c>
      <c r="F130" s="4" t="e">
        <v>#N/A</v>
      </c>
      <c r="G130" s="4">
        <v>45.3157</v>
      </c>
      <c r="H130" s="4">
        <v>47.983800000000002</v>
      </c>
      <c r="I130" s="4">
        <v>43.748800000000003</v>
      </c>
      <c r="J130" s="4">
        <v>48.117699999999999</v>
      </c>
      <c r="K130" s="9">
        <v>101.13191</v>
      </c>
      <c r="L130" s="10">
        <v>3823</v>
      </c>
    </row>
    <row r="131" spans="1:12">
      <c r="A131" t="s">
        <v>904</v>
      </c>
      <c r="B131" s="3">
        <v>40025</v>
      </c>
      <c r="C131" s="4">
        <v>50.341900000000003</v>
      </c>
      <c r="D131" s="4">
        <v>45.970700000000001</v>
      </c>
      <c r="E131" s="4" t="e">
        <v>#N/A</v>
      </c>
      <c r="F131" s="4" t="e">
        <v>#N/A</v>
      </c>
      <c r="G131" s="4">
        <v>46.109400000000001</v>
      </c>
      <c r="H131" s="4">
        <v>50.713000000000001</v>
      </c>
      <c r="I131" s="4">
        <v>44.604700000000001</v>
      </c>
      <c r="J131" s="4">
        <v>47.917099999999998</v>
      </c>
      <c r="K131" s="9">
        <v>99.505300000000005</v>
      </c>
      <c r="L131" s="10">
        <v>3362</v>
      </c>
    </row>
    <row r="132" spans="1:12">
      <c r="A132" t="s">
        <v>905</v>
      </c>
      <c r="B132" s="3">
        <v>40056</v>
      </c>
      <c r="C132" s="4">
        <v>53.274000000000001</v>
      </c>
      <c r="D132" s="4">
        <v>54.630400000000002</v>
      </c>
      <c r="E132" s="4" t="e">
        <v>#N/A</v>
      </c>
      <c r="F132" s="4" t="e">
        <v>#N/A</v>
      </c>
      <c r="G132" s="4">
        <v>48.232900000000001</v>
      </c>
      <c r="H132" s="4">
        <v>53.401400000000002</v>
      </c>
      <c r="I132" s="4">
        <v>44.242600000000003</v>
      </c>
      <c r="J132" s="4">
        <v>51.732100000000003</v>
      </c>
      <c r="K132" s="9">
        <v>99.42756</v>
      </c>
      <c r="L132" s="10">
        <v>2685</v>
      </c>
    </row>
    <row r="133" spans="1:12">
      <c r="A133" t="s">
        <v>906</v>
      </c>
      <c r="B133" s="3">
        <v>40086</v>
      </c>
      <c r="C133" s="4">
        <v>53.470599999999997</v>
      </c>
      <c r="D133" s="4">
        <v>50.176299999999998</v>
      </c>
      <c r="E133" s="4" t="e">
        <v>#N/A</v>
      </c>
      <c r="F133" s="4" t="e">
        <v>#N/A</v>
      </c>
      <c r="G133" s="4">
        <v>48.317599999999999</v>
      </c>
      <c r="H133" s="4">
        <v>53.783999999999999</v>
      </c>
      <c r="I133" s="4">
        <v>46.0672</v>
      </c>
      <c r="J133" s="4">
        <v>52.1113</v>
      </c>
      <c r="K133" s="9">
        <v>97.845039999999997</v>
      </c>
      <c r="L133" s="10">
        <v>2351</v>
      </c>
    </row>
    <row r="134" spans="1:12">
      <c r="A134" t="s">
        <v>766</v>
      </c>
      <c r="B134" s="3">
        <v>40117</v>
      </c>
      <c r="C134" s="4">
        <v>54.229599999999998</v>
      </c>
      <c r="D134" s="4">
        <v>51.485500000000002</v>
      </c>
      <c r="E134" s="4" t="e">
        <v>#N/A</v>
      </c>
      <c r="F134" s="4">
        <v>47.4527</v>
      </c>
      <c r="G134" s="4">
        <v>48.1571</v>
      </c>
      <c r="H134" s="4">
        <v>54.533999999999999</v>
      </c>
      <c r="I134" s="4">
        <v>46.671700000000001</v>
      </c>
      <c r="J134" s="4">
        <v>52.891300000000001</v>
      </c>
      <c r="K134" s="9">
        <v>97.297989999999999</v>
      </c>
      <c r="L134" s="10">
        <v>2746</v>
      </c>
    </row>
    <row r="135" spans="1:12">
      <c r="A135" t="s">
        <v>907</v>
      </c>
      <c r="B135" s="3">
        <v>40147</v>
      </c>
      <c r="C135" s="4">
        <v>54.357700000000001</v>
      </c>
      <c r="D135" s="4">
        <v>51.3401</v>
      </c>
      <c r="E135" s="4" t="e">
        <v>#N/A</v>
      </c>
      <c r="F135" s="4">
        <v>47.205800000000004</v>
      </c>
      <c r="G135" s="4">
        <v>48.54</v>
      </c>
      <c r="H135" s="4">
        <v>54.084600000000002</v>
      </c>
      <c r="I135" s="4">
        <v>46.898499999999999</v>
      </c>
      <c r="J135" s="4">
        <v>52.893900000000002</v>
      </c>
      <c r="K135" s="9">
        <v>97.763019999999997</v>
      </c>
      <c r="L135" s="10">
        <v>3941</v>
      </c>
    </row>
    <row r="136" spans="1:12">
      <c r="A136" t="s">
        <v>908</v>
      </c>
      <c r="B136" s="3">
        <v>40178</v>
      </c>
      <c r="C136" s="4">
        <v>55.101900000000001</v>
      </c>
      <c r="D136" s="4">
        <v>52.1905</v>
      </c>
      <c r="E136" s="4" t="e">
        <v>#N/A</v>
      </c>
      <c r="F136" s="4">
        <v>48.154600000000002</v>
      </c>
      <c r="G136" s="4">
        <v>48.601999999999997</v>
      </c>
      <c r="H136" s="4">
        <v>54.765300000000003</v>
      </c>
      <c r="I136" s="4">
        <v>45.79</v>
      </c>
      <c r="J136" s="4">
        <v>53.963200000000001</v>
      </c>
      <c r="K136" s="9">
        <v>98.05538</v>
      </c>
      <c r="L136" s="10">
        <v>3605</v>
      </c>
    </row>
    <row r="137" spans="1:12">
      <c r="A137" t="s">
        <v>909</v>
      </c>
      <c r="B137" s="3">
        <v>40209</v>
      </c>
      <c r="C137" s="4">
        <v>55.568800000000003</v>
      </c>
      <c r="D137" s="4">
        <v>54.785899999999998</v>
      </c>
      <c r="E137" s="4" t="e">
        <v>#N/A</v>
      </c>
      <c r="F137" s="4">
        <v>48.947400000000002</v>
      </c>
      <c r="G137" s="4">
        <v>49.247799999999998</v>
      </c>
      <c r="H137" s="4">
        <v>55.448999999999998</v>
      </c>
      <c r="I137" s="4">
        <v>47.310099999999998</v>
      </c>
      <c r="J137" s="4">
        <v>54.053899999999999</v>
      </c>
      <c r="K137" s="9">
        <v>99.673550000000006</v>
      </c>
      <c r="L137" s="10">
        <v>3168</v>
      </c>
    </row>
    <row r="138" spans="1:12">
      <c r="A138" t="s">
        <v>910</v>
      </c>
      <c r="B138" s="3">
        <v>40237</v>
      </c>
      <c r="C138" s="4">
        <v>55.288800000000002</v>
      </c>
      <c r="D138" s="4">
        <v>54.56</v>
      </c>
      <c r="E138" s="4" t="e">
        <v>#N/A</v>
      </c>
      <c r="F138" s="4">
        <v>49.009900000000002</v>
      </c>
      <c r="G138" s="4">
        <v>49.579599999999999</v>
      </c>
      <c r="H138" s="4">
        <v>54.976599999999998</v>
      </c>
      <c r="I138" s="4">
        <v>48.0807</v>
      </c>
      <c r="J138" s="4">
        <v>54.9621</v>
      </c>
      <c r="K138" s="9">
        <v>100.55222999999999</v>
      </c>
      <c r="L138" s="10">
        <v>2678</v>
      </c>
    </row>
    <row r="139" spans="1:12">
      <c r="A139" t="s">
        <v>911</v>
      </c>
      <c r="B139" s="3">
        <v>40268</v>
      </c>
      <c r="C139" s="4">
        <v>56.779400000000003</v>
      </c>
      <c r="D139" s="4">
        <v>55.656399999999998</v>
      </c>
      <c r="E139" s="4" t="e">
        <v>#N/A</v>
      </c>
      <c r="F139" s="4">
        <v>49.681899999999999</v>
      </c>
      <c r="G139" s="4">
        <v>50.6875</v>
      </c>
      <c r="H139" s="4">
        <v>55.9679</v>
      </c>
      <c r="I139" s="4">
        <v>47.6633</v>
      </c>
      <c r="J139" s="4">
        <v>55.871899999999997</v>
      </c>
      <c r="K139" s="9">
        <v>100.33282</v>
      </c>
      <c r="L139" s="10">
        <v>3209</v>
      </c>
    </row>
    <row r="140" spans="1:12">
      <c r="A140" t="s">
        <v>912</v>
      </c>
      <c r="B140" s="3">
        <v>40298</v>
      </c>
      <c r="C140" s="4">
        <v>56.810699999999997</v>
      </c>
      <c r="D140" s="4">
        <v>56.944800000000001</v>
      </c>
      <c r="E140" s="4" t="e">
        <v>#N/A</v>
      </c>
      <c r="F140" s="4">
        <v>50.547699999999999</v>
      </c>
      <c r="G140" s="4">
        <v>51.102600000000002</v>
      </c>
      <c r="H140" s="4">
        <v>56.713000000000001</v>
      </c>
      <c r="I140" s="4">
        <v>48.009599999999999</v>
      </c>
      <c r="J140" s="4">
        <v>56.170400000000001</v>
      </c>
      <c r="K140" s="9">
        <v>99.561000000000007</v>
      </c>
      <c r="L140" s="10">
        <v>3043</v>
      </c>
    </row>
    <row r="141" spans="1:12">
      <c r="A141" t="s">
        <v>913</v>
      </c>
      <c r="B141" s="3">
        <v>40329</v>
      </c>
      <c r="C141" s="4">
        <v>55.321100000000001</v>
      </c>
      <c r="D141" s="4">
        <v>56.125700000000002</v>
      </c>
      <c r="E141" s="4" t="e">
        <v>#N/A</v>
      </c>
      <c r="F141" s="4">
        <v>50.230899999999998</v>
      </c>
      <c r="G141" s="4">
        <v>51.6021</v>
      </c>
      <c r="H141" s="4">
        <v>55.540300000000002</v>
      </c>
      <c r="I141" s="4">
        <v>48.875700000000002</v>
      </c>
      <c r="J141" s="4">
        <v>55.61</v>
      </c>
      <c r="K141" s="9">
        <v>102.36559</v>
      </c>
      <c r="L141" s="10">
        <v>3838</v>
      </c>
    </row>
    <row r="142" spans="1:12">
      <c r="A142" t="s">
        <v>914</v>
      </c>
      <c r="B142" s="3">
        <v>40359</v>
      </c>
      <c r="C142" s="4">
        <v>54.204900000000002</v>
      </c>
      <c r="D142" s="4">
        <v>54.151299999999999</v>
      </c>
      <c r="E142" s="4" t="e">
        <v>#N/A</v>
      </c>
      <c r="F142" s="4">
        <v>49.896799999999999</v>
      </c>
      <c r="G142" s="4">
        <v>51.652000000000001</v>
      </c>
      <c r="H142" s="4">
        <v>53.984000000000002</v>
      </c>
      <c r="I142" s="4">
        <v>49.508000000000003</v>
      </c>
      <c r="J142" s="4">
        <v>55.034399999999998</v>
      </c>
      <c r="K142" s="9">
        <v>102.65425999999999</v>
      </c>
      <c r="L142" s="10">
        <v>3088</v>
      </c>
    </row>
    <row r="143" spans="1:12">
      <c r="A143" t="s">
        <v>915</v>
      </c>
      <c r="B143" s="3">
        <v>40390</v>
      </c>
      <c r="C143" s="4">
        <v>54.422400000000003</v>
      </c>
      <c r="D143" s="4">
        <v>53.886899999999997</v>
      </c>
      <c r="E143" s="4" t="e">
        <v>#N/A</v>
      </c>
      <c r="F143" s="4">
        <v>50.320500000000003</v>
      </c>
      <c r="G143" s="4">
        <v>51.300400000000003</v>
      </c>
      <c r="H143" s="4">
        <v>54.046999999999997</v>
      </c>
      <c r="I143" s="4">
        <v>49.026200000000003</v>
      </c>
      <c r="J143" s="4">
        <v>55.012999999999998</v>
      </c>
      <c r="K143" s="9">
        <v>101.23415</v>
      </c>
      <c r="L143" s="10">
        <v>1910</v>
      </c>
    </row>
    <row r="144" spans="1:12">
      <c r="A144" t="s">
        <v>916</v>
      </c>
      <c r="B144" s="3">
        <v>40421</v>
      </c>
      <c r="C144" s="4">
        <v>54.198700000000002</v>
      </c>
      <c r="D144" s="4">
        <v>54.938800000000001</v>
      </c>
      <c r="E144" s="4" t="e">
        <v>#N/A</v>
      </c>
      <c r="F144" s="4">
        <v>50.414700000000003</v>
      </c>
      <c r="G144" s="4">
        <v>51.647799999999997</v>
      </c>
      <c r="H144" s="4">
        <v>53.093000000000004</v>
      </c>
      <c r="I144" s="4">
        <v>48.618099999999998</v>
      </c>
      <c r="J144" s="4">
        <v>55.040799999999997</v>
      </c>
      <c r="K144" s="9">
        <v>100.9623</v>
      </c>
      <c r="L144" s="10">
        <v>2432</v>
      </c>
    </row>
    <row r="145" spans="1:12">
      <c r="A145" t="s">
        <v>917</v>
      </c>
      <c r="B145" s="3">
        <v>40451</v>
      </c>
      <c r="C145" s="4">
        <v>53.374299999999998</v>
      </c>
      <c r="D145" s="4">
        <v>54.662999999999997</v>
      </c>
      <c r="E145" s="4" t="e">
        <v>#N/A</v>
      </c>
      <c r="F145" s="4">
        <v>50.0976</v>
      </c>
      <c r="G145" s="4">
        <v>51.2331</v>
      </c>
      <c r="H145" s="4">
        <v>52.7667</v>
      </c>
      <c r="I145" s="4">
        <v>49.108199999999997</v>
      </c>
      <c r="J145" s="4">
        <v>54.203600000000002</v>
      </c>
      <c r="K145" s="9">
        <v>99.352779999999996</v>
      </c>
      <c r="L145" s="10">
        <v>2712</v>
      </c>
    </row>
    <row r="146" spans="1:12">
      <c r="A146" t="s">
        <v>918</v>
      </c>
      <c r="B146" s="3">
        <v>40482</v>
      </c>
      <c r="C146" s="4">
        <v>53.5595</v>
      </c>
      <c r="D146" s="4">
        <v>55.511400000000002</v>
      </c>
      <c r="E146" s="4" t="e">
        <v>#N/A</v>
      </c>
      <c r="F146" s="4">
        <v>50.517600000000002</v>
      </c>
      <c r="G146" s="4">
        <v>51.764299999999999</v>
      </c>
      <c r="H146" s="4">
        <v>53.073999999999998</v>
      </c>
      <c r="I146" s="4">
        <v>48.520899999999997</v>
      </c>
      <c r="J146" s="4">
        <v>53.1</v>
      </c>
      <c r="K146" s="9">
        <v>97.343919999999997</v>
      </c>
      <c r="L146" s="10">
        <v>2693</v>
      </c>
    </row>
    <row r="147" spans="1:12">
      <c r="A147" t="s">
        <v>919</v>
      </c>
      <c r="B147" s="3">
        <v>40512</v>
      </c>
      <c r="C147" s="4">
        <v>54.072099999999999</v>
      </c>
      <c r="D147" s="4">
        <v>55.722700000000003</v>
      </c>
      <c r="E147" s="4" t="e">
        <v>#N/A</v>
      </c>
      <c r="F147" s="4">
        <v>50.327500000000001</v>
      </c>
      <c r="G147" s="4">
        <v>51.699599999999997</v>
      </c>
      <c r="H147" s="4">
        <v>53.498899999999999</v>
      </c>
      <c r="I147" s="4">
        <v>48.0274</v>
      </c>
      <c r="J147" s="4">
        <v>53.632199999999997</v>
      </c>
      <c r="K147" s="9">
        <v>97.631929999999997</v>
      </c>
      <c r="L147" s="10">
        <v>2321</v>
      </c>
    </row>
    <row r="148" spans="1:12">
      <c r="A148" t="s">
        <v>920</v>
      </c>
      <c r="B148" s="3">
        <v>40543</v>
      </c>
      <c r="C148" s="4">
        <v>54.517699999999998</v>
      </c>
      <c r="D148" s="4">
        <v>56.935499999999998</v>
      </c>
      <c r="E148" s="4" t="e">
        <v>#N/A</v>
      </c>
      <c r="F148" s="4">
        <v>51.418500000000002</v>
      </c>
      <c r="G148" s="4">
        <v>51.698599999999999</v>
      </c>
      <c r="H148" s="4">
        <v>53.768099999999997</v>
      </c>
      <c r="I148" s="4">
        <v>48.320999999999998</v>
      </c>
      <c r="J148" s="4">
        <v>54.015599999999999</v>
      </c>
      <c r="K148" s="9">
        <v>98.335499999999996</v>
      </c>
      <c r="L148" s="10">
        <v>2031</v>
      </c>
    </row>
    <row r="149" spans="1:12">
      <c r="A149" t="s">
        <v>921</v>
      </c>
      <c r="B149" s="3">
        <v>40574</v>
      </c>
      <c r="C149" s="4">
        <v>55.750300000000003</v>
      </c>
      <c r="D149" s="4">
        <v>60.049799999999998</v>
      </c>
      <c r="E149" s="4" t="e">
        <v>#N/A</v>
      </c>
      <c r="F149" s="4">
        <v>51.716099999999997</v>
      </c>
      <c r="G149" s="4">
        <v>52.161999999999999</v>
      </c>
      <c r="H149" s="4">
        <v>54.873899999999999</v>
      </c>
      <c r="I149" s="4">
        <v>47.695700000000002</v>
      </c>
      <c r="J149" s="4">
        <v>54.461599999999997</v>
      </c>
      <c r="K149" s="9">
        <v>97.625100000000003</v>
      </c>
      <c r="L149" s="10">
        <v>1401</v>
      </c>
    </row>
    <row r="150" spans="1:12">
      <c r="A150" t="s">
        <v>922</v>
      </c>
      <c r="B150" s="3">
        <v>40602</v>
      </c>
      <c r="C150" s="4">
        <v>56.103999999999999</v>
      </c>
      <c r="D150" s="4">
        <v>60.651200000000003</v>
      </c>
      <c r="E150" s="4" t="e">
        <v>#N/A</v>
      </c>
      <c r="F150" s="4">
        <v>53.685899999999997</v>
      </c>
      <c r="G150" s="4">
        <v>52.478099999999998</v>
      </c>
      <c r="H150" s="4">
        <v>55.471699999999998</v>
      </c>
      <c r="I150" s="4">
        <v>48.149000000000001</v>
      </c>
      <c r="J150" s="4">
        <v>55.163600000000002</v>
      </c>
      <c r="K150" s="9">
        <v>97.872</v>
      </c>
      <c r="L150" s="10">
        <v>1181</v>
      </c>
    </row>
    <row r="151" spans="1:12">
      <c r="A151" t="s">
        <v>923</v>
      </c>
      <c r="B151" s="3">
        <v>40633</v>
      </c>
      <c r="C151" s="4">
        <v>54.575000000000003</v>
      </c>
      <c r="D151" s="4">
        <v>61.172199999999997</v>
      </c>
      <c r="E151" s="4" t="e">
        <v>#N/A</v>
      </c>
      <c r="F151" s="4">
        <v>52.9039</v>
      </c>
      <c r="G151" s="4">
        <v>52.676600000000001</v>
      </c>
      <c r="H151" s="4">
        <v>54.206600000000002</v>
      </c>
      <c r="I151" s="4">
        <v>49.059100000000001</v>
      </c>
      <c r="J151" s="4">
        <v>53.0154</v>
      </c>
      <c r="K151" s="9">
        <v>97.474440000000001</v>
      </c>
      <c r="L151" s="10">
        <v>1493</v>
      </c>
    </row>
    <row r="152" spans="1:12">
      <c r="A152" t="s">
        <v>924</v>
      </c>
      <c r="B152" s="3">
        <v>40663</v>
      </c>
      <c r="C152" s="4">
        <v>53.312199999999997</v>
      </c>
      <c r="D152" s="4">
        <v>60.238300000000002</v>
      </c>
      <c r="E152" s="4" t="e">
        <v>#N/A</v>
      </c>
      <c r="F152" s="4">
        <v>53.061999999999998</v>
      </c>
      <c r="G152" s="4">
        <v>52.324199999999998</v>
      </c>
      <c r="H152" s="4">
        <v>53.762799999999999</v>
      </c>
      <c r="I152" s="4">
        <v>49.5321</v>
      </c>
      <c r="J152" s="4">
        <v>52.923999999999999</v>
      </c>
      <c r="K152" s="9">
        <v>96.741370000000003</v>
      </c>
      <c r="L152" s="10">
        <v>1343</v>
      </c>
    </row>
    <row r="153" spans="1:12">
      <c r="A153" t="s">
        <v>925</v>
      </c>
      <c r="B153" s="3">
        <v>40694</v>
      </c>
      <c r="C153" s="4">
        <v>54.021500000000003</v>
      </c>
      <c r="D153" s="4">
        <v>59.032400000000003</v>
      </c>
      <c r="E153" s="4" t="e">
        <v>#N/A</v>
      </c>
      <c r="F153" s="4">
        <v>52.889800000000001</v>
      </c>
      <c r="G153" s="4">
        <v>52.157299999999999</v>
      </c>
      <c r="H153" s="4">
        <v>53.2697</v>
      </c>
      <c r="I153" s="4">
        <v>49.513100000000001</v>
      </c>
      <c r="J153" s="4">
        <v>54.317900000000002</v>
      </c>
      <c r="K153" s="9">
        <v>97.406080000000003</v>
      </c>
      <c r="L153" s="10">
        <v>1352</v>
      </c>
    </row>
    <row r="154" spans="1:12">
      <c r="A154" t="s">
        <v>926</v>
      </c>
      <c r="B154" s="3">
        <v>40724</v>
      </c>
      <c r="C154" s="4">
        <v>53.774000000000001</v>
      </c>
      <c r="D154" s="4">
        <v>58.516399999999997</v>
      </c>
      <c r="E154" s="4" t="e">
        <v>#N/A</v>
      </c>
      <c r="F154" s="4">
        <v>52.286900000000003</v>
      </c>
      <c r="G154" s="4">
        <v>51.828600000000002</v>
      </c>
      <c r="H154" s="4">
        <v>51.878399999999999</v>
      </c>
      <c r="I154" s="4">
        <v>48.902799999999999</v>
      </c>
      <c r="J154" s="4">
        <v>53.422600000000003</v>
      </c>
      <c r="K154" s="9">
        <v>97.48</v>
      </c>
      <c r="L154" s="10">
        <v>1433</v>
      </c>
    </row>
    <row r="155" spans="1:12">
      <c r="A155" t="s">
        <v>927</v>
      </c>
      <c r="B155" s="3">
        <v>40755</v>
      </c>
      <c r="C155" s="4">
        <v>53.063699999999997</v>
      </c>
      <c r="D155" s="4">
        <v>56.807499999999997</v>
      </c>
      <c r="E155" s="4" t="e">
        <v>#N/A</v>
      </c>
      <c r="F155" s="4">
        <v>51.602899999999998</v>
      </c>
      <c r="G155" s="4">
        <v>51.686300000000003</v>
      </c>
      <c r="H155" s="4">
        <v>51.116599999999998</v>
      </c>
      <c r="I155" s="4">
        <v>48.807299999999998</v>
      </c>
      <c r="J155" s="4">
        <v>52.408099999999997</v>
      </c>
      <c r="K155" s="9">
        <v>96.924629999999993</v>
      </c>
      <c r="L155" s="10">
        <v>1366</v>
      </c>
    </row>
    <row r="156" spans="1:12">
      <c r="A156" t="s">
        <v>928</v>
      </c>
      <c r="B156" s="3">
        <v>40786</v>
      </c>
      <c r="C156" s="4">
        <v>52.492800000000003</v>
      </c>
      <c r="D156" s="4">
        <v>56.319899999999997</v>
      </c>
      <c r="E156" s="4" t="e">
        <v>#N/A</v>
      </c>
      <c r="F156" s="4">
        <v>51.563099999999999</v>
      </c>
      <c r="G156" s="4">
        <v>51.611800000000002</v>
      </c>
      <c r="H156" s="4">
        <v>50.9621</v>
      </c>
      <c r="I156" s="4">
        <v>49.0212</v>
      </c>
      <c r="J156" s="4">
        <v>51.683399999999999</v>
      </c>
      <c r="K156" s="9">
        <v>96.823670000000007</v>
      </c>
      <c r="L156" s="10">
        <v>1387</v>
      </c>
    </row>
    <row r="157" spans="1:12">
      <c r="A157" t="s">
        <v>929</v>
      </c>
      <c r="B157" s="3">
        <v>40816</v>
      </c>
      <c r="C157" s="4">
        <v>51.179600000000001</v>
      </c>
      <c r="D157" s="4">
        <v>56.601799999999997</v>
      </c>
      <c r="E157" s="4" t="e">
        <v>#N/A</v>
      </c>
      <c r="F157" s="4">
        <v>51.064500000000002</v>
      </c>
      <c r="G157" s="4">
        <v>50.952399999999997</v>
      </c>
      <c r="H157" s="4">
        <v>50.412599999999998</v>
      </c>
      <c r="I157" s="4">
        <v>48.381999999999998</v>
      </c>
      <c r="J157" s="4">
        <v>51.819099999999999</v>
      </c>
      <c r="K157" s="9">
        <v>99.348240000000004</v>
      </c>
      <c r="L157" s="10">
        <v>1840</v>
      </c>
    </row>
    <row r="158" spans="1:12">
      <c r="A158" t="s">
        <v>930</v>
      </c>
      <c r="B158" s="3">
        <v>40847</v>
      </c>
      <c r="C158" s="4">
        <v>51.676299999999998</v>
      </c>
      <c r="D158" s="4">
        <v>55.0929</v>
      </c>
      <c r="E158" s="4" t="e">
        <v>#N/A</v>
      </c>
      <c r="F158" s="4">
        <v>50.768700000000003</v>
      </c>
      <c r="G158" s="4">
        <v>50.998199999999997</v>
      </c>
      <c r="H158" s="4">
        <v>50.5809</v>
      </c>
      <c r="I158" s="4">
        <v>48.733600000000003</v>
      </c>
      <c r="J158" s="4">
        <v>52.714300000000001</v>
      </c>
      <c r="K158" s="9">
        <v>99.267989999999998</v>
      </c>
      <c r="L158" s="10">
        <v>2072</v>
      </c>
    </row>
    <row r="159" spans="1:12">
      <c r="A159" t="s">
        <v>931</v>
      </c>
      <c r="B159" s="3">
        <v>40877</v>
      </c>
      <c r="C159" s="4">
        <v>51.398400000000002</v>
      </c>
      <c r="D159" s="4">
        <v>54.369799999999998</v>
      </c>
      <c r="E159" s="4" t="e">
        <v>#N/A</v>
      </c>
      <c r="F159" s="4">
        <v>50.549300000000002</v>
      </c>
      <c r="G159" s="4">
        <v>51.5642</v>
      </c>
      <c r="H159" s="4">
        <v>49.389499999999998</v>
      </c>
      <c r="I159" s="4">
        <v>48.872399999999999</v>
      </c>
      <c r="J159" s="4">
        <v>52.167999999999999</v>
      </c>
      <c r="K159" s="9">
        <v>100.14275000000001</v>
      </c>
      <c r="L159" s="10">
        <v>1835</v>
      </c>
    </row>
    <row r="160" spans="1:12">
      <c r="A160" t="s">
        <v>932</v>
      </c>
      <c r="B160" s="3">
        <v>40908</v>
      </c>
      <c r="C160" s="4">
        <v>51.889499999999998</v>
      </c>
      <c r="D160" s="4">
        <v>54.841799999999999</v>
      </c>
      <c r="E160" s="4" t="e">
        <v>#N/A</v>
      </c>
      <c r="F160" s="4">
        <v>50.243000000000002</v>
      </c>
      <c r="G160" s="4">
        <v>51.588099999999997</v>
      </c>
      <c r="H160" s="4">
        <v>50.127099999999999</v>
      </c>
      <c r="I160" s="4">
        <v>48.869199999999999</v>
      </c>
      <c r="J160" s="4">
        <v>53.289499999999997</v>
      </c>
      <c r="K160" s="9">
        <v>100.25264</v>
      </c>
      <c r="L160" s="10">
        <v>1869</v>
      </c>
    </row>
    <row r="161" spans="1:12">
      <c r="A161" t="s">
        <v>933</v>
      </c>
      <c r="B161" s="3">
        <v>40939</v>
      </c>
      <c r="C161" s="4">
        <v>52.9101</v>
      </c>
      <c r="D161" s="4">
        <v>54.115900000000003</v>
      </c>
      <c r="E161" s="4" t="e">
        <v>#N/A</v>
      </c>
      <c r="F161" s="4">
        <v>50.1633</v>
      </c>
      <c r="G161" s="4">
        <v>51.465000000000003</v>
      </c>
      <c r="H161" s="4">
        <v>50.8001</v>
      </c>
      <c r="I161" s="4">
        <v>48.4664</v>
      </c>
      <c r="J161" s="4">
        <v>54.621499999999997</v>
      </c>
      <c r="K161" s="9">
        <v>99.531530000000004</v>
      </c>
      <c r="L161" s="10">
        <v>1039</v>
      </c>
    </row>
    <row r="162" spans="1:12">
      <c r="A162" t="s">
        <v>934</v>
      </c>
      <c r="B162" s="3">
        <v>40968</v>
      </c>
      <c r="C162" s="4">
        <v>53.047600000000003</v>
      </c>
      <c r="D162" s="4">
        <v>55.1068</v>
      </c>
      <c r="E162" s="4" t="e">
        <v>#N/A</v>
      </c>
      <c r="F162" s="4">
        <v>50.3277</v>
      </c>
      <c r="G162" s="4">
        <v>51.484499999999997</v>
      </c>
      <c r="H162" s="4">
        <v>51.050800000000002</v>
      </c>
      <c r="I162" s="4">
        <v>49.131799999999998</v>
      </c>
      <c r="J162" s="4">
        <v>54.080300000000001</v>
      </c>
      <c r="K162" s="9">
        <v>98.091459999999998</v>
      </c>
      <c r="L162" s="10">
        <v>703</v>
      </c>
    </row>
    <row r="163" spans="1:12">
      <c r="A163" t="s">
        <v>935</v>
      </c>
      <c r="B163" s="3">
        <v>40999</v>
      </c>
      <c r="C163" s="4">
        <v>53.874400000000001</v>
      </c>
      <c r="D163" s="4">
        <v>55.512900000000002</v>
      </c>
      <c r="E163" s="4" t="e">
        <v>#N/A</v>
      </c>
      <c r="F163" s="4">
        <v>51.347299999999997</v>
      </c>
      <c r="G163" s="4">
        <v>51.424900000000001</v>
      </c>
      <c r="H163" s="4">
        <v>51.1678</v>
      </c>
      <c r="I163" s="4">
        <v>49.279499999999999</v>
      </c>
      <c r="J163" s="4">
        <v>54.661799999999999</v>
      </c>
      <c r="K163" s="9">
        <v>99.323679999999996</v>
      </c>
      <c r="L163" s="10">
        <v>859</v>
      </c>
    </row>
    <row r="164" spans="1:12">
      <c r="A164" t="s">
        <v>936</v>
      </c>
      <c r="B164" s="3">
        <v>41029</v>
      </c>
      <c r="C164" s="4">
        <v>53.301200000000001</v>
      </c>
      <c r="D164" s="4">
        <v>55.338700000000003</v>
      </c>
      <c r="E164" s="4" t="e">
        <v>#N/A</v>
      </c>
      <c r="F164" s="4">
        <v>50.677900000000001</v>
      </c>
      <c r="G164" s="4">
        <v>51.344200000000001</v>
      </c>
      <c r="H164" s="4">
        <v>50.986400000000003</v>
      </c>
      <c r="I164" s="4">
        <v>49.322299999999998</v>
      </c>
      <c r="J164" s="4">
        <v>53.064</v>
      </c>
      <c r="K164" s="9">
        <v>98.983999999999995</v>
      </c>
      <c r="L164" s="10">
        <v>1021</v>
      </c>
    </row>
    <row r="165" spans="1:12">
      <c r="A165" t="s">
        <v>937</v>
      </c>
      <c r="B165" s="3">
        <v>41060</v>
      </c>
      <c r="C165" s="4">
        <v>52.4681</v>
      </c>
      <c r="D165" s="4">
        <v>54.013300000000001</v>
      </c>
      <c r="E165" s="4" t="e">
        <v>#N/A</v>
      </c>
      <c r="F165" s="4">
        <v>49.9572</v>
      </c>
      <c r="G165" s="4">
        <v>51.310699999999997</v>
      </c>
      <c r="H165" s="4">
        <v>49.9998</v>
      </c>
      <c r="I165" s="4">
        <v>49.755499999999998</v>
      </c>
      <c r="J165" s="4">
        <v>52.924199999999999</v>
      </c>
      <c r="K165" s="9">
        <v>100.28281</v>
      </c>
      <c r="L165" s="10">
        <v>1101</v>
      </c>
    </row>
    <row r="166" spans="1:12">
      <c r="A166" t="s">
        <v>938</v>
      </c>
      <c r="B166" s="3">
        <v>41090</v>
      </c>
      <c r="C166" s="4">
        <v>51.788699999999999</v>
      </c>
      <c r="D166" s="4">
        <v>52.401899999999998</v>
      </c>
      <c r="E166" s="4" t="e">
        <v>#N/A</v>
      </c>
      <c r="F166" s="4">
        <v>48.803600000000003</v>
      </c>
      <c r="G166" s="4">
        <v>50.421900000000001</v>
      </c>
      <c r="H166" s="4">
        <v>49.537100000000002</v>
      </c>
      <c r="I166" s="4">
        <v>49.3797</v>
      </c>
      <c r="J166" s="4">
        <v>51.225000000000001</v>
      </c>
      <c r="K166" s="9">
        <v>101.49361</v>
      </c>
      <c r="L166" s="10">
        <v>937</v>
      </c>
    </row>
    <row r="167" spans="1:12">
      <c r="A167" t="s">
        <v>768</v>
      </c>
      <c r="B167" s="3">
        <v>41121</v>
      </c>
      <c r="C167" s="4">
        <v>50.419600000000003</v>
      </c>
      <c r="D167" s="4">
        <v>52.3337</v>
      </c>
      <c r="E167" s="4" t="e">
        <v>#N/A</v>
      </c>
      <c r="F167" s="4">
        <v>49.081000000000003</v>
      </c>
      <c r="G167" s="4">
        <v>50.686300000000003</v>
      </c>
      <c r="H167" s="4">
        <v>48.877099999999999</v>
      </c>
      <c r="I167" s="4">
        <v>49.496600000000001</v>
      </c>
      <c r="J167" s="4">
        <v>50.340299999999999</v>
      </c>
      <c r="K167" s="9">
        <v>101.30234</v>
      </c>
      <c r="L167" s="10">
        <v>1056</v>
      </c>
    </row>
    <row r="168" spans="1:12">
      <c r="A168" t="s">
        <v>939</v>
      </c>
      <c r="B168" s="3">
        <v>41152</v>
      </c>
      <c r="C168" s="4">
        <v>50.0931</v>
      </c>
      <c r="D168" s="4">
        <v>52.784999999999997</v>
      </c>
      <c r="E168" s="4" t="e">
        <v>#N/A</v>
      </c>
      <c r="F168" s="4">
        <v>49.505800000000001</v>
      </c>
      <c r="G168" s="4">
        <v>50.901699999999998</v>
      </c>
      <c r="H168" s="4">
        <v>48.723999999999997</v>
      </c>
      <c r="I168" s="4">
        <v>50.074300000000001</v>
      </c>
      <c r="J168" s="4">
        <v>50.604900000000001</v>
      </c>
      <c r="K168" s="9">
        <v>101.70589</v>
      </c>
      <c r="L168" s="10">
        <v>761</v>
      </c>
    </row>
    <row r="169" spans="1:12">
      <c r="A169" t="s">
        <v>940</v>
      </c>
      <c r="B169" s="3">
        <v>41182</v>
      </c>
      <c r="C169" s="4">
        <v>50.3596</v>
      </c>
      <c r="D169" s="4">
        <v>54.081899999999997</v>
      </c>
      <c r="E169" s="4" t="e">
        <v>#N/A</v>
      </c>
      <c r="F169" s="4">
        <v>49.981000000000002</v>
      </c>
      <c r="G169" s="4">
        <v>50.303600000000003</v>
      </c>
      <c r="H169" s="4">
        <v>48.880299999999998</v>
      </c>
      <c r="I169" s="4">
        <v>49.200400000000002</v>
      </c>
      <c r="J169" s="4">
        <v>50.392200000000003</v>
      </c>
      <c r="K169" s="9">
        <v>100.3569</v>
      </c>
      <c r="L169" s="10">
        <v>707</v>
      </c>
    </row>
    <row r="170" spans="1:12">
      <c r="A170" t="s">
        <v>941</v>
      </c>
      <c r="B170" s="3">
        <v>41213</v>
      </c>
      <c r="C170" s="4">
        <v>51.091200000000001</v>
      </c>
      <c r="D170" s="4">
        <v>54.485799999999998</v>
      </c>
      <c r="E170" s="4" t="e">
        <v>#N/A</v>
      </c>
      <c r="F170" s="4">
        <v>50.264200000000002</v>
      </c>
      <c r="G170" s="4">
        <v>50.935200000000002</v>
      </c>
      <c r="H170" s="4">
        <v>49.139400000000002</v>
      </c>
      <c r="I170" s="4">
        <v>48.180599999999998</v>
      </c>
      <c r="J170" s="4">
        <v>51.054400000000001</v>
      </c>
      <c r="K170" s="9">
        <v>100.03227</v>
      </c>
      <c r="L170" s="10">
        <v>952</v>
      </c>
    </row>
    <row r="171" spans="1:12">
      <c r="A171" t="s">
        <v>942</v>
      </c>
      <c r="B171" s="3">
        <v>41243</v>
      </c>
      <c r="C171" s="4">
        <v>50.9114</v>
      </c>
      <c r="D171" s="4">
        <v>54.77</v>
      </c>
      <c r="E171" s="4" t="e">
        <v>#N/A</v>
      </c>
      <c r="F171" s="4">
        <v>50.589799999999997</v>
      </c>
      <c r="G171" s="4">
        <v>51.273400000000002</v>
      </c>
      <c r="H171" s="4">
        <v>49.863100000000003</v>
      </c>
      <c r="I171" s="4">
        <v>48.081099999999999</v>
      </c>
      <c r="J171" s="4">
        <v>51.677</v>
      </c>
      <c r="K171" s="9">
        <v>100.16276999999999</v>
      </c>
      <c r="L171" s="10">
        <v>1025</v>
      </c>
    </row>
    <row r="172" spans="1:12">
      <c r="A172" t="s">
        <v>943</v>
      </c>
      <c r="B172" s="3">
        <v>41274</v>
      </c>
      <c r="C172" s="4">
        <v>51.369700000000002</v>
      </c>
      <c r="D172" s="4">
        <v>55.167099999999998</v>
      </c>
      <c r="E172" s="4" t="e">
        <v>#N/A</v>
      </c>
      <c r="F172" s="4">
        <v>50.768500000000003</v>
      </c>
      <c r="G172" s="4">
        <v>51.529200000000003</v>
      </c>
      <c r="H172" s="4">
        <v>50.280299999999997</v>
      </c>
      <c r="I172" s="4">
        <v>48.508800000000001</v>
      </c>
      <c r="J172" s="4">
        <v>51.457500000000003</v>
      </c>
      <c r="K172" s="9">
        <v>99.294460000000001</v>
      </c>
      <c r="L172" s="10">
        <v>856</v>
      </c>
    </row>
    <row r="173" spans="1:12">
      <c r="A173" t="s">
        <v>944</v>
      </c>
      <c r="B173" s="3">
        <v>41305</v>
      </c>
      <c r="C173" s="4">
        <v>52.941600000000001</v>
      </c>
      <c r="D173" s="4">
        <v>54.575600000000001</v>
      </c>
      <c r="E173" s="4" t="e">
        <v>#N/A</v>
      </c>
      <c r="F173" s="4">
        <v>50.838099999999997</v>
      </c>
      <c r="G173" s="4">
        <v>50.765700000000002</v>
      </c>
      <c r="H173" s="4">
        <v>51.529699999999998</v>
      </c>
      <c r="I173" s="4">
        <v>49.017099999999999</v>
      </c>
      <c r="J173" s="4">
        <v>52.175199999999997</v>
      </c>
      <c r="K173" s="9">
        <v>99.133719999999997</v>
      </c>
      <c r="L173" s="10">
        <v>771</v>
      </c>
    </row>
    <row r="174" spans="1:12">
      <c r="A174" t="s">
        <v>945</v>
      </c>
      <c r="B174" s="3">
        <v>41333</v>
      </c>
      <c r="C174" s="4">
        <v>52.169699999999999</v>
      </c>
      <c r="D174" s="4">
        <v>54.3431</v>
      </c>
      <c r="E174" s="4" t="e">
        <v>#N/A</v>
      </c>
      <c r="F174" s="4">
        <v>51.302300000000002</v>
      </c>
      <c r="G174" s="4">
        <v>50.451900000000002</v>
      </c>
      <c r="H174" s="4">
        <v>50.878599999999999</v>
      </c>
      <c r="I174" s="4">
        <v>48.940600000000003</v>
      </c>
      <c r="J174" s="4">
        <v>51.919600000000003</v>
      </c>
      <c r="K174" s="9">
        <v>100.50660999999999</v>
      </c>
      <c r="L174" s="10">
        <v>745</v>
      </c>
    </row>
    <row r="175" spans="1:12">
      <c r="A175" t="s">
        <v>946</v>
      </c>
      <c r="B175" s="3">
        <v>41364</v>
      </c>
      <c r="C175" s="4">
        <v>52.174599999999998</v>
      </c>
      <c r="D175" s="4">
        <v>53.028199999999998</v>
      </c>
      <c r="E175" s="4" t="e">
        <v>#N/A</v>
      </c>
      <c r="F175" s="4">
        <v>50.846200000000003</v>
      </c>
      <c r="G175" s="4">
        <v>50.6389</v>
      </c>
      <c r="H175" s="4">
        <v>51.116900000000001</v>
      </c>
      <c r="I175" s="4">
        <v>49.383000000000003</v>
      </c>
      <c r="J175" s="4">
        <v>51.8797</v>
      </c>
      <c r="K175" s="9">
        <v>101.10106</v>
      </c>
      <c r="L175" s="10">
        <v>876</v>
      </c>
    </row>
    <row r="176" spans="1:12">
      <c r="A176" t="s">
        <v>947</v>
      </c>
      <c r="B176" s="3">
        <v>41394</v>
      </c>
      <c r="C176" s="4">
        <v>51.7361</v>
      </c>
      <c r="D176" s="4">
        <v>52.113599999999998</v>
      </c>
      <c r="E176" s="4" t="e">
        <v>#N/A</v>
      </c>
      <c r="F176" s="4">
        <v>49.720799999999997</v>
      </c>
      <c r="G176" s="4">
        <v>50.573</v>
      </c>
      <c r="H176" s="4">
        <v>50.388300000000001</v>
      </c>
      <c r="I176" s="4">
        <v>49.945099999999996</v>
      </c>
      <c r="J176" s="4">
        <v>51.596499999999999</v>
      </c>
      <c r="K176" s="9">
        <v>100.69936</v>
      </c>
      <c r="L176" s="10">
        <v>874</v>
      </c>
    </row>
    <row r="177" spans="1:12">
      <c r="A177" t="s">
        <v>948</v>
      </c>
      <c r="B177" s="3">
        <v>41425</v>
      </c>
      <c r="C177" s="4">
        <v>52.045400000000001</v>
      </c>
      <c r="D177" s="4">
        <v>52.084299999999999</v>
      </c>
      <c r="E177" s="4" t="e">
        <v>#N/A</v>
      </c>
      <c r="F177" s="4">
        <v>50.091700000000003</v>
      </c>
      <c r="G177" s="4">
        <v>51.125799999999998</v>
      </c>
      <c r="H177" s="4">
        <v>50.476199999999999</v>
      </c>
      <c r="I177" s="4">
        <v>49.626399999999997</v>
      </c>
      <c r="J177" s="4">
        <v>52.623399999999997</v>
      </c>
      <c r="K177" s="9">
        <v>101.90852</v>
      </c>
      <c r="L177" s="10">
        <v>851</v>
      </c>
    </row>
    <row r="178" spans="1:12">
      <c r="A178" t="s">
        <v>949</v>
      </c>
      <c r="B178" s="3">
        <v>41455</v>
      </c>
      <c r="C178" s="4">
        <v>52.0809</v>
      </c>
      <c r="D178" s="4">
        <v>52.560400000000001</v>
      </c>
      <c r="E178" s="4" t="e">
        <v>#N/A</v>
      </c>
      <c r="F178" s="4">
        <v>49.458199999999998</v>
      </c>
      <c r="G178" s="4">
        <v>50.873399999999997</v>
      </c>
      <c r="H178" s="4">
        <v>50.272599999999997</v>
      </c>
      <c r="I178" s="4">
        <v>49.769599999999997</v>
      </c>
      <c r="J178" s="4">
        <v>52.941600000000001</v>
      </c>
      <c r="K178" s="9">
        <v>102.95345</v>
      </c>
      <c r="L178" s="10">
        <v>939</v>
      </c>
    </row>
    <row r="179" spans="1:12">
      <c r="A179" t="s">
        <v>950</v>
      </c>
      <c r="B179" s="3">
        <v>41486</v>
      </c>
      <c r="C179" s="4">
        <v>52.963999999999999</v>
      </c>
      <c r="D179" s="4">
        <v>54.5274</v>
      </c>
      <c r="E179" s="4" t="e">
        <v>#N/A</v>
      </c>
      <c r="F179" s="4">
        <v>50.389099999999999</v>
      </c>
      <c r="G179" s="4">
        <v>51.376399999999997</v>
      </c>
      <c r="H179" s="4">
        <v>50.406599999999997</v>
      </c>
      <c r="I179" s="4">
        <v>48.426699999999997</v>
      </c>
      <c r="J179" s="4">
        <v>53.410299999999999</v>
      </c>
      <c r="K179" s="9">
        <v>103.33677</v>
      </c>
      <c r="L179" s="10">
        <v>1123</v>
      </c>
    </row>
    <row r="180" spans="1:12">
      <c r="A180" t="s">
        <v>951</v>
      </c>
      <c r="B180" s="3">
        <v>41517</v>
      </c>
      <c r="C180" s="4">
        <v>53.5779</v>
      </c>
      <c r="D180" s="4">
        <v>55.0471</v>
      </c>
      <c r="E180" s="4" t="e">
        <v>#N/A</v>
      </c>
      <c r="F180" s="4">
        <v>51.371299999999998</v>
      </c>
      <c r="G180" s="4">
        <v>50.762700000000002</v>
      </c>
      <c r="H180" s="4">
        <v>51.339599999999997</v>
      </c>
      <c r="I180" s="4">
        <v>47.839599999999997</v>
      </c>
      <c r="J180" s="4">
        <v>53.7301</v>
      </c>
      <c r="K180" s="9">
        <v>103.0515</v>
      </c>
      <c r="L180" s="10">
        <v>1088</v>
      </c>
    </row>
    <row r="181" spans="1:12">
      <c r="A181" t="s">
        <v>952</v>
      </c>
      <c r="B181" s="3">
        <v>41547</v>
      </c>
      <c r="C181" s="4">
        <v>53.703699999999998</v>
      </c>
      <c r="D181" s="4">
        <v>55.444000000000003</v>
      </c>
      <c r="E181" s="4" t="e">
        <v>#N/A</v>
      </c>
      <c r="F181" s="4">
        <v>51.108600000000003</v>
      </c>
      <c r="G181" s="4">
        <v>51.655700000000003</v>
      </c>
      <c r="H181" s="4">
        <v>51.518799999999999</v>
      </c>
      <c r="I181" s="4">
        <v>49.189799999999998</v>
      </c>
      <c r="J181" s="4">
        <v>54.471600000000002</v>
      </c>
      <c r="K181" s="9">
        <v>102.29756</v>
      </c>
      <c r="L181" s="10">
        <v>1681</v>
      </c>
    </row>
    <row r="182" spans="1:12">
      <c r="A182" t="s">
        <v>953</v>
      </c>
      <c r="B182" s="3">
        <v>41578</v>
      </c>
      <c r="C182" s="4">
        <v>53.470399999999998</v>
      </c>
      <c r="D182" s="4">
        <v>55.437199999999997</v>
      </c>
      <c r="E182" s="4" t="e">
        <v>#N/A</v>
      </c>
      <c r="F182" s="4">
        <v>52.005200000000002</v>
      </c>
      <c r="G182" s="4">
        <v>51.931199999999997</v>
      </c>
      <c r="H182" s="4">
        <v>51.8292</v>
      </c>
      <c r="I182" s="4">
        <v>49.791400000000003</v>
      </c>
      <c r="J182" s="4">
        <v>52.003799999999998</v>
      </c>
      <c r="K182" s="9">
        <v>101.04528999999999</v>
      </c>
      <c r="L182" s="10">
        <v>1883</v>
      </c>
    </row>
    <row r="183" spans="1:12">
      <c r="A183" t="s">
        <v>954</v>
      </c>
      <c r="B183" s="3">
        <v>41608</v>
      </c>
      <c r="C183" s="4">
        <v>54.427999999999997</v>
      </c>
      <c r="D183" s="4">
        <v>55.322899999999997</v>
      </c>
      <c r="E183" s="4" t="e">
        <v>#N/A</v>
      </c>
      <c r="F183" s="4">
        <v>51.807000000000002</v>
      </c>
      <c r="G183" s="4">
        <v>51.016599999999997</v>
      </c>
      <c r="H183" s="4">
        <v>52.613599999999998</v>
      </c>
      <c r="I183" s="4">
        <v>48.968499999999999</v>
      </c>
      <c r="J183" s="4">
        <v>53.6751</v>
      </c>
      <c r="K183" s="9">
        <v>101.37226</v>
      </c>
      <c r="L183" s="10">
        <v>1559</v>
      </c>
    </row>
    <row r="184" spans="1:12">
      <c r="A184" t="s">
        <v>955</v>
      </c>
      <c r="B184" s="3">
        <v>41639</v>
      </c>
      <c r="C184" s="4">
        <v>54.599200000000003</v>
      </c>
      <c r="D184" s="4">
        <v>54.955800000000004</v>
      </c>
      <c r="E184" s="4" t="e">
        <v>#N/A</v>
      </c>
      <c r="F184" s="4">
        <v>51.920200000000001</v>
      </c>
      <c r="G184" s="4">
        <v>52.0246</v>
      </c>
      <c r="H184" s="4">
        <v>52.715800000000002</v>
      </c>
      <c r="I184" s="4">
        <v>49.373100000000001</v>
      </c>
      <c r="J184" s="4">
        <v>53.436900000000001</v>
      </c>
      <c r="K184" s="9">
        <v>101.33620000000001</v>
      </c>
      <c r="L184" s="10">
        <v>2178</v>
      </c>
    </row>
    <row r="185" spans="1:12">
      <c r="A185" t="s">
        <v>956</v>
      </c>
      <c r="B185" s="3">
        <v>41670</v>
      </c>
      <c r="C185" s="4">
        <v>53.854999999999997</v>
      </c>
      <c r="D185" s="4">
        <v>54.955199999999998</v>
      </c>
      <c r="E185" s="4" t="e">
        <v>#N/A</v>
      </c>
      <c r="F185" s="4">
        <v>51.502000000000002</v>
      </c>
      <c r="G185" s="4">
        <v>51.631599999999999</v>
      </c>
      <c r="H185" s="4">
        <v>52.741399999999999</v>
      </c>
      <c r="I185" s="4">
        <v>48.895000000000003</v>
      </c>
      <c r="J185" s="4">
        <v>53.695999999999998</v>
      </c>
      <c r="K185" s="9">
        <v>102.45795</v>
      </c>
      <c r="L185" s="10">
        <v>1472</v>
      </c>
    </row>
    <row r="186" spans="1:12">
      <c r="A186" t="s">
        <v>957</v>
      </c>
      <c r="B186" s="3">
        <v>41698</v>
      </c>
      <c r="C186" s="4">
        <v>53.975700000000003</v>
      </c>
      <c r="D186" s="4">
        <v>54.135899999999999</v>
      </c>
      <c r="E186" s="4" t="e">
        <v>#N/A</v>
      </c>
      <c r="F186" s="4">
        <v>51.048499999999997</v>
      </c>
      <c r="G186" s="4">
        <v>51.305799999999998</v>
      </c>
      <c r="H186" s="4">
        <v>52.6965</v>
      </c>
      <c r="I186" s="4">
        <v>49.087400000000002</v>
      </c>
      <c r="J186" s="4">
        <v>52.514699999999998</v>
      </c>
      <c r="K186" s="9">
        <v>103.5685</v>
      </c>
      <c r="L186" s="10">
        <v>1140</v>
      </c>
    </row>
    <row r="187" spans="1:12">
      <c r="A187" t="s">
        <v>958</v>
      </c>
      <c r="B187" s="3">
        <v>41729</v>
      </c>
      <c r="C187" s="4">
        <v>52.664200000000001</v>
      </c>
      <c r="D187" s="4">
        <v>52.688899999999997</v>
      </c>
      <c r="E187" s="4" t="e">
        <v>#N/A</v>
      </c>
      <c r="F187" s="4">
        <v>50.542700000000004</v>
      </c>
      <c r="G187" s="4">
        <v>51.237400000000001</v>
      </c>
      <c r="H187" s="4">
        <v>51.9908</v>
      </c>
      <c r="I187" s="4">
        <v>49.6999</v>
      </c>
      <c r="J187" s="4">
        <v>53.378700000000002</v>
      </c>
      <c r="K187" s="9">
        <v>103.90891000000001</v>
      </c>
      <c r="L187" s="10">
        <v>1484</v>
      </c>
    </row>
    <row r="188" spans="1:12">
      <c r="A188" t="s">
        <v>959</v>
      </c>
      <c r="B188" s="3">
        <v>41759</v>
      </c>
      <c r="C188" s="4">
        <v>52.837800000000001</v>
      </c>
      <c r="D188" s="4">
        <v>53.335799999999999</v>
      </c>
      <c r="E188" s="4" t="e">
        <v>#N/A</v>
      </c>
      <c r="F188" s="4">
        <v>52.020600000000002</v>
      </c>
      <c r="G188" s="4">
        <v>51.195799999999998</v>
      </c>
      <c r="H188" s="4">
        <v>51.562899999999999</v>
      </c>
      <c r="I188" s="4">
        <v>49.800899999999999</v>
      </c>
      <c r="J188" s="4">
        <v>52.879399999999997</v>
      </c>
      <c r="K188" s="9">
        <v>103.82152000000001</v>
      </c>
      <c r="L188" s="10">
        <v>1045</v>
      </c>
    </row>
    <row r="189" spans="1:12">
      <c r="A189" t="s">
        <v>960</v>
      </c>
      <c r="B189" s="3">
        <v>41790</v>
      </c>
      <c r="C189" s="4">
        <v>53.9604</v>
      </c>
      <c r="D189" s="4">
        <v>54.113500000000002</v>
      </c>
      <c r="E189" s="4" t="e">
        <v>#N/A</v>
      </c>
      <c r="F189" s="4">
        <v>51.6633</v>
      </c>
      <c r="G189" s="4">
        <v>51.458199999999998</v>
      </c>
      <c r="H189" s="4">
        <v>51.894199999999998</v>
      </c>
      <c r="I189" s="4">
        <v>49.447299999999998</v>
      </c>
      <c r="J189" s="4">
        <v>54.2744</v>
      </c>
      <c r="K189" s="9">
        <v>103.63271</v>
      </c>
      <c r="L189" s="10">
        <v>991</v>
      </c>
    </row>
    <row r="190" spans="1:12">
      <c r="A190" t="s">
        <v>961</v>
      </c>
      <c r="B190" s="3">
        <v>41820</v>
      </c>
      <c r="C190" s="4">
        <v>55.661299999999997</v>
      </c>
      <c r="D190" s="4">
        <v>54.534999999999997</v>
      </c>
      <c r="E190" s="4" t="e">
        <v>#N/A</v>
      </c>
      <c r="F190" s="4">
        <v>51.032499999999999</v>
      </c>
      <c r="G190" s="4">
        <v>52.421399999999998</v>
      </c>
      <c r="H190" s="4">
        <v>52.460599999999999</v>
      </c>
      <c r="I190" s="4">
        <v>48.081699999999998</v>
      </c>
      <c r="J190" s="4">
        <v>55.701599999999999</v>
      </c>
      <c r="K190" s="9">
        <v>104.3494</v>
      </c>
      <c r="L190" s="10">
        <v>912</v>
      </c>
    </row>
    <row r="191" spans="1:12">
      <c r="A191" t="s">
        <v>962</v>
      </c>
      <c r="B191" s="3">
        <v>41851</v>
      </c>
      <c r="C191" s="4">
        <v>54.305900000000001</v>
      </c>
      <c r="D191" s="4">
        <v>53.881599999999999</v>
      </c>
      <c r="E191" s="4" t="e">
        <v>#N/A</v>
      </c>
      <c r="F191" s="4">
        <v>50.523099999999999</v>
      </c>
      <c r="G191" s="4">
        <v>51.472499999999997</v>
      </c>
      <c r="H191" s="4">
        <v>52.3399</v>
      </c>
      <c r="I191" s="4">
        <v>49.499400000000001</v>
      </c>
      <c r="J191" s="4">
        <v>55.598100000000002</v>
      </c>
      <c r="K191" s="9">
        <v>103.88448</v>
      </c>
      <c r="L191" s="10">
        <v>796</v>
      </c>
    </row>
    <row r="192" spans="1:12">
      <c r="A192" t="s">
        <v>963</v>
      </c>
      <c r="B192" s="3">
        <v>41882</v>
      </c>
      <c r="C192" s="4">
        <v>54.674900000000001</v>
      </c>
      <c r="D192" s="4">
        <v>53.827100000000002</v>
      </c>
      <c r="E192" s="4" t="e">
        <v>#N/A</v>
      </c>
      <c r="F192" s="4">
        <v>51.059800000000003</v>
      </c>
      <c r="G192" s="4">
        <v>51.314500000000002</v>
      </c>
      <c r="H192" s="4">
        <v>52.401499999999999</v>
      </c>
      <c r="I192" s="4">
        <v>49.894199999999998</v>
      </c>
      <c r="J192" s="4">
        <v>55.4818</v>
      </c>
      <c r="K192" s="9">
        <v>104.59177</v>
      </c>
      <c r="L192" s="10">
        <v>937</v>
      </c>
    </row>
    <row r="193" spans="1:12">
      <c r="A193" t="s">
        <v>772</v>
      </c>
      <c r="B193" s="3">
        <v>41912</v>
      </c>
      <c r="C193" s="4">
        <v>54.871899999999997</v>
      </c>
      <c r="D193" s="4">
        <v>53.391399999999997</v>
      </c>
      <c r="E193" s="4">
        <v>52.314399999999999</v>
      </c>
      <c r="F193" s="4">
        <v>51.731999999999999</v>
      </c>
      <c r="G193" s="4">
        <v>51.629899999999999</v>
      </c>
      <c r="H193" s="4">
        <v>52.0306</v>
      </c>
      <c r="I193" s="4">
        <v>49.771099999999997</v>
      </c>
      <c r="J193" s="4">
        <v>55.372500000000002</v>
      </c>
      <c r="K193" s="9">
        <v>105.82613000000001</v>
      </c>
      <c r="L193" s="10">
        <v>1123</v>
      </c>
    </row>
    <row r="194" spans="1:12">
      <c r="A194" t="s">
        <v>964</v>
      </c>
      <c r="B194" s="3">
        <v>41943</v>
      </c>
      <c r="C194" s="4">
        <v>53.882800000000003</v>
      </c>
      <c r="D194" s="4">
        <v>53.0991</v>
      </c>
      <c r="E194" s="4">
        <v>51.151499999999999</v>
      </c>
      <c r="F194" s="4">
        <v>50.406799999999997</v>
      </c>
      <c r="G194" s="4">
        <v>51.413899999999998</v>
      </c>
      <c r="H194" s="4">
        <v>52.074800000000003</v>
      </c>
      <c r="I194" s="4">
        <v>50.241300000000003</v>
      </c>
      <c r="J194" s="4">
        <v>53.802599999999998</v>
      </c>
      <c r="K194" s="9">
        <v>106.26819</v>
      </c>
      <c r="L194" s="10">
        <v>1101</v>
      </c>
    </row>
    <row r="195" spans="1:12">
      <c r="A195" t="s">
        <v>965</v>
      </c>
      <c r="B195" s="3">
        <v>41973</v>
      </c>
      <c r="C195" s="4">
        <v>53.289200000000001</v>
      </c>
      <c r="D195" s="4">
        <v>52.606400000000001</v>
      </c>
      <c r="E195" s="4">
        <v>50.639699999999998</v>
      </c>
      <c r="F195" s="4">
        <v>50.807299999999998</v>
      </c>
      <c r="G195" s="4">
        <v>51.643000000000001</v>
      </c>
      <c r="H195" s="4">
        <v>51.664900000000003</v>
      </c>
      <c r="I195" s="4">
        <v>49.801099999999998</v>
      </c>
      <c r="J195" s="4">
        <v>53.584600000000002</v>
      </c>
      <c r="K195" s="9">
        <v>107.22942999999999</v>
      </c>
      <c r="L195" s="10">
        <v>1332</v>
      </c>
    </row>
    <row r="196" spans="1:12">
      <c r="A196" t="s">
        <v>966</v>
      </c>
      <c r="B196" s="3">
        <v>42004</v>
      </c>
      <c r="C196" s="4">
        <v>52.1999</v>
      </c>
      <c r="D196" s="4">
        <v>52.561300000000003</v>
      </c>
      <c r="E196" s="4">
        <v>51.121099999999998</v>
      </c>
      <c r="F196" s="4">
        <v>50.136899999999997</v>
      </c>
      <c r="G196" s="4">
        <v>51.164000000000001</v>
      </c>
      <c r="H196" s="4">
        <v>51.448099999999997</v>
      </c>
      <c r="I196" s="4">
        <v>49.691899999999997</v>
      </c>
      <c r="J196" s="4">
        <v>52.686399999999999</v>
      </c>
      <c r="K196" s="9">
        <v>108.11973999999999</v>
      </c>
      <c r="L196" s="10">
        <v>910</v>
      </c>
    </row>
    <row r="197" spans="1:12">
      <c r="A197" t="s">
        <v>967</v>
      </c>
      <c r="B197" s="3">
        <v>42035</v>
      </c>
      <c r="C197" s="4">
        <v>52.109200000000001</v>
      </c>
      <c r="D197" s="4">
        <v>50.257599999999996</v>
      </c>
      <c r="E197" s="4">
        <v>50.797699999999999</v>
      </c>
      <c r="F197" s="4">
        <v>49.838999999999999</v>
      </c>
      <c r="G197" s="4">
        <v>51.474899999999998</v>
      </c>
      <c r="H197" s="4">
        <v>51.489199999999997</v>
      </c>
      <c r="I197" s="4">
        <v>49.41</v>
      </c>
      <c r="J197" s="4">
        <v>52.901299999999999</v>
      </c>
      <c r="K197" s="9">
        <v>108.27733000000001</v>
      </c>
      <c r="L197" s="10">
        <v>725</v>
      </c>
    </row>
    <row r="198" spans="1:12">
      <c r="A198" t="s">
        <v>968</v>
      </c>
      <c r="B198" s="3">
        <v>42063</v>
      </c>
      <c r="C198" s="4">
        <v>53.836599999999997</v>
      </c>
      <c r="D198" s="4">
        <v>51.072800000000001</v>
      </c>
      <c r="E198" s="4">
        <v>50.860599999999998</v>
      </c>
      <c r="F198" s="4">
        <v>50.525500000000001</v>
      </c>
      <c r="G198" s="4">
        <v>51.570700000000002</v>
      </c>
      <c r="H198" s="4">
        <v>51.804499999999997</v>
      </c>
      <c r="I198" s="4">
        <v>49.8626</v>
      </c>
      <c r="J198" s="4">
        <v>54.105699999999999</v>
      </c>
      <c r="K198" s="9">
        <v>109.15075</v>
      </c>
      <c r="L198" s="10">
        <v>539</v>
      </c>
    </row>
    <row r="199" spans="1:12">
      <c r="A199" t="s">
        <v>969</v>
      </c>
      <c r="B199" s="3">
        <v>42094</v>
      </c>
      <c r="C199" s="4">
        <v>54.1723</v>
      </c>
      <c r="D199" s="4">
        <v>52.280299999999997</v>
      </c>
      <c r="E199" s="4">
        <v>50.627499999999998</v>
      </c>
      <c r="F199" s="4">
        <v>50.502200000000002</v>
      </c>
      <c r="G199" s="4">
        <v>51.555399999999999</v>
      </c>
      <c r="H199" s="4">
        <v>51.397500000000001</v>
      </c>
      <c r="I199" s="4">
        <v>49.325800000000001</v>
      </c>
      <c r="J199" s="4">
        <v>54.997999999999998</v>
      </c>
      <c r="K199" s="9">
        <v>110.81075</v>
      </c>
      <c r="L199" s="10">
        <v>576</v>
      </c>
    </row>
    <row r="200" spans="1:12">
      <c r="A200" t="s">
        <v>970</v>
      </c>
      <c r="B200" s="3">
        <v>42124</v>
      </c>
      <c r="C200" s="4">
        <v>53.749699999999997</v>
      </c>
      <c r="D200" s="4">
        <v>52.444099999999999</v>
      </c>
      <c r="E200" s="4">
        <v>50.325699999999998</v>
      </c>
      <c r="F200" s="4">
        <v>50.786200000000001</v>
      </c>
      <c r="G200" s="4">
        <v>52.056100000000001</v>
      </c>
      <c r="H200" s="4">
        <v>50.732500000000002</v>
      </c>
      <c r="I200" s="4">
        <v>49.476100000000002</v>
      </c>
      <c r="J200" s="4">
        <v>54.699300000000001</v>
      </c>
      <c r="K200" s="9">
        <v>109.32863999999999</v>
      </c>
      <c r="L200" s="10">
        <v>591</v>
      </c>
    </row>
    <row r="201" spans="1:12">
      <c r="A201" t="s">
        <v>971</v>
      </c>
      <c r="B201" s="3">
        <v>42155</v>
      </c>
      <c r="C201" s="4">
        <v>53.261200000000002</v>
      </c>
      <c r="D201" s="4">
        <v>53.464700000000001</v>
      </c>
      <c r="E201" s="4">
        <v>49.935600000000001</v>
      </c>
      <c r="F201" s="4">
        <v>50.828499999999998</v>
      </c>
      <c r="G201" s="4">
        <v>52.277799999999999</v>
      </c>
      <c r="H201" s="4">
        <v>50.955500000000001</v>
      </c>
      <c r="I201" s="4">
        <v>49.093000000000004</v>
      </c>
      <c r="J201" s="4">
        <v>53.988999999999997</v>
      </c>
      <c r="K201" s="9">
        <v>110.09966</v>
      </c>
      <c r="L201" s="10">
        <v>597</v>
      </c>
    </row>
    <row r="202" spans="1:12">
      <c r="A202" t="s">
        <v>972</v>
      </c>
      <c r="B202" s="3">
        <v>42185</v>
      </c>
      <c r="C202" s="4">
        <v>53.179400000000001</v>
      </c>
      <c r="D202" s="4">
        <v>54.079900000000002</v>
      </c>
      <c r="E202" s="4">
        <v>50.891500000000001</v>
      </c>
      <c r="F202" s="4">
        <v>51.088799999999999</v>
      </c>
      <c r="G202" s="4">
        <v>51.542099999999998</v>
      </c>
      <c r="H202" s="4">
        <v>50.866199999999999</v>
      </c>
      <c r="I202" s="4">
        <v>49.079900000000002</v>
      </c>
      <c r="J202" s="4">
        <v>53.299199999999999</v>
      </c>
      <c r="K202" s="9">
        <v>111.99244</v>
      </c>
      <c r="L202" s="10">
        <v>699</v>
      </c>
    </row>
    <row r="203" spans="1:12">
      <c r="A203" t="s">
        <v>973</v>
      </c>
      <c r="B203" s="3">
        <v>42216</v>
      </c>
      <c r="C203" s="4">
        <v>53.7926</v>
      </c>
      <c r="D203" s="4">
        <v>53.366100000000003</v>
      </c>
      <c r="E203" s="4">
        <v>50.080399999999997</v>
      </c>
      <c r="F203" s="4">
        <v>50.686100000000003</v>
      </c>
      <c r="G203" s="4">
        <v>51.644399999999997</v>
      </c>
      <c r="H203" s="4">
        <v>50.664999999999999</v>
      </c>
      <c r="I203" s="4">
        <v>49.382300000000001</v>
      </c>
      <c r="J203" s="4">
        <v>53.816800000000001</v>
      </c>
      <c r="K203" s="9">
        <v>113.38925999999999</v>
      </c>
      <c r="L203" s="10">
        <v>975</v>
      </c>
    </row>
    <row r="204" spans="1:12">
      <c r="A204" t="s">
        <v>974</v>
      </c>
      <c r="B204" s="3">
        <v>42247</v>
      </c>
      <c r="C204" s="4">
        <v>52.966900000000003</v>
      </c>
      <c r="D204" s="4">
        <v>52.161700000000003</v>
      </c>
      <c r="E204" s="4">
        <v>49.785499999999999</v>
      </c>
      <c r="F204" s="4">
        <v>50.049500000000002</v>
      </c>
      <c r="G204" s="4">
        <v>51.611800000000002</v>
      </c>
      <c r="H204" s="4">
        <v>50.3521</v>
      </c>
      <c r="I204" s="4">
        <v>48.784799999999997</v>
      </c>
      <c r="J204" s="4">
        <v>54.103499999999997</v>
      </c>
      <c r="K204" s="9">
        <v>115.06005</v>
      </c>
      <c r="L204" s="10">
        <v>1066</v>
      </c>
    </row>
    <row r="205" spans="1:12">
      <c r="A205" t="s">
        <v>975</v>
      </c>
      <c r="B205" s="3">
        <v>42277</v>
      </c>
      <c r="C205" s="4">
        <v>52.506799999999998</v>
      </c>
      <c r="D205" s="4">
        <v>51.9343</v>
      </c>
      <c r="E205" s="4">
        <v>48.998600000000003</v>
      </c>
      <c r="F205" s="4">
        <v>49.655999999999999</v>
      </c>
      <c r="G205" s="4">
        <v>51.386000000000003</v>
      </c>
      <c r="H205" s="4">
        <v>50.21</v>
      </c>
      <c r="I205" s="4">
        <v>50.123600000000003</v>
      </c>
      <c r="J205" s="4">
        <v>53.019599999999997</v>
      </c>
      <c r="K205" s="9">
        <v>114.12487</v>
      </c>
      <c r="L205" s="10">
        <v>889</v>
      </c>
    </row>
    <row r="206" spans="1:12">
      <c r="A206" t="s">
        <v>976</v>
      </c>
      <c r="B206" s="3">
        <v>42308</v>
      </c>
      <c r="C206" s="4">
        <v>52.619500000000002</v>
      </c>
      <c r="D206" s="4">
        <v>52.145000000000003</v>
      </c>
      <c r="E206" s="4">
        <v>50.881500000000003</v>
      </c>
      <c r="F206" s="4">
        <v>50.134599999999999</v>
      </c>
      <c r="G206" s="4">
        <v>50.924500000000002</v>
      </c>
      <c r="H206" s="4">
        <v>50.880499999999998</v>
      </c>
      <c r="I206" s="4">
        <v>49.177700000000002</v>
      </c>
      <c r="J206" s="4">
        <v>53.25</v>
      </c>
      <c r="K206" s="9">
        <v>112.80417</v>
      </c>
      <c r="L206" s="10">
        <v>793</v>
      </c>
    </row>
    <row r="207" spans="1:12">
      <c r="A207" t="s">
        <v>977</v>
      </c>
      <c r="B207" s="3">
        <v>42338</v>
      </c>
      <c r="C207" s="4">
        <v>53.0501</v>
      </c>
      <c r="D207" s="4">
        <v>51.643099999999997</v>
      </c>
      <c r="E207" s="4">
        <v>50.780500000000004</v>
      </c>
      <c r="F207" s="4">
        <v>50.154899999999998</v>
      </c>
      <c r="G207" s="4">
        <v>51.2943</v>
      </c>
      <c r="H207" s="4">
        <v>50.865200000000002</v>
      </c>
      <c r="I207" s="4">
        <v>48.566200000000002</v>
      </c>
      <c r="J207" s="4">
        <v>53.705800000000004</v>
      </c>
      <c r="K207" s="9">
        <v>113.92594</v>
      </c>
      <c r="L207" s="10">
        <v>582</v>
      </c>
    </row>
    <row r="208" spans="1:12">
      <c r="A208" t="s">
        <v>978</v>
      </c>
      <c r="B208" s="3">
        <v>42369</v>
      </c>
      <c r="C208" s="4">
        <v>51.993000000000002</v>
      </c>
      <c r="D208" s="4">
        <v>51.621299999999998</v>
      </c>
      <c r="E208" s="4">
        <v>50.191200000000002</v>
      </c>
      <c r="F208" s="4">
        <v>49.877699999999997</v>
      </c>
      <c r="G208" s="4">
        <v>51.327100000000002</v>
      </c>
      <c r="H208" s="4">
        <v>50.582999999999998</v>
      </c>
      <c r="I208" s="4">
        <v>49.451300000000003</v>
      </c>
      <c r="J208" s="4">
        <v>52.8384</v>
      </c>
      <c r="K208" s="9">
        <v>113.83208</v>
      </c>
      <c r="L208" s="10">
        <v>519</v>
      </c>
    </row>
    <row r="209" spans="1:12">
      <c r="A209" t="s">
        <v>979</v>
      </c>
      <c r="B209" s="3">
        <v>42400</v>
      </c>
      <c r="C209" s="4">
        <v>52.203699999999998</v>
      </c>
      <c r="D209" s="4">
        <v>51.370399999999997</v>
      </c>
      <c r="E209" s="4">
        <v>50.039200000000001</v>
      </c>
      <c r="F209" s="4">
        <v>50.037999999999997</v>
      </c>
      <c r="G209" s="4">
        <v>51.615099999999998</v>
      </c>
      <c r="H209" s="4">
        <v>50.738399999999999</v>
      </c>
      <c r="I209" s="4">
        <v>49.241999999999997</v>
      </c>
      <c r="J209" s="4">
        <v>52.749400000000001</v>
      </c>
      <c r="K209" s="9">
        <v>115.68652</v>
      </c>
      <c r="L209" s="10">
        <v>386</v>
      </c>
    </row>
    <row r="210" spans="1:12">
      <c r="A210" t="s">
        <v>980</v>
      </c>
      <c r="B210" s="3">
        <v>42429</v>
      </c>
      <c r="C210" s="4">
        <v>51.3367</v>
      </c>
      <c r="D210" s="4">
        <v>51.762900000000002</v>
      </c>
      <c r="E210" s="4">
        <v>49.235100000000003</v>
      </c>
      <c r="F210" s="4">
        <v>49.834699999999998</v>
      </c>
      <c r="G210" s="4">
        <v>51.054499999999997</v>
      </c>
      <c r="H210" s="4">
        <v>49.842399999999998</v>
      </c>
      <c r="I210" s="4">
        <v>48.4251</v>
      </c>
      <c r="J210" s="4">
        <v>50.682600000000001</v>
      </c>
      <c r="K210" s="9">
        <v>114.31194000000001</v>
      </c>
      <c r="L210" s="10">
        <v>307</v>
      </c>
    </row>
    <row r="211" spans="1:12">
      <c r="A211" t="s">
        <v>981</v>
      </c>
      <c r="B211" s="3">
        <v>42460</v>
      </c>
      <c r="C211" s="4">
        <v>51.090600000000002</v>
      </c>
      <c r="D211" s="4">
        <v>52.033799999999999</v>
      </c>
      <c r="E211" s="4">
        <v>49.593499999999999</v>
      </c>
      <c r="F211" s="4">
        <v>50.224800000000002</v>
      </c>
      <c r="G211" s="4">
        <v>50.682899999999997</v>
      </c>
      <c r="H211" s="4">
        <v>50.551900000000003</v>
      </c>
      <c r="I211" s="4">
        <v>48.7453</v>
      </c>
      <c r="J211" s="4">
        <v>51.358600000000003</v>
      </c>
      <c r="K211" s="9">
        <v>112.06254</v>
      </c>
      <c r="L211" s="10">
        <v>383</v>
      </c>
    </row>
    <row r="212" spans="1:12">
      <c r="A212" t="s">
        <v>982</v>
      </c>
      <c r="B212" s="3">
        <v>42490</v>
      </c>
      <c r="C212" s="4">
        <v>51.403500000000001</v>
      </c>
      <c r="D212" s="4">
        <v>52.979399999999998</v>
      </c>
      <c r="E212" s="4">
        <v>49.365200000000002</v>
      </c>
      <c r="F212" s="4">
        <v>50.3354</v>
      </c>
      <c r="G212" s="4">
        <v>50.623100000000001</v>
      </c>
      <c r="H212" s="4">
        <v>50.118099999999998</v>
      </c>
      <c r="I212" s="4">
        <v>47.647199999999998</v>
      </c>
      <c r="J212" s="4">
        <v>51.721899999999998</v>
      </c>
      <c r="K212" s="9">
        <v>110.3972</v>
      </c>
      <c r="L212" s="10">
        <v>607</v>
      </c>
    </row>
    <row r="213" spans="1:12">
      <c r="A213" t="s">
        <v>983</v>
      </c>
      <c r="B213" s="3">
        <v>42521</v>
      </c>
      <c r="C213" s="4">
        <v>51.233899999999998</v>
      </c>
      <c r="D213" s="4">
        <v>53.5428</v>
      </c>
      <c r="E213" s="4">
        <v>49.112299999999998</v>
      </c>
      <c r="F213" s="4">
        <v>50.591299999999997</v>
      </c>
      <c r="G213" s="4">
        <v>50.614400000000003</v>
      </c>
      <c r="H213" s="4">
        <v>50.057699999999997</v>
      </c>
      <c r="I213" s="4">
        <v>48.421100000000003</v>
      </c>
      <c r="J213" s="4">
        <v>51.315300000000001</v>
      </c>
      <c r="K213" s="9">
        <v>112.35709</v>
      </c>
      <c r="L213" s="10">
        <v>620</v>
      </c>
    </row>
    <row r="214" spans="1:12">
      <c r="A214" t="s">
        <v>984</v>
      </c>
      <c r="B214" s="3">
        <v>42551</v>
      </c>
      <c r="C214" s="4">
        <v>51.458300000000001</v>
      </c>
      <c r="D214" s="4">
        <v>53.197200000000002</v>
      </c>
      <c r="E214" s="4">
        <v>49.677399999999999</v>
      </c>
      <c r="F214" s="4">
        <v>50.543799999999997</v>
      </c>
      <c r="G214" s="4">
        <v>50.720700000000001</v>
      </c>
      <c r="H214" s="4">
        <v>50.270299999999999</v>
      </c>
      <c r="I214" s="4">
        <v>48.788699999999999</v>
      </c>
      <c r="J214" s="4">
        <v>51.387500000000003</v>
      </c>
      <c r="K214" s="9">
        <v>114.00440999999999</v>
      </c>
      <c r="L214" s="10">
        <v>608</v>
      </c>
    </row>
    <row r="215" spans="1:12">
      <c r="A215" t="s">
        <v>985</v>
      </c>
      <c r="B215" s="3">
        <v>42582</v>
      </c>
      <c r="C215" s="4">
        <v>51.841900000000003</v>
      </c>
      <c r="D215" s="4">
        <v>53.210599999999999</v>
      </c>
      <c r="E215" s="4">
        <v>49.8705</v>
      </c>
      <c r="F215" s="4">
        <v>50.755099999999999</v>
      </c>
      <c r="G215" s="4">
        <v>50.841200000000001</v>
      </c>
      <c r="H215" s="4">
        <v>50.924599999999998</v>
      </c>
      <c r="I215" s="4">
        <v>49.028199999999998</v>
      </c>
      <c r="J215" s="4">
        <v>51.4148</v>
      </c>
      <c r="K215" s="9">
        <v>114.51033</v>
      </c>
      <c r="L215" s="10">
        <v>707</v>
      </c>
    </row>
    <row r="216" spans="1:12">
      <c r="A216" t="s">
        <v>986</v>
      </c>
      <c r="B216" s="3">
        <v>42613</v>
      </c>
      <c r="C216" s="4">
        <v>51.986899999999999</v>
      </c>
      <c r="D216" s="4">
        <v>52.868000000000002</v>
      </c>
      <c r="E216" s="4">
        <v>50.253700000000002</v>
      </c>
      <c r="F216" s="4">
        <v>50.501399999999997</v>
      </c>
      <c r="G216" s="4">
        <v>50.427</v>
      </c>
      <c r="H216" s="4">
        <v>50.710599999999999</v>
      </c>
      <c r="I216" s="4">
        <v>49.1541</v>
      </c>
      <c r="J216" s="4">
        <v>51.515500000000003</v>
      </c>
      <c r="K216" s="9">
        <v>113.07805</v>
      </c>
      <c r="L216" s="10">
        <v>673</v>
      </c>
    </row>
    <row r="217" spans="1:12">
      <c r="A217" t="s">
        <v>987</v>
      </c>
      <c r="B217" s="3">
        <v>42643</v>
      </c>
      <c r="C217" s="4">
        <v>51.887099999999997</v>
      </c>
      <c r="D217" s="4">
        <v>52.906599999999997</v>
      </c>
      <c r="E217" s="4">
        <v>50.389000000000003</v>
      </c>
      <c r="F217" s="4">
        <v>50.607700000000001</v>
      </c>
      <c r="G217" s="4">
        <v>50.4861</v>
      </c>
      <c r="H217" s="4">
        <v>51.026499999999999</v>
      </c>
      <c r="I217" s="4">
        <v>49.292000000000002</v>
      </c>
      <c r="J217" s="4">
        <v>51.722000000000001</v>
      </c>
      <c r="K217" s="9">
        <v>113.35992</v>
      </c>
      <c r="L217" s="10">
        <v>828</v>
      </c>
    </row>
    <row r="218" spans="1:12">
      <c r="A218" t="s">
        <v>988</v>
      </c>
      <c r="B218" s="3">
        <v>42674</v>
      </c>
      <c r="C218" s="4">
        <v>53.076300000000003</v>
      </c>
      <c r="D218" s="4">
        <v>54.720399999999998</v>
      </c>
      <c r="E218" s="4">
        <v>50.452199999999998</v>
      </c>
      <c r="F218" s="4">
        <v>51.703200000000002</v>
      </c>
      <c r="G218" s="4">
        <v>50.752600000000001</v>
      </c>
      <c r="H218" s="4">
        <v>51.905799999999999</v>
      </c>
      <c r="I218" s="4">
        <v>49.534399999999998</v>
      </c>
      <c r="J218" s="4">
        <v>52.996200000000002</v>
      </c>
      <c r="K218" s="9">
        <v>113.89323</v>
      </c>
      <c r="L218" s="10">
        <v>868</v>
      </c>
    </row>
    <row r="219" spans="1:12">
      <c r="A219" t="s">
        <v>989</v>
      </c>
      <c r="B219" s="3">
        <v>42704</v>
      </c>
      <c r="C219" s="4">
        <v>53.334499999999998</v>
      </c>
      <c r="D219" s="4">
        <v>55.738700000000001</v>
      </c>
      <c r="E219" s="4">
        <v>50.747</v>
      </c>
      <c r="F219" s="4">
        <v>51.590400000000002</v>
      </c>
      <c r="G219" s="4">
        <v>51.1143</v>
      </c>
      <c r="H219" s="4">
        <v>51.926499999999997</v>
      </c>
      <c r="I219" s="4">
        <v>49.631999999999998</v>
      </c>
      <c r="J219" s="4">
        <v>53.304400000000001</v>
      </c>
      <c r="K219" s="9">
        <v>115.78691000000001</v>
      </c>
      <c r="L219" s="10">
        <v>1072</v>
      </c>
    </row>
    <row r="220" spans="1:12">
      <c r="A220" t="s">
        <v>990</v>
      </c>
      <c r="B220" s="3">
        <v>42735</v>
      </c>
      <c r="C220" s="4">
        <v>53.6646</v>
      </c>
      <c r="D220" s="4">
        <v>57.078699999999998</v>
      </c>
      <c r="E220" s="4">
        <v>50.974600000000002</v>
      </c>
      <c r="F220" s="4">
        <v>52.421500000000002</v>
      </c>
      <c r="G220" s="4">
        <v>51.881399999999999</v>
      </c>
      <c r="H220" s="4">
        <v>52.566200000000002</v>
      </c>
      <c r="I220" s="4">
        <v>49.990299999999998</v>
      </c>
      <c r="J220" s="4">
        <v>53.371499999999997</v>
      </c>
      <c r="K220" s="9">
        <v>117.50534</v>
      </c>
      <c r="L220" s="10">
        <v>1049</v>
      </c>
    </row>
    <row r="221" spans="1:12">
      <c r="A221" t="s">
        <v>991</v>
      </c>
      <c r="B221" s="3">
        <v>42766</v>
      </c>
      <c r="C221" s="4">
        <v>54.260399999999997</v>
      </c>
      <c r="D221" s="4">
        <v>57.393900000000002</v>
      </c>
      <c r="E221" s="4">
        <v>51.780700000000003</v>
      </c>
      <c r="F221" s="4">
        <v>52.252000000000002</v>
      </c>
      <c r="G221" s="4">
        <v>52.012799999999999</v>
      </c>
      <c r="H221" s="4">
        <v>52.562199999999997</v>
      </c>
      <c r="I221" s="4">
        <v>49.7896</v>
      </c>
      <c r="J221" s="4">
        <v>53.941099999999999</v>
      </c>
      <c r="K221" s="9">
        <v>117.36363</v>
      </c>
      <c r="L221" s="10">
        <v>907</v>
      </c>
    </row>
    <row r="222" spans="1:12">
      <c r="A222" t="s">
        <v>992</v>
      </c>
      <c r="B222" s="3">
        <v>42794</v>
      </c>
      <c r="C222" s="4">
        <v>53.813000000000002</v>
      </c>
      <c r="D222" s="4">
        <v>56.319000000000003</v>
      </c>
      <c r="E222" s="4">
        <v>52.198300000000003</v>
      </c>
      <c r="F222" s="4">
        <v>51.811399999999999</v>
      </c>
      <c r="G222" s="4">
        <v>52.030999999999999</v>
      </c>
      <c r="H222" s="4">
        <v>52.817399999999999</v>
      </c>
      <c r="I222" s="4">
        <v>49.361899999999999</v>
      </c>
      <c r="J222" s="4">
        <v>53.293900000000001</v>
      </c>
      <c r="K222" s="9">
        <v>116.22493</v>
      </c>
      <c r="L222" s="10">
        <v>759</v>
      </c>
    </row>
    <row r="223" spans="1:12">
      <c r="A223" t="s">
        <v>993</v>
      </c>
      <c r="B223" s="3">
        <v>42825</v>
      </c>
      <c r="C223" s="4">
        <v>53.623699999999999</v>
      </c>
      <c r="D223" s="4">
        <v>56.194200000000002</v>
      </c>
      <c r="E223" s="4">
        <v>52.156999999999996</v>
      </c>
      <c r="F223" s="4">
        <v>52.121400000000001</v>
      </c>
      <c r="G223" s="4">
        <v>51.7485</v>
      </c>
      <c r="H223" s="4">
        <v>52.806600000000003</v>
      </c>
      <c r="I223" s="4">
        <v>49.174300000000002</v>
      </c>
      <c r="J223" s="4">
        <v>53.656500000000001</v>
      </c>
      <c r="K223" s="9">
        <v>115.30238</v>
      </c>
      <c r="L223" s="10">
        <v>1141</v>
      </c>
    </row>
    <row r="224" spans="1:12">
      <c r="A224" t="s">
        <v>994</v>
      </c>
      <c r="B224" s="3">
        <v>42855</v>
      </c>
      <c r="C224" s="4">
        <v>53.505899999999997</v>
      </c>
      <c r="D224" s="4">
        <v>56.116599999999998</v>
      </c>
      <c r="E224" s="4">
        <v>52.1646</v>
      </c>
      <c r="F224" s="4">
        <v>51.856499999999997</v>
      </c>
      <c r="G224" s="4">
        <v>51.413800000000002</v>
      </c>
      <c r="H224" s="4">
        <v>52.576999999999998</v>
      </c>
      <c r="I224" s="4">
        <v>49.567</v>
      </c>
      <c r="J224" s="4">
        <v>53.697200000000002</v>
      </c>
      <c r="K224" s="9">
        <v>115.20014</v>
      </c>
      <c r="L224" s="10">
        <v>1222</v>
      </c>
    </row>
    <row r="225" spans="1:12">
      <c r="A225" t="s">
        <v>995</v>
      </c>
      <c r="B225" s="3">
        <v>42886</v>
      </c>
      <c r="C225" s="4">
        <v>53.901899999999998</v>
      </c>
      <c r="D225" s="4">
        <v>54.806199999999997</v>
      </c>
      <c r="E225" s="4">
        <v>51.9253</v>
      </c>
      <c r="F225" s="4">
        <v>51.775399999999998</v>
      </c>
      <c r="G225" s="4">
        <v>51.954300000000003</v>
      </c>
      <c r="H225" s="4">
        <v>52.425199999999997</v>
      </c>
      <c r="I225" s="4">
        <v>49.701900000000002</v>
      </c>
      <c r="J225" s="4">
        <v>53.8521</v>
      </c>
      <c r="K225" s="9">
        <v>115.02882</v>
      </c>
      <c r="L225" s="10">
        <v>973</v>
      </c>
    </row>
    <row r="226" spans="1:12">
      <c r="A226" t="s">
        <v>996</v>
      </c>
      <c r="B226" s="3">
        <v>42916</v>
      </c>
      <c r="C226" s="4">
        <v>54.063800000000001</v>
      </c>
      <c r="D226" s="4">
        <v>54.752099999999999</v>
      </c>
      <c r="E226" s="4">
        <v>52.1877</v>
      </c>
      <c r="F226" s="4">
        <v>51.932600000000001</v>
      </c>
      <c r="G226" s="4">
        <v>52.098100000000002</v>
      </c>
      <c r="H226" s="4">
        <v>52.436799999999998</v>
      </c>
      <c r="I226" s="4">
        <v>49.670099999999998</v>
      </c>
      <c r="J226" s="4">
        <v>53.783700000000003</v>
      </c>
      <c r="K226" s="9">
        <v>114.73954999999999</v>
      </c>
      <c r="L226" s="10">
        <v>860</v>
      </c>
    </row>
    <row r="227" spans="1:12">
      <c r="A227" t="s">
        <v>997</v>
      </c>
      <c r="B227" s="3">
        <v>42947</v>
      </c>
      <c r="C227" s="4">
        <v>54.201500000000003</v>
      </c>
      <c r="D227" s="4">
        <v>54.773800000000001</v>
      </c>
      <c r="E227" s="4">
        <v>51.999600000000001</v>
      </c>
      <c r="F227" s="4">
        <v>51.818300000000001</v>
      </c>
      <c r="G227" s="4">
        <v>52.3416</v>
      </c>
      <c r="H227" s="4">
        <v>52.582799999999999</v>
      </c>
      <c r="I227" s="4">
        <v>49.4163</v>
      </c>
      <c r="J227" s="4">
        <v>53.644399999999997</v>
      </c>
      <c r="K227" s="9">
        <v>113.12188999999999</v>
      </c>
      <c r="L227" s="10">
        <v>906</v>
      </c>
    </row>
    <row r="228" spans="1:12">
      <c r="A228" t="s">
        <v>998</v>
      </c>
      <c r="B228" s="3">
        <v>42978</v>
      </c>
      <c r="C228" s="4">
        <v>54.547199999999997</v>
      </c>
      <c r="D228" s="4">
        <v>55.616500000000002</v>
      </c>
      <c r="E228" s="4">
        <v>52.777299999999997</v>
      </c>
      <c r="F228" s="4">
        <v>52.613199999999999</v>
      </c>
      <c r="G228" s="4">
        <v>52.529499999999999</v>
      </c>
      <c r="H228" s="4">
        <v>53.049399999999999</v>
      </c>
      <c r="I228" s="4">
        <v>48.982599999999998</v>
      </c>
      <c r="J228" s="4">
        <v>54.020899999999997</v>
      </c>
      <c r="K228" s="9">
        <v>111.75108</v>
      </c>
      <c r="L228" s="10">
        <v>1142</v>
      </c>
    </row>
    <row r="229" spans="1:12">
      <c r="A229" t="s">
        <v>999</v>
      </c>
      <c r="B229" s="3">
        <v>43008</v>
      </c>
      <c r="C229" s="4">
        <v>54.306100000000001</v>
      </c>
      <c r="D229" s="4">
        <v>57.078099999999999</v>
      </c>
      <c r="E229" s="4">
        <v>52.057600000000001</v>
      </c>
      <c r="F229" s="4">
        <v>53.192599999999999</v>
      </c>
      <c r="G229" s="4">
        <v>52.402799999999999</v>
      </c>
      <c r="H229" s="4">
        <v>53.097499999999997</v>
      </c>
      <c r="I229" s="4">
        <v>48.980899999999998</v>
      </c>
      <c r="J229" s="4">
        <v>53.791600000000003</v>
      </c>
      <c r="K229" s="9">
        <v>110.54371999999999</v>
      </c>
      <c r="L229" s="10">
        <v>1364</v>
      </c>
    </row>
    <row r="230" spans="1:12">
      <c r="A230" t="s">
        <v>1000</v>
      </c>
      <c r="B230" s="3">
        <v>43039</v>
      </c>
      <c r="C230" s="4">
        <v>54.048900000000003</v>
      </c>
      <c r="D230" s="4">
        <v>56.6158</v>
      </c>
      <c r="E230" s="4">
        <v>52.244900000000001</v>
      </c>
      <c r="F230" s="4">
        <v>52.182299999999998</v>
      </c>
      <c r="G230" s="4">
        <v>52.540300000000002</v>
      </c>
      <c r="H230" s="4">
        <v>53.287100000000002</v>
      </c>
      <c r="I230" s="4">
        <v>49.271700000000003</v>
      </c>
      <c r="J230" s="4">
        <v>54.076300000000003</v>
      </c>
      <c r="K230" s="9">
        <v>112.14972</v>
      </c>
      <c r="L230" s="10">
        <v>1484</v>
      </c>
    </row>
    <row r="231" spans="1:12">
      <c r="A231" t="s">
        <v>1001</v>
      </c>
      <c r="B231" s="3">
        <v>43069</v>
      </c>
      <c r="C231" s="4">
        <v>54.5944</v>
      </c>
      <c r="D231" s="4">
        <v>57.338099999999997</v>
      </c>
      <c r="E231" s="4">
        <v>53.005000000000003</v>
      </c>
      <c r="F231" s="4">
        <v>53.191099999999999</v>
      </c>
      <c r="G231" s="4">
        <v>52.634399999999999</v>
      </c>
      <c r="H231" s="4">
        <v>53.7791</v>
      </c>
      <c r="I231" s="4">
        <v>49.591099999999997</v>
      </c>
      <c r="J231" s="4">
        <v>53.702500000000001</v>
      </c>
      <c r="K231" s="9">
        <v>112.28270999999999</v>
      </c>
      <c r="L231" s="10">
        <v>1454</v>
      </c>
    </row>
    <row r="232" spans="1:12">
      <c r="A232" t="s">
        <v>1002</v>
      </c>
      <c r="B232" s="3">
        <v>43100</v>
      </c>
      <c r="C232" s="4">
        <v>54.756599999999999</v>
      </c>
      <c r="D232" s="4">
        <v>56.965800000000002</v>
      </c>
      <c r="E232" s="4">
        <v>53.271700000000003</v>
      </c>
      <c r="F232" s="4">
        <v>52.768999999999998</v>
      </c>
      <c r="G232" s="4">
        <v>52.792000000000002</v>
      </c>
      <c r="H232" s="4">
        <v>54.263199999999998</v>
      </c>
      <c r="I232" s="4">
        <v>49.064900000000002</v>
      </c>
      <c r="J232" s="4">
        <v>53.847900000000003</v>
      </c>
      <c r="K232" s="9">
        <v>111.53635</v>
      </c>
      <c r="L232" s="10">
        <v>1619</v>
      </c>
    </row>
    <row r="233" spans="1:12">
      <c r="A233" t="s">
        <v>1003</v>
      </c>
      <c r="B233" s="3">
        <v>43131</v>
      </c>
      <c r="C233" s="4">
        <v>55.066400000000002</v>
      </c>
      <c r="D233" s="4">
        <v>57.570900000000002</v>
      </c>
      <c r="E233" s="4">
        <v>53.2879</v>
      </c>
      <c r="F233" s="4">
        <v>53.076599999999999</v>
      </c>
      <c r="G233" s="4">
        <v>52.801900000000003</v>
      </c>
      <c r="H233" s="4">
        <v>54.156700000000001</v>
      </c>
      <c r="I233" s="4">
        <v>49.586100000000002</v>
      </c>
      <c r="J233" s="4">
        <v>54.203800000000001</v>
      </c>
      <c r="K233" s="9">
        <v>108.9807</v>
      </c>
      <c r="L233" s="10">
        <v>1242</v>
      </c>
    </row>
    <row r="234" spans="1:12">
      <c r="A234" t="s">
        <v>1004</v>
      </c>
      <c r="B234" s="3">
        <v>43159</v>
      </c>
      <c r="C234" s="4">
        <v>55.298299999999998</v>
      </c>
      <c r="D234" s="4">
        <v>57.496299999999998</v>
      </c>
      <c r="E234" s="4">
        <v>52.732999999999997</v>
      </c>
      <c r="F234" s="4">
        <v>53.347799999999999</v>
      </c>
      <c r="G234" s="4">
        <v>52.883200000000002</v>
      </c>
      <c r="H234" s="4">
        <v>53.923499999999997</v>
      </c>
      <c r="I234" s="4">
        <v>50.361699999999999</v>
      </c>
      <c r="J234" s="4">
        <v>54.813299999999998</v>
      </c>
      <c r="K234" s="9">
        <v>109.01333</v>
      </c>
      <c r="L234" s="10">
        <v>1125</v>
      </c>
    </row>
    <row r="235" spans="1:12">
      <c r="A235" t="s">
        <v>1005</v>
      </c>
      <c r="B235" s="3">
        <v>43190</v>
      </c>
      <c r="C235" s="4">
        <v>54.091700000000003</v>
      </c>
      <c r="D235" s="4">
        <v>56.3887</v>
      </c>
      <c r="E235" s="4">
        <v>51.641800000000003</v>
      </c>
      <c r="F235" s="4">
        <v>52.805100000000003</v>
      </c>
      <c r="G235" s="4">
        <v>52.671599999999998</v>
      </c>
      <c r="H235" s="4">
        <v>53.1419</v>
      </c>
      <c r="I235" s="4">
        <v>49.684800000000003</v>
      </c>
      <c r="J235" s="4">
        <v>53.213200000000001</v>
      </c>
      <c r="K235" s="9">
        <v>108.83337</v>
      </c>
      <c r="L235" s="10">
        <v>1154</v>
      </c>
    </row>
    <row r="236" spans="1:12">
      <c r="A236" t="s">
        <v>1006</v>
      </c>
      <c r="B236" s="3">
        <v>43220</v>
      </c>
      <c r="C236" s="4">
        <v>54.901200000000003</v>
      </c>
      <c r="D236" s="4">
        <v>56.647199999999998</v>
      </c>
      <c r="E236" s="4">
        <v>51.081800000000001</v>
      </c>
      <c r="F236" s="4">
        <v>53.026299999999999</v>
      </c>
      <c r="G236" s="4">
        <v>52.783299999999997</v>
      </c>
      <c r="H236" s="4">
        <v>53.257100000000001</v>
      </c>
      <c r="I236" s="4">
        <v>49.6995</v>
      </c>
      <c r="J236" s="4">
        <v>53.790799999999997</v>
      </c>
      <c r="K236" s="9">
        <v>108.83994</v>
      </c>
      <c r="L236" s="10">
        <v>1129</v>
      </c>
    </row>
    <row r="237" spans="1:12">
      <c r="A237" t="s">
        <v>1007</v>
      </c>
      <c r="B237" s="3">
        <v>43251</v>
      </c>
      <c r="C237" s="4">
        <v>54.132399999999997</v>
      </c>
      <c r="D237" s="4">
        <v>57.509500000000003</v>
      </c>
      <c r="E237" s="4">
        <v>50.798099999999998</v>
      </c>
      <c r="F237" s="4">
        <v>53.019300000000001</v>
      </c>
      <c r="G237" s="4">
        <v>52.5334</v>
      </c>
      <c r="H237" s="4">
        <v>52.965600000000002</v>
      </c>
      <c r="I237" s="4">
        <v>49.470799999999997</v>
      </c>
      <c r="J237" s="4">
        <v>54.299100000000003</v>
      </c>
      <c r="K237" s="9">
        <v>112.58188</v>
      </c>
      <c r="L237" s="10">
        <v>1293</v>
      </c>
    </row>
    <row r="238" spans="1:12">
      <c r="A238" t="s">
        <v>1008</v>
      </c>
      <c r="B238" s="3">
        <v>43281</v>
      </c>
      <c r="C238" s="4">
        <v>54.278199999999998</v>
      </c>
      <c r="D238" s="4">
        <v>58.612499999999997</v>
      </c>
      <c r="E238" s="4">
        <v>50.528599999999997</v>
      </c>
      <c r="F238" s="4">
        <v>53.491100000000003</v>
      </c>
      <c r="G238" s="4">
        <v>52.684699999999999</v>
      </c>
      <c r="H238" s="4">
        <v>52.8444</v>
      </c>
      <c r="I238" s="4">
        <v>49.148499999999999</v>
      </c>
      <c r="J238" s="4">
        <v>54.6205</v>
      </c>
      <c r="K238" s="9">
        <v>114.70826</v>
      </c>
      <c r="L238" s="10">
        <v>1352</v>
      </c>
    </row>
    <row r="239" spans="1:12">
      <c r="A239" t="s">
        <v>1009</v>
      </c>
      <c r="B239" s="3">
        <v>43312</v>
      </c>
      <c r="C239" s="4">
        <v>53.667000000000002</v>
      </c>
      <c r="D239" s="4">
        <v>57.9129</v>
      </c>
      <c r="E239" s="4">
        <v>50.311100000000003</v>
      </c>
      <c r="F239" s="4">
        <v>53.595599999999997</v>
      </c>
      <c r="G239" s="4">
        <v>52.465600000000002</v>
      </c>
      <c r="H239" s="4">
        <v>52.6113</v>
      </c>
      <c r="I239" s="4">
        <v>49.083300000000001</v>
      </c>
      <c r="J239" s="4">
        <v>53.999499999999998</v>
      </c>
      <c r="K239" s="9">
        <v>115.09818</v>
      </c>
      <c r="L239" s="10">
        <v>1650</v>
      </c>
    </row>
    <row r="240" spans="1:12">
      <c r="A240" t="s">
        <v>1010</v>
      </c>
      <c r="B240" s="3">
        <v>43343</v>
      </c>
      <c r="C240" s="4">
        <v>53.535800000000002</v>
      </c>
      <c r="D240" s="4">
        <v>57.6372</v>
      </c>
      <c r="E240" s="4">
        <v>50.093899999999998</v>
      </c>
      <c r="F240" s="4">
        <v>53.343200000000003</v>
      </c>
      <c r="G240" s="4">
        <v>52.3367</v>
      </c>
      <c r="H240" s="4">
        <v>52.409300000000002</v>
      </c>
      <c r="I240" s="4">
        <v>49.187199999999997</v>
      </c>
      <c r="J240" s="4">
        <v>53.475999999999999</v>
      </c>
      <c r="K240" s="9">
        <v>115.68134999999999</v>
      </c>
      <c r="L240" s="10">
        <v>1710</v>
      </c>
    </row>
    <row r="241" spans="1:12">
      <c r="A241" t="s">
        <v>1011</v>
      </c>
      <c r="B241" s="3">
        <v>43373</v>
      </c>
      <c r="C241" s="4">
        <v>53.474400000000003</v>
      </c>
      <c r="D241" s="4">
        <v>57.948300000000003</v>
      </c>
      <c r="E241" s="4">
        <v>49.692500000000003</v>
      </c>
      <c r="F241" s="4">
        <v>53.795499999999997</v>
      </c>
      <c r="G241" s="4">
        <v>52.619</v>
      </c>
      <c r="H241" s="4">
        <v>52.030900000000003</v>
      </c>
      <c r="I241" s="4">
        <v>49.222799999999999</v>
      </c>
      <c r="J241" s="4">
        <v>52.943899999999999</v>
      </c>
      <c r="K241" s="9">
        <v>115.10071000000001</v>
      </c>
      <c r="L241" s="10">
        <v>1447</v>
      </c>
    </row>
    <row r="242" spans="1:12">
      <c r="A242" t="s">
        <v>1012</v>
      </c>
      <c r="B242" s="3">
        <v>43404</v>
      </c>
      <c r="C242" s="4">
        <v>53.4238</v>
      </c>
      <c r="D242" s="4">
        <v>58.350200000000001</v>
      </c>
      <c r="E242" s="4">
        <v>49.937899999999999</v>
      </c>
      <c r="F242" s="4">
        <v>53.600700000000003</v>
      </c>
      <c r="G242" s="4">
        <v>52.4786</v>
      </c>
      <c r="H242" s="4">
        <v>51.894500000000001</v>
      </c>
      <c r="I242" s="4">
        <v>49.386000000000003</v>
      </c>
      <c r="J242" s="4">
        <v>53.430100000000003</v>
      </c>
      <c r="K242" s="9">
        <v>116.21906</v>
      </c>
      <c r="L242" s="10">
        <v>1545</v>
      </c>
    </row>
    <row r="243" spans="1:12">
      <c r="A243" t="s">
        <v>1013</v>
      </c>
      <c r="B243" s="3">
        <v>43434</v>
      </c>
      <c r="C243" s="4">
        <v>53.1571</v>
      </c>
      <c r="D243" s="4">
        <v>56.887799999999999</v>
      </c>
      <c r="E243" s="4">
        <v>49.910499999999999</v>
      </c>
      <c r="F243" s="4">
        <v>52.727499999999999</v>
      </c>
      <c r="G243" s="4">
        <v>51.945700000000002</v>
      </c>
      <c r="H243" s="4">
        <v>51.820700000000002</v>
      </c>
      <c r="I243" s="4">
        <v>50.162100000000002</v>
      </c>
      <c r="J243" s="4">
        <v>53.726199999999999</v>
      </c>
      <c r="K243" s="9">
        <v>116.66649</v>
      </c>
      <c r="L243" s="10">
        <v>1192</v>
      </c>
    </row>
    <row r="244" spans="1:12">
      <c r="A244" t="s">
        <v>1014</v>
      </c>
      <c r="B244" s="3">
        <v>43465</v>
      </c>
      <c r="C244" s="4">
        <v>52.4801</v>
      </c>
      <c r="D244" s="4">
        <v>55.554200000000002</v>
      </c>
      <c r="E244" s="4">
        <v>49.797400000000003</v>
      </c>
      <c r="F244" s="4">
        <v>52.075099999999999</v>
      </c>
      <c r="G244" s="4">
        <v>51.863700000000001</v>
      </c>
      <c r="H244" s="4">
        <v>51.383400000000002</v>
      </c>
      <c r="I244" s="4">
        <v>49.702399999999997</v>
      </c>
      <c r="J244" s="4">
        <v>53.020400000000002</v>
      </c>
      <c r="K244" s="9">
        <v>116.50185</v>
      </c>
      <c r="L244" s="10">
        <v>1335</v>
      </c>
    </row>
    <row r="245" spans="1:12">
      <c r="A245" t="s">
        <v>1015</v>
      </c>
      <c r="B245" s="3">
        <v>43496</v>
      </c>
      <c r="C245" s="4">
        <v>51.834000000000003</v>
      </c>
      <c r="D245" s="4">
        <v>54.600099999999998</v>
      </c>
      <c r="E245" s="4">
        <v>49.523299999999999</v>
      </c>
      <c r="F245" s="4">
        <v>52.258299999999998</v>
      </c>
      <c r="G245" s="4">
        <v>51.615000000000002</v>
      </c>
      <c r="H245" s="4">
        <v>50.658299999999997</v>
      </c>
      <c r="I245" s="4">
        <v>49.4803</v>
      </c>
      <c r="J245" s="4">
        <v>52.672499999999999</v>
      </c>
      <c r="K245" s="9">
        <v>113.4462</v>
      </c>
      <c r="L245" s="10">
        <v>1063</v>
      </c>
    </row>
    <row r="246" spans="1:12">
      <c r="A246" t="s">
        <v>769</v>
      </c>
      <c r="B246" s="3">
        <v>43524</v>
      </c>
      <c r="C246" s="4">
        <v>52.521599999999999</v>
      </c>
      <c r="D246" s="4">
        <v>54.968899999999998</v>
      </c>
      <c r="E246" s="4">
        <v>49.513199999999998</v>
      </c>
      <c r="F246" s="4">
        <v>52.523299999999999</v>
      </c>
      <c r="G246" s="4">
        <v>52.422499999999999</v>
      </c>
      <c r="H246" s="4">
        <v>50.554499999999997</v>
      </c>
      <c r="I246" s="4">
        <v>49.004399999999997</v>
      </c>
      <c r="J246" s="4">
        <v>53.307099999999998</v>
      </c>
      <c r="K246" s="9">
        <v>113.45129</v>
      </c>
      <c r="L246" s="10">
        <v>629</v>
      </c>
    </row>
    <row r="247" spans="1:12">
      <c r="A247" t="s">
        <v>762</v>
      </c>
      <c r="B247" s="3">
        <v>43555</v>
      </c>
      <c r="C247" s="4">
        <v>52.734299999999998</v>
      </c>
      <c r="D247" s="4">
        <v>54.444800000000001</v>
      </c>
      <c r="E247" s="4">
        <v>49.402299999999997</v>
      </c>
      <c r="F247" s="4">
        <v>52.2517</v>
      </c>
      <c r="G247" s="4">
        <v>51.671199999999999</v>
      </c>
      <c r="H247" s="4">
        <v>50.492699999999999</v>
      </c>
      <c r="I247" s="4">
        <v>50.012</v>
      </c>
      <c r="J247" s="4">
        <v>53.709800000000001</v>
      </c>
      <c r="K247" s="9">
        <v>114.07975</v>
      </c>
      <c r="L247" s="10">
        <v>680</v>
      </c>
    </row>
    <row r="248" spans="1:12">
      <c r="A248" t="s">
        <v>1135</v>
      </c>
      <c r="B248" s="3">
        <v>43585</v>
      </c>
      <c r="C248" s="4">
        <v>52.130200000000002</v>
      </c>
      <c r="D248" s="4">
        <v>54.329799999999999</v>
      </c>
      <c r="E248" s="4">
        <v>49.456099999999999</v>
      </c>
      <c r="F248" s="4">
        <v>51.645299999999999</v>
      </c>
      <c r="G248" s="4">
        <v>51.784199999999998</v>
      </c>
      <c r="H248" s="4">
        <v>50.417900000000003</v>
      </c>
      <c r="I248" s="4">
        <v>49.485199999999999</v>
      </c>
      <c r="J248" s="4">
        <v>52.707999999999998</v>
      </c>
      <c r="K248" s="9">
        <v>114.212</v>
      </c>
      <c r="L248" s="10">
        <v>773</v>
      </c>
    </row>
    <row r="249" spans="1:12">
      <c r="A249" t="s">
        <v>1142</v>
      </c>
      <c r="B249" s="3">
        <v>43616</v>
      </c>
      <c r="C249" s="4">
        <v>51.298499999999997</v>
      </c>
      <c r="D249" s="4">
        <v>53.836500000000001</v>
      </c>
      <c r="E249" s="4">
        <v>49.363199999999999</v>
      </c>
      <c r="F249" s="4">
        <v>51.072099999999999</v>
      </c>
      <c r="G249" s="4">
        <v>51.560600000000001</v>
      </c>
      <c r="H249" s="4">
        <v>49.816600000000001</v>
      </c>
      <c r="I249" s="4">
        <v>49.133099999999999</v>
      </c>
      <c r="J249" s="4">
        <v>51.598999999999997</v>
      </c>
      <c r="K249" s="9">
        <v>115.33038000000001</v>
      </c>
      <c r="L249" s="10">
        <v>1036</v>
      </c>
    </row>
    <row r="250" spans="1:12">
      <c r="A250" t="s">
        <v>1151</v>
      </c>
      <c r="B250" s="3">
        <v>43646</v>
      </c>
      <c r="C250" s="4">
        <v>51.596400000000003</v>
      </c>
      <c r="D250" s="4">
        <v>53.692500000000003</v>
      </c>
      <c r="E250" s="4">
        <v>49.103000000000002</v>
      </c>
      <c r="F250" s="4">
        <v>51.5276</v>
      </c>
      <c r="G250" s="4">
        <v>51.286200000000001</v>
      </c>
      <c r="H250" s="4">
        <v>49.398000000000003</v>
      </c>
      <c r="I250" s="4">
        <v>49.360700000000001</v>
      </c>
      <c r="J250" s="4">
        <v>51.913499999999999</v>
      </c>
      <c r="K250" s="9">
        <v>114.9323</v>
      </c>
      <c r="L250" s="10">
        <v>1174</v>
      </c>
    </row>
    <row r="251" spans="1:12">
      <c r="A251" t="s">
        <v>1155</v>
      </c>
      <c r="B251" s="3">
        <v>43677</v>
      </c>
      <c r="C251" s="4">
        <v>52.060699999999997</v>
      </c>
      <c r="D251" s="4">
        <v>53.365900000000003</v>
      </c>
      <c r="E251" s="4">
        <v>48.980899999999998</v>
      </c>
      <c r="F251" s="4">
        <v>50.818600000000004</v>
      </c>
      <c r="G251" s="4">
        <v>51.090200000000003</v>
      </c>
      <c r="H251" s="4">
        <v>49.331499999999998</v>
      </c>
      <c r="I251" s="4">
        <v>48.792000000000002</v>
      </c>
      <c r="J251" s="4">
        <v>52.525799999999997</v>
      </c>
      <c r="K251" s="9">
        <v>114.73869999999999</v>
      </c>
      <c r="L251" s="10">
        <v>1870</v>
      </c>
    </row>
    <row r="252" spans="1:12">
      <c r="A252" t="s">
        <v>1161</v>
      </c>
      <c r="B252" s="3">
        <v>43708</v>
      </c>
      <c r="C252" s="4">
        <v>51.071100000000001</v>
      </c>
      <c r="D252" s="4">
        <v>52.214700000000001</v>
      </c>
      <c r="E252" s="4">
        <v>47.9617</v>
      </c>
      <c r="F252" s="4">
        <v>50.222200000000001</v>
      </c>
      <c r="G252" s="4">
        <v>50.720700000000001</v>
      </c>
      <c r="H252" s="4">
        <v>49.546399999999998</v>
      </c>
      <c r="I252" s="4">
        <v>49.368299999999998</v>
      </c>
      <c r="J252" s="4">
        <v>51.749299999999998</v>
      </c>
      <c r="K252" s="9">
        <v>116.47369999999999</v>
      </c>
      <c r="L252" s="10">
        <v>1982</v>
      </c>
    </row>
    <row r="253" spans="1:12">
      <c r="A253" t="s">
        <v>1162</v>
      </c>
      <c r="B253" s="3">
        <v>43738</v>
      </c>
      <c r="C253" s="4">
        <v>50.883200000000002</v>
      </c>
      <c r="D253" s="4">
        <v>51.9709</v>
      </c>
      <c r="E253" s="4">
        <v>48.203000000000003</v>
      </c>
      <c r="F253" s="4">
        <v>50.437100000000001</v>
      </c>
      <c r="G253" s="4">
        <v>50.251300000000001</v>
      </c>
      <c r="H253" s="4">
        <v>49.756</v>
      </c>
      <c r="I253" s="4">
        <v>49.258600000000001</v>
      </c>
      <c r="J253" s="4">
        <v>51.3949</v>
      </c>
      <c r="K253" s="9">
        <v>115.84856000000001</v>
      </c>
      <c r="L253" s="10">
        <v>2255</v>
      </c>
    </row>
    <row r="254" spans="1:12">
      <c r="A254" t="s">
        <v>1165</v>
      </c>
      <c r="B254" s="3">
        <v>43769</v>
      </c>
      <c r="C254" s="4">
        <v>50.798099999999998</v>
      </c>
      <c r="D254" s="4">
        <v>53.134700000000002</v>
      </c>
      <c r="E254" s="4">
        <v>49.0839</v>
      </c>
      <c r="F254" s="4">
        <v>50.947499999999998</v>
      </c>
      <c r="G254" s="4">
        <v>49.826599999999999</v>
      </c>
      <c r="H254" s="4">
        <v>49.843499999999999</v>
      </c>
      <c r="I254" s="4">
        <v>48.179099999999998</v>
      </c>
      <c r="J254" s="4">
        <v>51.018900000000002</v>
      </c>
      <c r="K254" s="9">
        <v>115.67399</v>
      </c>
      <c r="L254" s="10">
        <v>1826</v>
      </c>
    </row>
    <row r="255" spans="1:12">
      <c r="A255" t="s">
        <v>1167</v>
      </c>
      <c r="B255" s="3">
        <v>43799</v>
      </c>
      <c r="C255" s="4">
        <v>51.168399999999998</v>
      </c>
      <c r="D255" s="4">
        <v>53.0593</v>
      </c>
      <c r="E255" s="4">
        <v>49.088500000000003</v>
      </c>
      <c r="F255" s="4">
        <v>50.766399999999997</v>
      </c>
      <c r="G255" s="4">
        <v>50.8596</v>
      </c>
      <c r="H255" s="4">
        <v>50.326999999999998</v>
      </c>
      <c r="I255" s="4">
        <v>48.761099999999999</v>
      </c>
      <c r="J255" s="4">
        <v>51.630800000000001</v>
      </c>
      <c r="K255" s="9">
        <v>115.69779</v>
      </c>
      <c r="L255" s="10">
        <v>1419</v>
      </c>
    </row>
    <row r="256" spans="1:12">
      <c r="A256" t="s">
        <v>1168</v>
      </c>
      <c r="B256" s="3">
        <v>43830</v>
      </c>
      <c r="C256" s="4">
        <v>51.906700000000001</v>
      </c>
      <c r="D256" s="4">
        <v>53.325699999999998</v>
      </c>
      <c r="E256" s="4">
        <v>49.351599999999998</v>
      </c>
      <c r="F256" s="4">
        <v>51.328899999999997</v>
      </c>
      <c r="G256" s="4">
        <v>50.932099999999998</v>
      </c>
      <c r="H256" s="4">
        <v>50.070500000000003</v>
      </c>
      <c r="I256" s="4">
        <v>49.223700000000001</v>
      </c>
      <c r="J256" s="4">
        <v>51.988700000000001</v>
      </c>
      <c r="K256" s="9">
        <v>114.88596</v>
      </c>
      <c r="L256" s="10">
        <v>1381</v>
      </c>
    </row>
    <row r="257" spans="1:12">
      <c r="A257" t="s">
        <v>1169</v>
      </c>
      <c r="B257" s="3">
        <v>43861</v>
      </c>
      <c r="C257" s="4">
        <v>52.256100000000004</v>
      </c>
      <c r="D257" s="4">
        <v>53.894399999999997</v>
      </c>
      <c r="E257" s="4">
        <v>49.5242</v>
      </c>
      <c r="F257" s="4">
        <v>51.119500000000002</v>
      </c>
      <c r="G257" s="4">
        <v>51.163200000000003</v>
      </c>
      <c r="H257" s="4">
        <v>50.357799999999997</v>
      </c>
      <c r="I257" s="4">
        <v>48.663600000000002</v>
      </c>
      <c r="J257" s="4">
        <v>52.7288</v>
      </c>
      <c r="K257" s="9">
        <v>113.84913</v>
      </c>
      <c r="L257" s="10">
        <v>701</v>
      </c>
    </row>
    <row r="258" spans="1:12">
      <c r="A258" t="s">
        <v>1201</v>
      </c>
      <c r="B258" s="3">
        <v>43890</v>
      </c>
      <c r="C258" s="4">
        <v>46.344099999999997</v>
      </c>
      <c r="D258" s="4">
        <v>52.490200000000002</v>
      </c>
      <c r="E258" s="4">
        <v>45.179200000000002</v>
      </c>
      <c r="F258" s="4">
        <v>50.590600000000002</v>
      </c>
      <c r="G258" s="4">
        <v>49.781399999999998</v>
      </c>
      <c r="H258" s="4">
        <v>47.1678</v>
      </c>
      <c r="I258" s="4">
        <v>48.115499999999997</v>
      </c>
      <c r="J258" s="4">
        <v>47.123899999999999</v>
      </c>
      <c r="K258" s="9">
        <v>115.21493</v>
      </c>
      <c r="L258" s="10">
        <v>461</v>
      </c>
    </row>
    <row r="259" spans="1:12">
      <c r="A259" s="39">
        <v>43891</v>
      </c>
      <c r="B259" s="3"/>
      <c r="C259" s="4"/>
      <c r="D259" s="4"/>
      <c r="E259" s="4"/>
      <c r="F259" s="4"/>
      <c r="G259" s="4"/>
      <c r="H259" s="4"/>
      <c r="I259" s="4"/>
    </row>
    <row r="260" spans="1:12">
      <c r="B260" s="3"/>
      <c r="C260" s="4"/>
      <c r="D260" s="4"/>
      <c r="E260" s="4"/>
      <c r="F260" s="4"/>
      <c r="G260" s="4"/>
      <c r="H260" s="4"/>
      <c r="I260" s="4"/>
    </row>
    <row r="261" spans="1:12">
      <c r="B261" s="3"/>
      <c r="C261" s="4"/>
      <c r="D261" s="4"/>
      <c r="E261" s="4"/>
      <c r="F261" s="4"/>
      <c r="G261" s="4"/>
      <c r="H261" s="4"/>
      <c r="I261" s="4"/>
    </row>
    <row r="262" spans="1:12">
      <c r="B262" s="3"/>
      <c r="C262" s="4"/>
      <c r="D262" s="4"/>
      <c r="E262" s="4"/>
      <c r="F262" s="4"/>
      <c r="G262" s="4"/>
      <c r="H262" s="4"/>
      <c r="I262" s="4"/>
    </row>
    <row r="263" spans="1:12">
      <c r="B263" s="3"/>
      <c r="C263" s="4"/>
      <c r="D263" s="4"/>
      <c r="E263" s="4"/>
      <c r="F263" s="4"/>
      <c r="G263" s="4"/>
      <c r="H263" s="4"/>
      <c r="I263" s="4"/>
    </row>
    <row r="264" spans="1:12">
      <c r="B264" s="3"/>
      <c r="C264" s="4"/>
      <c r="D264" s="4"/>
      <c r="E264" s="4"/>
      <c r="F264" s="4"/>
      <c r="G264" s="4"/>
      <c r="H264" s="4"/>
      <c r="I264" s="4"/>
    </row>
    <row r="265" spans="1:12">
      <c r="B265" s="3"/>
      <c r="C265" s="4"/>
      <c r="D265" s="4"/>
      <c r="E265" s="4"/>
      <c r="F265" s="4"/>
      <c r="G265" s="4"/>
      <c r="H265" s="4"/>
      <c r="I265" s="4"/>
    </row>
    <row r="266" spans="1:12">
      <c r="B266" s="3"/>
      <c r="C266" s="4"/>
      <c r="D266" s="4"/>
      <c r="E266" s="4"/>
      <c r="F266" s="4"/>
      <c r="G266" s="4"/>
      <c r="H266" s="4"/>
      <c r="I266" s="4"/>
    </row>
    <row r="267" spans="1:12">
      <c r="B267" s="3"/>
      <c r="C267" s="4"/>
      <c r="D267" s="4"/>
      <c r="E267" s="4"/>
      <c r="F267" s="4"/>
      <c r="G267" s="4"/>
      <c r="H267" s="4"/>
      <c r="I267" s="4"/>
    </row>
    <row r="268" spans="1:12">
      <c r="B268" s="3"/>
      <c r="C268" s="4"/>
      <c r="D268" s="4"/>
      <c r="E268" s="4"/>
      <c r="F268" s="4"/>
      <c r="G268" s="4"/>
      <c r="H268" s="4"/>
      <c r="I268" s="4"/>
    </row>
    <row r="269" spans="1:12">
      <c r="B269" s="3"/>
      <c r="C269" s="4"/>
      <c r="D269" s="4"/>
      <c r="E269" s="4"/>
      <c r="F269" s="4"/>
      <c r="G269" s="4"/>
      <c r="H269" s="4"/>
      <c r="I269" s="4"/>
    </row>
    <row r="270" spans="1:12">
      <c r="B270" s="3"/>
      <c r="C270" s="4"/>
      <c r="D270" s="4"/>
      <c r="E270" s="4"/>
      <c r="F270" s="4"/>
      <c r="G270" s="4"/>
      <c r="H270" s="4"/>
      <c r="I270" s="4"/>
    </row>
    <row r="271" spans="1:12">
      <c r="B271" s="3"/>
      <c r="C271" s="4"/>
      <c r="D271" s="4"/>
      <c r="E271" s="4"/>
      <c r="F271" s="4"/>
      <c r="G271" s="4"/>
      <c r="H271" s="4"/>
      <c r="I271" s="4"/>
    </row>
    <row r="272" spans="1:12">
      <c r="B272" s="3"/>
      <c r="C272" s="4"/>
      <c r="D272" s="4"/>
      <c r="E272" s="4"/>
      <c r="F272" s="4"/>
      <c r="G272" s="4"/>
      <c r="H272" s="4"/>
      <c r="I272" s="4"/>
    </row>
    <row r="273" spans="2:9">
      <c r="B273" s="3"/>
      <c r="C273" s="4"/>
      <c r="D273" s="4"/>
      <c r="E273" s="4"/>
      <c r="F273" s="4"/>
      <c r="G273" s="4"/>
      <c r="H273" s="4"/>
      <c r="I273" s="4"/>
    </row>
    <row r="274" spans="2:9">
      <c r="B274" s="3"/>
      <c r="C274" s="4"/>
      <c r="D274" s="4"/>
      <c r="E274" s="4"/>
      <c r="F274" s="4"/>
      <c r="G274" s="4"/>
      <c r="H274" s="4"/>
      <c r="I274" s="4"/>
    </row>
    <row r="275" spans="2:9">
      <c r="B275" s="3"/>
      <c r="C275" s="4"/>
      <c r="D275" s="4"/>
      <c r="E275" s="4"/>
      <c r="F275" s="4"/>
      <c r="G275" s="4"/>
      <c r="H275" s="4"/>
      <c r="I275" s="4"/>
    </row>
    <row r="276" spans="2:9">
      <c r="B276" s="3"/>
      <c r="C276" s="4"/>
      <c r="D276" s="4"/>
      <c r="E276" s="4"/>
      <c r="F276" s="4"/>
      <c r="G276" s="4"/>
      <c r="H276" s="4"/>
      <c r="I276" s="4"/>
    </row>
    <row r="277" spans="2:9">
      <c r="B277" s="3"/>
      <c r="C277" s="4"/>
      <c r="D277" s="4"/>
      <c r="E277" s="4"/>
      <c r="F277" s="4"/>
      <c r="G277" s="4"/>
      <c r="H277" s="4"/>
      <c r="I277" s="4"/>
    </row>
    <row r="278" spans="2:9">
      <c r="B278" s="3"/>
      <c r="C278" s="4"/>
      <c r="D278" s="4"/>
      <c r="E278" s="4"/>
      <c r="F278" s="4"/>
      <c r="G278" s="4"/>
      <c r="H278" s="4"/>
      <c r="I278" s="4"/>
    </row>
    <row r="279" spans="2:9">
      <c r="B279" s="3"/>
      <c r="C279" s="4"/>
      <c r="D279" s="4"/>
      <c r="E279" s="4"/>
      <c r="F279" s="4"/>
      <c r="G279" s="4"/>
      <c r="H279" s="4"/>
      <c r="I279" s="4"/>
    </row>
    <row r="280" spans="2:9">
      <c r="B280" s="3"/>
      <c r="C280" s="4"/>
      <c r="D280" s="4"/>
      <c r="E280" s="4"/>
      <c r="F280" s="4"/>
      <c r="G280" s="4"/>
      <c r="H280" s="4"/>
      <c r="I280" s="4"/>
    </row>
    <row r="281" spans="2:9">
      <c r="B281" s="3"/>
      <c r="C281" s="4"/>
      <c r="D281" s="4"/>
      <c r="E281" s="4"/>
      <c r="F281" s="4"/>
      <c r="G281" s="4"/>
      <c r="H281" s="4"/>
      <c r="I281" s="4"/>
    </row>
    <row r="282" spans="2:9">
      <c r="B282" s="3"/>
      <c r="C282" s="4"/>
      <c r="D282" s="4"/>
      <c r="E282" s="4"/>
      <c r="F282" s="4"/>
      <c r="G282" s="4"/>
      <c r="H282" s="4"/>
      <c r="I282" s="4"/>
    </row>
    <row r="283" spans="2:9">
      <c r="B283" s="3"/>
      <c r="C283" s="4"/>
      <c r="D283" s="4"/>
      <c r="E283" s="4"/>
      <c r="F283" s="4"/>
      <c r="G283" s="4"/>
      <c r="H283" s="4"/>
      <c r="I283" s="4"/>
    </row>
    <row r="284" spans="2:9">
      <c r="B284" s="3"/>
      <c r="C284" s="4"/>
      <c r="D284" s="4"/>
      <c r="E284" s="4"/>
      <c r="F284" s="4"/>
      <c r="G284" s="4"/>
      <c r="H284" s="4"/>
      <c r="I284" s="4"/>
    </row>
    <row r="285" spans="2:9">
      <c r="B285" s="3"/>
      <c r="C285" s="4"/>
      <c r="D285" s="4"/>
      <c r="E285" s="4"/>
      <c r="F285" s="4"/>
      <c r="G285" s="4"/>
      <c r="H285" s="4"/>
      <c r="I285" s="4"/>
    </row>
    <row r="286" spans="2:9">
      <c r="B286" s="3"/>
      <c r="C286" s="4"/>
      <c r="D286" s="4"/>
      <c r="E286" s="4"/>
      <c r="F286" s="4"/>
      <c r="G286" s="4"/>
      <c r="H286" s="4"/>
      <c r="I286" s="4"/>
    </row>
    <row r="287" spans="2:9">
      <c r="B287" s="3"/>
      <c r="C287" s="4"/>
      <c r="D287" s="4"/>
      <c r="E287" s="4"/>
      <c r="F287" s="4"/>
      <c r="G287" s="4"/>
      <c r="H287" s="4"/>
      <c r="I287" s="4"/>
    </row>
    <row r="288" spans="2:9">
      <c r="B288" s="3"/>
      <c r="C288" s="4"/>
      <c r="D288" s="4"/>
      <c r="E288" s="4"/>
      <c r="F288" s="4"/>
      <c r="G288" s="4"/>
      <c r="H288" s="4"/>
      <c r="I288" s="4"/>
    </row>
    <row r="289" spans="2:9">
      <c r="B289" s="3"/>
      <c r="C289" s="4"/>
      <c r="D289" s="4"/>
      <c r="E289" s="4"/>
      <c r="F289" s="4"/>
      <c r="G289" s="4"/>
      <c r="H289" s="4"/>
      <c r="I289" s="4"/>
    </row>
    <row r="290" spans="2:9">
      <c r="B290" s="3"/>
      <c r="C290" s="4"/>
      <c r="D290" s="4"/>
      <c r="E290" s="4"/>
      <c r="F290" s="4"/>
      <c r="G290" s="4"/>
      <c r="H290" s="4"/>
      <c r="I290" s="4"/>
    </row>
    <row r="291" spans="2:9">
      <c r="B291" s="3"/>
      <c r="C291" s="4"/>
      <c r="D291" s="4"/>
      <c r="E291" s="4"/>
      <c r="F291" s="4"/>
      <c r="G291" s="4"/>
      <c r="H291" s="4"/>
      <c r="I291" s="4"/>
    </row>
    <row r="292" spans="2:9">
      <c r="B292" s="3"/>
      <c r="C292" s="4"/>
      <c r="D292" s="4"/>
      <c r="E292" s="4"/>
      <c r="F292" s="4"/>
      <c r="G292" s="4"/>
      <c r="H292" s="4"/>
      <c r="I292" s="4"/>
    </row>
    <row r="293" spans="2:9">
      <c r="B293" s="3"/>
      <c r="C293" s="4"/>
      <c r="D293" s="4"/>
      <c r="E293" s="4"/>
      <c r="F293" s="4"/>
      <c r="G293" s="4"/>
      <c r="H293" s="4"/>
      <c r="I293" s="4"/>
    </row>
    <row r="294" spans="2:9">
      <c r="B294" s="3"/>
      <c r="C294" s="4"/>
      <c r="D294" s="4"/>
      <c r="E294" s="4"/>
      <c r="F294" s="4"/>
      <c r="G294" s="4"/>
      <c r="H294" s="4"/>
      <c r="I294" s="4"/>
    </row>
    <row r="295" spans="2:9">
      <c r="B295" s="3"/>
      <c r="C295" s="4"/>
      <c r="D295" s="4"/>
      <c r="E295" s="4"/>
      <c r="F295" s="4"/>
      <c r="G295" s="4"/>
      <c r="H295" s="4"/>
      <c r="I295" s="4"/>
    </row>
    <row r="296" spans="2:9">
      <c r="B296" s="3"/>
      <c r="C296" s="4"/>
      <c r="D296" s="4"/>
      <c r="E296" s="4"/>
      <c r="F296" s="4"/>
      <c r="G296" s="4"/>
      <c r="H296" s="4"/>
      <c r="I296" s="4"/>
    </row>
    <row r="297" spans="2:9">
      <c r="B297" s="3"/>
      <c r="C297" s="4"/>
      <c r="D297" s="4"/>
      <c r="E297" s="4"/>
      <c r="F297" s="4"/>
      <c r="G297" s="4"/>
      <c r="H297" s="4"/>
      <c r="I297" s="4"/>
    </row>
    <row r="298" spans="2:9">
      <c r="B298" s="3"/>
      <c r="C298" s="4"/>
      <c r="D298" s="4"/>
      <c r="E298" s="4"/>
      <c r="F298" s="4"/>
      <c r="G298" s="4"/>
      <c r="H298" s="4"/>
      <c r="I298" s="4"/>
    </row>
    <row r="299" spans="2:9">
      <c r="B299" s="3"/>
      <c r="C299" s="4"/>
      <c r="D299" s="4"/>
      <c r="E299" s="4"/>
      <c r="F299" s="4"/>
      <c r="G299" s="4"/>
      <c r="H299" s="4"/>
      <c r="I299" s="4"/>
    </row>
    <row r="300" spans="2:9">
      <c r="B300" s="3"/>
      <c r="C300" s="4"/>
      <c r="D300" s="4"/>
      <c r="E300" s="4"/>
      <c r="F300" s="4"/>
      <c r="G300" s="4"/>
      <c r="H300" s="4"/>
      <c r="I300" s="4"/>
    </row>
    <row r="301" spans="2:9">
      <c r="B301" s="3"/>
      <c r="C301" s="4"/>
      <c r="D301" s="4"/>
      <c r="E301" s="4"/>
      <c r="F301" s="4"/>
      <c r="G301" s="4"/>
      <c r="H301" s="4"/>
      <c r="I301" s="4"/>
    </row>
    <row r="302" spans="2:9">
      <c r="B302" s="3"/>
      <c r="C302" s="4"/>
      <c r="D302" s="4"/>
      <c r="E302" s="4"/>
      <c r="F302" s="4"/>
      <c r="G302" s="4"/>
      <c r="H302" s="4"/>
      <c r="I302" s="4"/>
    </row>
    <row r="303" spans="2:9">
      <c r="B303" s="3"/>
      <c r="C303" s="4"/>
      <c r="D303" s="4"/>
      <c r="E303" s="4"/>
      <c r="F303" s="4"/>
      <c r="G303" s="4"/>
      <c r="H303" s="4"/>
      <c r="I303" s="4"/>
    </row>
    <row r="304" spans="2:9">
      <c r="B304" s="3"/>
      <c r="C304" s="4"/>
      <c r="D304" s="4"/>
      <c r="E304" s="4"/>
      <c r="F304" s="4"/>
      <c r="G304" s="4"/>
      <c r="H304" s="4"/>
      <c r="I304" s="4"/>
    </row>
    <row r="305" spans="2:9">
      <c r="B305" s="3"/>
      <c r="C305" s="4"/>
      <c r="D305" s="4"/>
      <c r="E305" s="4"/>
      <c r="F305" s="4"/>
      <c r="G305" s="4"/>
      <c r="H305" s="4"/>
      <c r="I305" s="4"/>
    </row>
    <row r="306" spans="2:9">
      <c r="B306" s="3"/>
      <c r="C306" s="4"/>
      <c r="D306" s="4"/>
      <c r="E306" s="4"/>
      <c r="F306" s="4"/>
      <c r="G306" s="4"/>
      <c r="H306" s="4"/>
      <c r="I306" s="4"/>
    </row>
    <row r="307" spans="2:9">
      <c r="B307" s="3"/>
      <c r="C307" s="4"/>
      <c r="D307" s="4"/>
      <c r="E307" s="4"/>
      <c r="F307" s="4"/>
      <c r="G307" s="4"/>
      <c r="H307" s="4"/>
      <c r="I307" s="4"/>
    </row>
    <row r="308" spans="2:9">
      <c r="B308" s="3"/>
      <c r="C308" s="4"/>
      <c r="D308" s="4"/>
      <c r="E308" s="4"/>
      <c r="F308" s="4"/>
      <c r="G308" s="4"/>
      <c r="H308" s="4"/>
      <c r="I308" s="4"/>
    </row>
    <row r="309" spans="2:9">
      <c r="B309" s="3"/>
      <c r="C309" s="4"/>
      <c r="D309" s="4"/>
      <c r="E309" s="4"/>
      <c r="F309" s="4"/>
      <c r="G309" s="4"/>
      <c r="H309" s="4"/>
      <c r="I309" s="4"/>
    </row>
    <row r="310" spans="2:9">
      <c r="B310" s="3"/>
      <c r="C310" s="4"/>
      <c r="D310" s="4"/>
      <c r="E310" s="4"/>
      <c r="F310" s="4"/>
      <c r="G310" s="4"/>
      <c r="H310" s="4"/>
      <c r="I310" s="4"/>
    </row>
    <row r="311" spans="2:9">
      <c r="B311" s="3"/>
      <c r="C311" s="4"/>
      <c r="D311" s="4"/>
      <c r="E311" s="4"/>
      <c r="F311" s="4"/>
      <c r="G311" s="4"/>
      <c r="H311" s="4"/>
      <c r="I311" s="4"/>
    </row>
    <row r="312" spans="2:9">
      <c r="B312" s="3"/>
      <c r="C312" s="4"/>
      <c r="D312" s="4"/>
      <c r="E312" s="4"/>
      <c r="F312" s="4"/>
      <c r="G312" s="4"/>
      <c r="H312" s="4"/>
      <c r="I312" s="4"/>
    </row>
    <row r="313" spans="2:9">
      <c r="B313" s="3"/>
      <c r="C313" s="4"/>
      <c r="D313" s="4"/>
      <c r="E313" s="4"/>
      <c r="F313" s="4"/>
      <c r="G313" s="4"/>
      <c r="H313" s="4"/>
      <c r="I313" s="4"/>
    </row>
    <row r="314" spans="2:9">
      <c r="B314" s="3"/>
      <c r="C314" s="4"/>
      <c r="D314" s="4"/>
      <c r="E314" s="4"/>
      <c r="F314" s="4"/>
      <c r="G314" s="4"/>
      <c r="H314" s="4"/>
      <c r="I314" s="4"/>
    </row>
    <row r="315" spans="2:9">
      <c r="B315" s="3"/>
      <c r="C315" s="4"/>
      <c r="D315" s="4"/>
      <c r="E315" s="4"/>
      <c r="F315" s="4"/>
      <c r="G315" s="4"/>
      <c r="H315" s="4"/>
      <c r="I315" s="4"/>
    </row>
    <row r="316" spans="2:9">
      <c r="B316" s="3"/>
      <c r="C316" s="4"/>
      <c r="D316" s="4"/>
      <c r="E316" s="4"/>
      <c r="F316" s="4"/>
      <c r="G316" s="4"/>
      <c r="H316" s="4"/>
      <c r="I316" s="4"/>
    </row>
    <row r="317" spans="2:9">
      <c r="B317" s="3"/>
      <c r="C317" s="4"/>
      <c r="D317" s="4"/>
      <c r="E317" s="4"/>
      <c r="F317" s="4"/>
      <c r="G317" s="4"/>
      <c r="H317" s="4"/>
      <c r="I317" s="4"/>
    </row>
    <row r="318" spans="2:9">
      <c r="B318" s="3"/>
      <c r="C318" s="4"/>
      <c r="D318" s="4"/>
      <c r="E318" s="4"/>
      <c r="F318" s="4"/>
      <c r="G318" s="4"/>
      <c r="H318" s="4"/>
      <c r="I318" s="4"/>
    </row>
    <row r="319" spans="2:9">
      <c r="B319" s="3"/>
      <c r="C319" s="4"/>
      <c r="D319" s="4"/>
      <c r="E319" s="4"/>
      <c r="F319" s="4"/>
      <c r="G319" s="4"/>
      <c r="H319" s="4"/>
      <c r="I319" s="4"/>
    </row>
    <row r="320" spans="2:9">
      <c r="B320" s="3"/>
      <c r="C320" s="4"/>
      <c r="D320" s="4"/>
      <c r="E320" s="4"/>
      <c r="F320" s="4"/>
      <c r="G320" s="4"/>
      <c r="H320" s="4"/>
      <c r="I320" s="4"/>
    </row>
    <row r="321" spans="2:9">
      <c r="B321" s="3"/>
      <c r="C321" s="4"/>
      <c r="D321" s="4"/>
      <c r="E321" s="4"/>
      <c r="F321" s="4"/>
      <c r="G321" s="4"/>
      <c r="H321" s="4"/>
      <c r="I321" s="4"/>
    </row>
    <row r="322" spans="2:9">
      <c r="B322" s="3"/>
      <c r="C322" s="4"/>
      <c r="D322" s="4"/>
      <c r="E322" s="4"/>
      <c r="F322" s="4"/>
      <c r="G322" s="4"/>
      <c r="H322" s="4"/>
      <c r="I322" s="4"/>
    </row>
    <row r="323" spans="2:9">
      <c r="B323" s="3"/>
      <c r="C323" s="4"/>
      <c r="D323" s="4"/>
      <c r="E323" s="4"/>
      <c r="F323" s="4"/>
      <c r="G323" s="4"/>
      <c r="H323" s="4"/>
      <c r="I323" s="4"/>
    </row>
    <row r="324" spans="2:9">
      <c r="B324" s="3"/>
      <c r="C324" s="4"/>
      <c r="D324" s="4"/>
      <c r="E324" s="4"/>
      <c r="F324" s="4"/>
      <c r="G324" s="4"/>
      <c r="H324" s="4"/>
      <c r="I324" s="4"/>
    </row>
    <row r="325" spans="2:9">
      <c r="B325" s="3"/>
      <c r="C325" s="4"/>
      <c r="D325" s="4"/>
      <c r="E325" s="4"/>
      <c r="F325" s="4"/>
      <c r="G325" s="4"/>
      <c r="H325" s="4"/>
      <c r="I325" s="4"/>
    </row>
    <row r="326" spans="2:9">
      <c r="B326" s="3"/>
      <c r="C326" s="4"/>
      <c r="D326" s="4"/>
      <c r="E326" s="4"/>
      <c r="F326" s="4"/>
      <c r="G326" s="4"/>
      <c r="H326" s="4"/>
      <c r="I326" s="4"/>
    </row>
    <row r="327" spans="2:9">
      <c r="B327" s="3"/>
      <c r="C327" s="4"/>
      <c r="D327" s="4"/>
      <c r="E327" s="4"/>
      <c r="F327" s="4"/>
      <c r="G327" s="4"/>
      <c r="H327" s="4"/>
      <c r="I327" s="4"/>
    </row>
    <row r="328" spans="2:9">
      <c r="B328" s="3"/>
      <c r="C328" s="4"/>
      <c r="D328" s="4"/>
      <c r="E328" s="4"/>
      <c r="F328" s="4"/>
      <c r="G328" s="4"/>
      <c r="H328" s="4"/>
      <c r="I328" s="4"/>
    </row>
    <row r="329" spans="2:9">
      <c r="B329" s="3"/>
      <c r="C329" s="4"/>
      <c r="D329" s="4"/>
      <c r="E329" s="4"/>
      <c r="F329" s="4"/>
      <c r="G329" s="4"/>
      <c r="H329" s="4"/>
      <c r="I329" s="4"/>
    </row>
    <row r="330" spans="2:9">
      <c r="B330" s="3"/>
      <c r="C330" s="4"/>
      <c r="D330" s="4"/>
      <c r="E330" s="4"/>
      <c r="F330" s="4"/>
      <c r="G330" s="4"/>
      <c r="H330" s="4"/>
      <c r="I330" s="4"/>
    </row>
    <row r="331" spans="2:9">
      <c r="B331" s="3"/>
      <c r="C331" s="4"/>
      <c r="D331" s="4"/>
      <c r="E331" s="4"/>
      <c r="F331" s="4"/>
      <c r="G331" s="4"/>
      <c r="H331" s="4"/>
      <c r="I331" s="4"/>
    </row>
    <row r="332" spans="2:9">
      <c r="B332" s="3"/>
      <c r="C332" s="4"/>
      <c r="D332" s="4"/>
      <c r="E332" s="4"/>
      <c r="F332" s="4"/>
      <c r="G332" s="4"/>
      <c r="H332" s="4"/>
      <c r="I332" s="4"/>
    </row>
    <row r="333" spans="2:9">
      <c r="B333" s="3"/>
      <c r="C333" s="4"/>
      <c r="D333" s="4"/>
      <c r="E333" s="4"/>
      <c r="F333" s="4"/>
      <c r="G333" s="4"/>
      <c r="H333" s="4"/>
      <c r="I333" s="4"/>
    </row>
    <row r="334" spans="2:9">
      <c r="B334" s="3"/>
      <c r="C334" s="4"/>
      <c r="D334" s="4"/>
      <c r="E334" s="4"/>
      <c r="F334" s="4"/>
      <c r="G334" s="4"/>
      <c r="H334" s="4"/>
      <c r="I334" s="4"/>
    </row>
    <row r="335" spans="2:9">
      <c r="B335" s="3"/>
      <c r="C335" s="4"/>
      <c r="D335" s="4"/>
      <c r="E335" s="4"/>
      <c r="F335" s="4"/>
      <c r="G335" s="4"/>
      <c r="H335" s="4"/>
      <c r="I335" s="4"/>
    </row>
    <row r="336" spans="2:9">
      <c r="B336" s="3"/>
      <c r="C336" s="4"/>
      <c r="D336" s="4"/>
      <c r="E336" s="4"/>
      <c r="F336" s="4"/>
      <c r="G336" s="4"/>
      <c r="H336" s="4"/>
      <c r="I336" s="4"/>
    </row>
    <row r="337" spans="2:9">
      <c r="B337" s="3"/>
      <c r="C337" s="4"/>
      <c r="D337" s="4"/>
      <c r="E337" s="4"/>
      <c r="F337" s="4"/>
      <c r="G337" s="4"/>
      <c r="H337" s="4"/>
      <c r="I337" s="4"/>
    </row>
    <row r="338" spans="2:9">
      <c r="B338" s="3"/>
      <c r="C338" s="4"/>
      <c r="D338" s="4"/>
      <c r="E338" s="4"/>
      <c r="F338" s="4"/>
      <c r="G338" s="4"/>
      <c r="H338" s="4"/>
      <c r="I338" s="4"/>
    </row>
    <row r="339" spans="2:9">
      <c r="B339" s="3"/>
      <c r="C339" s="4"/>
      <c r="D339" s="4"/>
      <c r="E339" s="4"/>
      <c r="F339" s="4"/>
      <c r="G339" s="4"/>
      <c r="H339" s="4"/>
      <c r="I339" s="4"/>
    </row>
    <row r="340" spans="2:9">
      <c r="B340" s="3"/>
      <c r="C340" s="4"/>
      <c r="D340" s="4"/>
      <c r="E340" s="4"/>
      <c r="F340" s="4"/>
      <c r="G340" s="4"/>
      <c r="H340" s="4"/>
      <c r="I340" s="4"/>
    </row>
    <row r="341" spans="2:9">
      <c r="B341" s="3"/>
      <c r="C341" s="4"/>
      <c r="D341" s="4"/>
      <c r="E341" s="4"/>
      <c r="F341" s="4"/>
      <c r="G341" s="4"/>
      <c r="H341" s="4"/>
      <c r="I341" s="4"/>
    </row>
    <row r="342" spans="2:9">
      <c r="B342" s="3"/>
      <c r="C342" s="4"/>
      <c r="D342" s="4"/>
      <c r="E342" s="4"/>
      <c r="F342" s="4"/>
      <c r="G342" s="4"/>
      <c r="H342" s="4"/>
      <c r="I342" s="4"/>
    </row>
    <row r="343" spans="2:9">
      <c r="B343" s="3"/>
      <c r="C343" s="4"/>
      <c r="D343" s="4"/>
      <c r="E343" s="4"/>
      <c r="F343" s="4"/>
      <c r="G343" s="4"/>
      <c r="H343" s="4"/>
      <c r="I343" s="4"/>
    </row>
    <row r="344" spans="2:9">
      <c r="B344" s="3"/>
      <c r="C344" s="4"/>
      <c r="D344" s="4"/>
      <c r="E344" s="4"/>
      <c r="F344" s="4"/>
      <c r="G344" s="4"/>
      <c r="H344" s="4"/>
      <c r="I344" s="4"/>
    </row>
    <row r="345" spans="2:9">
      <c r="B345" s="3"/>
      <c r="C345" s="4"/>
      <c r="D345" s="4"/>
      <c r="E345" s="4"/>
      <c r="F345" s="4"/>
      <c r="G345" s="4"/>
      <c r="H345" s="4"/>
      <c r="I345" s="4"/>
    </row>
    <row r="346" spans="2:9">
      <c r="B346" s="3"/>
      <c r="C346" s="4"/>
      <c r="D346" s="4"/>
      <c r="E346" s="4"/>
      <c r="F346" s="4"/>
      <c r="G346" s="4"/>
      <c r="H346" s="4"/>
      <c r="I346" s="4"/>
    </row>
    <row r="347" spans="2:9">
      <c r="B347" s="3"/>
      <c r="C347" s="4"/>
      <c r="D347" s="4"/>
      <c r="E347" s="4"/>
      <c r="F347" s="4"/>
      <c r="G347" s="4"/>
      <c r="H347" s="4"/>
      <c r="I347" s="4"/>
    </row>
    <row r="348" spans="2:9">
      <c r="B348" s="3"/>
      <c r="C348" s="4"/>
      <c r="D348" s="4"/>
      <c r="E348" s="4"/>
      <c r="F348" s="4"/>
      <c r="G348" s="4"/>
      <c r="H348" s="4"/>
      <c r="I348" s="4"/>
    </row>
    <row r="349" spans="2:9">
      <c r="B349" s="3"/>
      <c r="C349" s="4"/>
      <c r="D349" s="4"/>
      <c r="E349" s="4"/>
      <c r="F349" s="4"/>
      <c r="G349" s="4"/>
      <c r="H349" s="4"/>
      <c r="I349" s="4"/>
    </row>
    <row r="350" spans="2:9">
      <c r="B350" s="3"/>
      <c r="C350" s="4"/>
      <c r="D350" s="4"/>
      <c r="E350" s="4"/>
      <c r="F350" s="4"/>
      <c r="G350" s="4"/>
      <c r="H350" s="4"/>
      <c r="I350" s="4"/>
    </row>
    <row r="351" spans="2:9">
      <c r="B351" s="3"/>
      <c r="C351" s="4"/>
      <c r="D351" s="4"/>
      <c r="E351" s="4"/>
      <c r="F351" s="4"/>
      <c r="G351" s="4"/>
      <c r="H351" s="4"/>
      <c r="I351" s="4"/>
    </row>
    <row r="352" spans="2:9">
      <c r="B352" s="3"/>
      <c r="C352" s="4"/>
      <c r="D352" s="4"/>
      <c r="E352" s="4"/>
      <c r="F352" s="4"/>
      <c r="G352" s="4"/>
      <c r="H352" s="4"/>
      <c r="I352" s="4"/>
    </row>
    <row r="353" spans="2:9">
      <c r="B353" s="3"/>
      <c r="C353" s="4"/>
      <c r="D353" s="4"/>
      <c r="E353" s="4"/>
      <c r="F353" s="4"/>
      <c r="G353" s="4"/>
      <c r="H353" s="4"/>
      <c r="I353" s="4"/>
    </row>
    <row r="354" spans="2:9">
      <c r="B354" s="3"/>
      <c r="C354" s="4"/>
      <c r="D354" s="4"/>
      <c r="E354" s="4"/>
      <c r="F354" s="4"/>
      <c r="G354" s="4"/>
      <c r="H354" s="4"/>
      <c r="I354" s="4"/>
    </row>
    <row r="355" spans="2:9">
      <c r="B355" s="3"/>
      <c r="H355" s="4"/>
      <c r="I355" s="4"/>
    </row>
  </sheetData>
  <phoneticPr fontId="29" type="noConversion"/>
  <hyperlinks>
    <hyperlink ref="L1" r:id="rId1" xr:uid="{46B01297-83AF-4A5E-8A77-2AF7C489F38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DB9-3B23-4FBB-AE20-45E9121D662D}">
  <dimension ref="A1:D87"/>
  <sheetViews>
    <sheetView workbookViewId="0">
      <pane xSplit="2" ySplit="3" topLeftCell="C71" activePane="bottomRight" state="frozen"/>
      <selection pane="topRight" activeCell="C1" sqref="C1"/>
      <selection pane="bottomLeft" activeCell="A4" sqref="A4"/>
      <selection pane="bottomRight" activeCell="F90" sqref="F90"/>
    </sheetView>
  </sheetViews>
  <sheetFormatPr defaultRowHeight="15"/>
  <sheetData>
    <row r="1" spans="1:4">
      <c r="A1" s="2" t="s">
        <v>1036</v>
      </c>
      <c r="B1" s="2" t="s">
        <v>1037</v>
      </c>
      <c r="C1" s="5" t="s">
        <v>1121</v>
      </c>
      <c r="D1" t="s">
        <v>1123</v>
      </c>
    </row>
    <row r="2" spans="1:4">
      <c r="A2" t="s">
        <v>761</v>
      </c>
      <c r="C2" t="s">
        <v>1122</v>
      </c>
      <c r="D2" t="s">
        <v>1124</v>
      </c>
    </row>
    <row r="3" spans="1:4">
      <c r="A3" t="s">
        <v>760</v>
      </c>
      <c r="C3" t="s">
        <v>1119</v>
      </c>
      <c r="D3" t="s">
        <v>1119</v>
      </c>
    </row>
    <row r="4" spans="1:4">
      <c r="A4" t="s">
        <v>1038</v>
      </c>
      <c r="B4" s="7">
        <v>36161</v>
      </c>
      <c r="C4" s="8">
        <v>90.89</v>
      </c>
      <c r="D4" s="8">
        <v>79.09</v>
      </c>
    </row>
    <row r="5" spans="1:4">
      <c r="A5" t="s">
        <v>1039</v>
      </c>
      <c r="B5" s="7">
        <v>36251</v>
      </c>
      <c r="C5" s="8">
        <v>91.28</v>
      </c>
      <c r="D5" s="8">
        <v>79.569999999999993</v>
      </c>
    </row>
    <row r="6" spans="1:4">
      <c r="A6" t="s">
        <v>1040</v>
      </c>
      <c r="B6" s="7">
        <v>36342</v>
      </c>
      <c r="C6" s="8">
        <v>91.69</v>
      </c>
      <c r="D6" s="8">
        <v>80.19</v>
      </c>
    </row>
    <row r="7" spans="1:4">
      <c r="A7" t="s">
        <v>1041</v>
      </c>
      <c r="B7" s="7">
        <v>36434</v>
      </c>
      <c r="C7" s="8">
        <v>92.42</v>
      </c>
      <c r="D7" s="8">
        <v>80.650000000000006</v>
      </c>
    </row>
    <row r="8" spans="1:4">
      <c r="A8" t="s">
        <v>1042</v>
      </c>
      <c r="B8" s="7">
        <v>36526</v>
      </c>
      <c r="C8" s="8">
        <v>92.66</v>
      </c>
      <c r="D8" s="8">
        <v>81.08</v>
      </c>
    </row>
    <row r="9" spans="1:4">
      <c r="A9" t="s">
        <v>1043</v>
      </c>
      <c r="B9" s="7">
        <v>36617</v>
      </c>
      <c r="C9" s="8">
        <v>93.27</v>
      </c>
      <c r="D9" s="8">
        <v>81.77</v>
      </c>
    </row>
    <row r="10" spans="1:4">
      <c r="A10" t="s">
        <v>1044</v>
      </c>
      <c r="B10" s="7">
        <v>36708</v>
      </c>
      <c r="C10" s="8">
        <v>93.74</v>
      </c>
      <c r="D10" s="8">
        <v>82.13</v>
      </c>
    </row>
    <row r="11" spans="1:4">
      <c r="A11" t="s">
        <v>1045</v>
      </c>
      <c r="B11" s="7">
        <v>36800</v>
      </c>
      <c r="C11" s="8">
        <v>94.19</v>
      </c>
      <c r="D11" s="8">
        <v>82.64</v>
      </c>
    </row>
    <row r="12" spans="1:4">
      <c r="A12" t="s">
        <v>1046</v>
      </c>
      <c r="B12" s="7">
        <v>36892</v>
      </c>
      <c r="C12" s="8">
        <v>94.87</v>
      </c>
      <c r="D12" s="8">
        <v>83.24</v>
      </c>
    </row>
    <row r="13" spans="1:4">
      <c r="A13" t="s">
        <v>1047</v>
      </c>
      <c r="B13" s="7">
        <v>36982</v>
      </c>
      <c r="C13" s="8">
        <v>94.56</v>
      </c>
      <c r="D13" s="8">
        <v>83.74</v>
      </c>
    </row>
    <row r="14" spans="1:4">
      <c r="A14" t="s">
        <v>1048</v>
      </c>
      <c r="B14" s="7">
        <v>37073</v>
      </c>
      <c r="C14" s="8">
        <v>95.66</v>
      </c>
      <c r="D14" s="8">
        <v>84.57</v>
      </c>
    </row>
    <row r="15" spans="1:4">
      <c r="A15" t="s">
        <v>1049</v>
      </c>
      <c r="B15" s="7">
        <v>37165</v>
      </c>
      <c r="C15" s="8">
        <v>95.36</v>
      </c>
      <c r="D15" s="8">
        <v>85.16</v>
      </c>
    </row>
    <row r="16" spans="1:4">
      <c r="A16" t="s">
        <v>1050</v>
      </c>
      <c r="B16" s="7">
        <v>37257</v>
      </c>
      <c r="C16" s="8">
        <v>96.23</v>
      </c>
      <c r="D16" s="8">
        <v>86.15</v>
      </c>
    </row>
    <row r="17" spans="1:4">
      <c r="A17" t="s">
        <v>1051</v>
      </c>
      <c r="B17" s="7">
        <v>37347</v>
      </c>
      <c r="C17" s="8">
        <v>96.47</v>
      </c>
      <c r="D17" s="8">
        <v>87.04</v>
      </c>
    </row>
    <row r="18" spans="1:4">
      <c r="A18" t="s">
        <v>1052</v>
      </c>
      <c r="B18" s="7">
        <v>37438</v>
      </c>
      <c r="C18" s="8">
        <v>96.38</v>
      </c>
      <c r="D18" s="8">
        <v>88.05</v>
      </c>
    </row>
    <row r="19" spans="1:4">
      <c r="A19" t="s">
        <v>1053</v>
      </c>
      <c r="B19" s="7">
        <v>37530</v>
      </c>
      <c r="C19" s="8">
        <v>96.73</v>
      </c>
      <c r="D19" s="8">
        <v>88.89</v>
      </c>
    </row>
    <row r="20" spans="1:4">
      <c r="A20" t="s">
        <v>1054</v>
      </c>
      <c r="B20" s="7">
        <v>37622</v>
      </c>
      <c r="C20" s="8">
        <v>96.42</v>
      </c>
      <c r="D20" s="8">
        <v>89.38</v>
      </c>
    </row>
    <row r="21" spans="1:4">
      <c r="A21" t="s">
        <v>1055</v>
      </c>
      <c r="B21" s="7">
        <v>37712</v>
      </c>
      <c r="C21" s="8">
        <v>96.98</v>
      </c>
      <c r="D21" s="8">
        <v>90.39</v>
      </c>
    </row>
    <row r="22" spans="1:4">
      <c r="A22" t="s">
        <v>1056</v>
      </c>
      <c r="B22" s="7">
        <v>37803</v>
      </c>
      <c r="C22" s="8">
        <v>97.77</v>
      </c>
      <c r="D22" s="8">
        <v>91.2</v>
      </c>
    </row>
    <row r="23" spans="1:4">
      <c r="A23" t="s">
        <v>1057</v>
      </c>
      <c r="B23" s="7">
        <v>37895</v>
      </c>
      <c r="C23" s="8">
        <v>97.9</v>
      </c>
      <c r="D23" s="8">
        <v>92.55</v>
      </c>
    </row>
    <row r="24" spans="1:4">
      <c r="A24" t="s">
        <v>1058</v>
      </c>
      <c r="B24" s="7">
        <v>37987</v>
      </c>
      <c r="C24" s="8">
        <v>98.36</v>
      </c>
      <c r="D24" s="8">
        <v>93.21</v>
      </c>
    </row>
    <row r="25" spans="1:4">
      <c r="A25" t="s">
        <v>1059</v>
      </c>
      <c r="B25" s="7">
        <v>38078</v>
      </c>
      <c r="C25" s="8">
        <v>99.06</v>
      </c>
      <c r="D25" s="8">
        <v>94.26</v>
      </c>
    </row>
    <row r="26" spans="1:4">
      <c r="A26" t="s">
        <v>1060</v>
      </c>
      <c r="B26" s="7">
        <v>38169</v>
      </c>
      <c r="C26" s="8">
        <v>99.33</v>
      </c>
      <c r="D26" s="8">
        <v>95.86</v>
      </c>
    </row>
    <row r="27" spans="1:4">
      <c r="A27" t="s">
        <v>1061</v>
      </c>
      <c r="B27" s="7">
        <v>38261</v>
      </c>
      <c r="C27" s="8">
        <v>99.87</v>
      </c>
      <c r="D27" s="8">
        <v>96.73</v>
      </c>
    </row>
    <row r="28" spans="1:4">
      <c r="A28" t="s">
        <v>1062</v>
      </c>
      <c r="B28" s="7">
        <v>38353</v>
      </c>
      <c r="C28" s="8">
        <v>99.34</v>
      </c>
      <c r="D28" s="8">
        <v>98.02</v>
      </c>
    </row>
    <row r="29" spans="1:4">
      <c r="A29" t="s">
        <v>1063</v>
      </c>
      <c r="B29" s="7">
        <v>38443</v>
      </c>
      <c r="C29" s="8">
        <v>99.88</v>
      </c>
      <c r="D29" s="8">
        <v>99.49</v>
      </c>
    </row>
    <row r="30" spans="1:4">
      <c r="A30" t="s">
        <v>1064</v>
      </c>
      <c r="B30" s="7">
        <v>38534</v>
      </c>
      <c r="C30" s="8">
        <v>100.04</v>
      </c>
      <c r="D30" s="8">
        <v>100.74</v>
      </c>
    </row>
    <row r="31" spans="1:4">
      <c r="A31" t="s">
        <v>1065</v>
      </c>
      <c r="B31" s="7">
        <v>38626</v>
      </c>
      <c r="C31" s="8">
        <v>100.74</v>
      </c>
      <c r="D31" s="8">
        <v>101.76</v>
      </c>
    </row>
    <row r="32" spans="1:4">
      <c r="A32" t="s">
        <v>1066</v>
      </c>
      <c r="B32" s="7">
        <v>38718</v>
      </c>
      <c r="C32" s="8">
        <v>101.5</v>
      </c>
      <c r="D32" s="8">
        <v>102.88</v>
      </c>
    </row>
    <row r="33" spans="1:4">
      <c r="A33" t="s">
        <v>1067</v>
      </c>
      <c r="B33" s="7">
        <v>38808</v>
      </c>
      <c r="C33" s="8">
        <v>101.72</v>
      </c>
      <c r="D33" s="8">
        <v>103.59</v>
      </c>
    </row>
    <row r="34" spans="1:4">
      <c r="A34" t="s">
        <v>1068</v>
      </c>
      <c r="B34" s="7">
        <v>38899</v>
      </c>
      <c r="C34" s="8">
        <v>102.12</v>
      </c>
      <c r="D34" s="8">
        <v>104.13</v>
      </c>
    </row>
    <row r="35" spans="1:4">
      <c r="A35" t="s">
        <v>1069</v>
      </c>
      <c r="B35" s="7">
        <v>38991</v>
      </c>
      <c r="C35" s="8">
        <v>103.11</v>
      </c>
      <c r="D35" s="8">
        <v>105.37</v>
      </c>
    </row>
    <row r="36" spans="1:4">
      <c r="A36" t="s">
        <v>1070</v>
      </c>
      <c r="B36" s="7">
        <v>39083</v>
      </c>
      <c r="C36" s="8">
        <v>103.5</v>
      </c>
      <c r="D36" s="8">
        <v>105.66</v>
      </c>
    </row>
    <row r="37" spans="1:4">
      <c r="A37" t="s">
        <v>1071</v>
      </c>
      <c r="B37" s="7">
        <v>39173</v>
      </c>
      <c r="C37" s="8">
        <v>103.68</v>
      </c>
      <c r="D37" s="8">
        <v>105.77</v>
      </c>
    </row>
    <row r="38" spans="1:4">
      <c r="A38" t="s">
        <v>1072</v>
      </c>
      <c r="B38" s="7">
        <v>39264</v>
      </c>
      <c r="C38" s="8">
        <v>103.66</v>
      </c>
      <c r="D38" s="8">
        <v>105.41</v>
      </c>
    </row>
    <row r="39" spans="1:4">
      <c r="A39" t="s">
        <v>1073</v>
      </c>
      <c r="B39" s="7">
        <v>39356</v>
      </c>
      <c r="C39" s="8">
        <v>103.65</v>
      </c>
      <c r="D39" s="8">
        <v>104.83</v>
      </c>
    </row>
    <row r="40" spans="1:4">
      <c r="A40" t="s">
        <v>1074</v>
      </c>
      <c r="B40" s="7">
        <v>39448</v>
      </c>
      <c r="C40" s="8">
        <v>103.83</v>
      </c>
      <c r="D40" s="8">
        <v>103.96</v>
      </c>
    </row>
    <row r="41" spans="1:4">
      <c r="A41" t="s">
        <v>1075</v>
      </c>
      <c r="B41" s="7">
        <v>39539</v>
      </c>
      <c r="C41" s="8">
        <v>104.6</v>
      </c>
      <c r="D41" s="8">
        <v>101.87</v>
      </c>
    </row>
    <row r="42" spans="1:4">
      <c r="A42" t="s">
        <v>1076</v>
      </c>
      <c r="B42" s="7">
        <v>39630</v>
      </c>
      <c r="C42" s="8">
        <v>103.28</v>
      </c>
      <c r="D42" s="8">
        <v>98.91</v>
      </c>
    </row>
    <row r="43" spans="1:4">
      <c r="A43" t="s">
        <v>1077</v>
      </c>
      <c r="B43" s="7">
        <v>39722</v>
      </c>
      <c r="C43" s="8">
        <v>103.52</v>
      </c>
      <c r="D43" s="8">
        <v>97.93</v>
      </c>
    </row>
    <row r="44" spans="1:4">
      <c r="A44" t="s">
        <v>1078</v>
      </c>
      <c r="B44" s="7">
        <v>39814</v>
      </c>
      <c r="C44" s="8">
        <v>103.59</v>
      </c>
      <c r="D44" s="8">
        <v>97.53</v>
      </c>
    </row>
    <row r="45" spans="1:4">
      <c r="A45" t="s">
        <v>1079</v>
      </c>
      <c r="B45" s="7">
        <v>39904</v>
      </c>
      <c r="C45" s="8">
        <v>104.23</v>
      </c>
      <c r="D45" s="8">
        <v>96.25</v>
      </c>
    </row>
    <row r="46" spans="1:4">
      <c r="A46" t="s">
        <v>1080</v>
      </c>
      <c r="B46" s="7">
        <v>39995</v>
      </c>
      <c r="C46" s="8">
        <v>103.81</v>
      </c>
      <c r="D46" s="8">
        <v>95.41</v>
      </c>
    </row>
    <row r="47" spans="1:4">
      <c r="A47" t="s">
        <v>1081</v>
      </c>
      <c r="B47" s="7">
        <v>40087</v>
      </c>
      <c r="C47" s="8">
        <v>103.88</v>
      </c>
      <c r="D47" s="8">
        <v>95.43</v>
      </c>
    </row>
    <row r="48" spans="1:4">
      <c r="A48" t="s">
        <v>1082</v>
      </c>
      <c r="B48" s="7">
        <v>40179</v>
      </c>
      <c r="C48" s="8">
        <v>104.21</v>
      </c>
      <c r="D48" s="8">
        <v>95.17</v>
      </c>
    </row>
    <row r="49" spans="1:4">
      <c r="A49" t="s">
        <v>1083</v>
      </c>
      <c r="B49" s="7">
        <v>40269</v>
      </c>
      <c r="C49" s="8">
        <v>104.84</v>
      </c>
      <c r="D49" s="8">
        <v>94.96</v>
      </c>
    </row>
    <row r="50" spans="1:4">
      <c r="A50" t="s">
        <v>1084</v>
      </c>
      <c r="B50" s="7">
        <v>40360</v>
      </c>
      <c r="C50" s="8">
        <v>105.24</v>
      </c>
      <c r="D50" s="8">
        <v>95.16</v>
      </c>
    </row>
    <row r="51" spans="1:4">
      <c r="A51" t="s">
        <v>1085</v>
      </c>
      <c r="B51" s="7">
        <v>40452</v>
      </c>
      <c r="C51" s="8">
        <v>105.5</v>
      </c>
      <c r="D51" s="8">
        <v>94.64</v>
      </c>
    </row>
    <row r="52" spans="1:4">
      <c r="A52" t="s">
        <v>1086</v>
      </c>
      <c r="B52" s="7">
        <v>40544</v>
      </c>
      <c r="C52" s="8">
        <v>105.85</v>
      </c>
      <c r="D52" s="8">
        <v>93.31</v>
      </c>
    </row>
    <row r="53" spans="1:4">
      <c r="A53" t="s">
        <v>1087</v>
      </c>
      <c r="B53" s="7">
        <v>40634</v>
      </c>
      <c r="C53" s="8">
        <v>105.77</v>
      </c>
      <c r="D53" s="8">
        <v>92.39</v>
      </c>
    </row>
    <row r="54" spans="1:4">
      <c r="A54" t="s">
        <v>1088</v>
      </c>
      <c r="B54" s="7">
        <v>40725</v>
      </c>
      <c r="C54" s="8">
        <v>105.93</v>
      </c>
      <c r="D54" s="8">
        <v>92.31</v>
      </c>
    </row>
    <row r="55" spans="1:4">
      <c r="A55" t="s">
        <v>1089</v>
      </c>
      <c r="B55" s="7">
        <v>40817</v>
      </c>
      <c r="C55" s="8">
        <v>106.02</v>
      </c>
      <c r="D55" s="8">
        <v>92.02</v>
      </c>
    </row>
    <row r="56" spans="1:4">
      <c r="A56" t="s">
        <v>1090</v>
      </c>
      <c r="B56" s="7">
        <v>40909</v>
      </c>
      <c r="C56" s="8">
        <v>106.55</v>
      </c>
      <c r="D56" s="8">
        <v>91.26</v>
      </c>
    </row>
    <row r="57" spans="1:4">
      <c r="A57" t="s">
        <v>1091</v>
      </c>
      <c r="B57" s="7">
        <v>41000</v>
      </c>
      <c r="C57" s="8">
        <v>106.84</v>
      </c>
      <c r="D57" s="8">
        <v>90.97</v>
      </c>
    </row>
    <row r="58" spans="1:4">
      <c r="A58" t="s">
        <v>1092</v>
      </c>
      <c r="B58" s="7">
        <v>41091</v>
      </c>
      <c r="C58" s="8">
        <v>106.4</v>
      </c>
      <c r="D58" s="8">
        <v>91.13</v>
      </c>
    </row>
    <row r="59" spans="1:4">
      <c r="A59" t="s">
        <v>1093</v>
      </c>
      <c r="B59" s="7">
        <v>41183</v>
      </c>
      <c r="C59" s="8">
        <v>107.41</v>
      </c>
      <c r="D59" s="8">
        <v>91.02</v>
      </c>
    </row>
    <row r="60" spans="1:4">
      <c r="A60" t="s">
        <v>1094</v>
      </c>
      <c r="B60" s="7">
        <v>41275</v>
      </c>
      <c r="C60" s="8">
        <v>105.77</v>
      </c>
      <c r="D60" s="8">
        <v>90.93</v>
      </c>
    </row>
    <row r="61" spans="1:4">
      <c r="A61" t="s">
        <v>1095</v>
      </c>
      <c r="B61" s="7">
        <v>41365</v>
      </c>
      <c r="C61" s="8">
        <v>106.25</v>
      </c>
      <c r="D61" s="8">
        <v>91.57</v>
      </c>
    </row>
    <row r="62" spans="1:4">
      <c r="A62" t="s">
        <v>1096</v>
      </c>
      <c r="B62" s="7">
        <v>41456</v>
      </c>
      <c r="C62" s="8">
        <v>106.56</v>
      </c>
      <c r="D62" s="8">
        <v>91.91</v>
      </c>
    </row>
    <row r="63" spans="1:4">
      <c r="A63" t="s">
        <v>1097</v>
      </c>
      <c r="B63" s="7">
        <v>41548</v>
      </c>
      <c r="C63" s="8">
        <v>106.65</v>
      </c>
      <c r="D63" s="8">
        <v>92.23</v>
      </c>
    </row>
    <row r="64" spans="1:4">
      <c r="A64" t="s">
        <v>1098</v>
      </c>
      <c r="B64" s="7">
        <v>41640</v>
      </c>
      <c r="C64" s="8">
        <v>107.12</v>
      </c>
      <c r="D64" s="8">
        <v>92.51</v>
      </c>
    </row>
    <row r="65" spans="1:4">
      <c r="A65" t="s">
        <v>1099</v>
      </c>
      <c r="B65" s="7">
        <v>41730</v>
      </c>
      <c r="C65" s="8">
        <v>107.73</v>
      </c>
      <c r="D65" s="8">
        <v>93.14</v>
      </c>
    </row>
    <row r="66" spans="1:4">
      <c r="A66" t="s">
        <v>1100</v>
      </c>
      <c r="B66" s="7">
        <v>41821</v>
      </c>
      <c r="C66" s="8">
        <v>108.49</v>
      </c>
      <c r="D66" s="8">
        <v>93.74</v>
      </c>
    </row>
    <row r="67" spans="1:4">
      <c r="A67" t="s">
        <v>1101</v>
      </c>
      <c r="B67" s="7">
        <v>41913</v>
      </c>
      <c r="C67" s="8">
        <v>109.27</v>
      </c>
      <c r="D67" s="8">
        <v>94.28</v>
      </c>
    </row>
    <row r="68" spans="1:4">
      <c r="A68" t="s">
        <v>1102</v>
      </c>
      <c r="B68" s="7">
        <v>42005</v>
      </c>
      <c r="C68" s="8">
        <v>110.19</v>
      </c>
      <c r="D68" s="8">
        <v>95.24</v>
      </c>
    </row>
    <row r="69" spans="1:4">
      <c r="A69" t="s">
        <v>1103</v>
      </c>
      <c r="B69" s="7">
        <v>42095</v>
      </c>
      <c r="C69" s="8">
        <v>110.75</v>
      </c>
      <c r="D69" s="8">
        <v>96.06</v>
      </c>
    </row>
    <row r="70" spans="1:4">
      <c r="A70" t="s">
        <v>1104</v>
      </c>
      <c r="B70" s="7">
        <v>42186</v>
      </c>
      <c r="C70" s="8">
        <v>111.3</v>
      </c>
      <c r="D70" s="8">
        <v>97</v>
      </c>
    </row>
    <row r="71" spans="1:4">
      <c r="A71" t="s">
        <v>1105</v>
      </c>
      <c r="B71" s="7">
        <v>42278</v>
      </c>
      <c r="C71" s="8">
        <v>111.48</v>
      </c>
      <c r="D71" s="8">
        <v>97.78</v>
      </c>
    </row>
    <row r="72" spans="1:4">
      <c r="A72" t="s">
        <v>1106</v>
      </c>
      <c r="B72" s="7">
        <v>42370</v>
      </c>
      <c r="C72" s="8">
        <v>111.78</v>
      </c>
      <c r="D72" s="8">
        <v>98.91</v>
      </c>
    </row>
    <row r="73" spans="1:4">
      <c r="A73" t="s">
        <v>1107</v>
      </c>
      <c r="B73" s="7">
        <v>42461</v>
      </c>
      <c r="C73" s="8">
        <v>111.91</v>
      </c>
      <c r="D73" s="8">
        <v>100.06</v>
      </c>
    </row>
    <row r="74" spans="1:4">
      <c r="A74" t="s">
        <v>1108</v>
      </c>
      <c r="B74" s="7">
        <v>42552</v>
      </c>
      <c r="C74" s="8">
        <v>112.26</v>
      </c>
      <c r="D74" s="8">
        <v>101.19</v>
      </c>
    </row>
    <row r="75" spans="1:4">
      <c r="A75" t="s">
        <v>1109</v>
      </c>
      <c r="B75" s="7">
        <v>42644</v>
      </c>
      <c r="C75" s="8">
        <v>112.52</v>
      </c>
      <c r="D75" s="8">
        <v>101.83</v>
      </c>
    </row>
    <row r="76" spans="1:4">
      <c r="A76" t="s">
        <v>1110</v>
      </c>
      <c r="B76" s="7">
        <v>42736</v>
      </c>
      <c r="C76" s="8">
        <v>113.27</v>
      </c>
      <c r="D76" s="8">
        <v>102.58</v>
      </c>
    </row>
    <row r="77" spans="1:4">
      <c r="A77" t="s">
        <v>1111</v>
      </c>
      <c r="B77" s="7">
        <v>42826</v>
      </c>
      <c r="C77" s="8">
        <v>113.83</v>
      </c>
      <c r="D77" s="8">
        <v>104.16</v>
      </c>
    </row>
    <row r="78" spans="1:4">
      <c r="A78" t="s">
        <v>1112</v>
      </c>
      <c r="B78" s="7">
        <v>42917</v>
      </c>
      <c r="C78" s="8">
        <v>114.39</v>
      </c>
      <c r="D78" s="8">
        <v>104.72</v>
      </c>
    </row>
    <row r="79" spans="1:4">
      <c r="A79" t="s">
        <v>1113</v>
      </c>
      <c r="B79" s="7">
        <v>43009</v>
      </c>
      <c r="C79" s="8">
        <v>115.03</v>
      </c>
      <c r="D79" s="8">
        <v>104.95</v>
      </c>
    </row>
    <row r="80" spans="1:4">
      <c r="A80" t="s">
        <v>1114</v>
      </c>
      <c r="B80" s="7">
        <v>43101</v>
      </c>
      <c r="C80" s="8">
        <v>115.89</v>
      </c>
      <c r="D80" s="8">
        <v>105.39</v>
      </c>
    </row>
    <row r="81" spans="1:4">
      <c r="A81" t="s">
        <v>1115</v>
      </c>
      <c r="B81" s="7">
        <v>43191</v>
      </c>
      <c r="C81" s="8">
        <v>116.43</v>
      </c>
      <c r="D81" s="8">
        <v>106.26</v>
      </c>
    </row>
    <row r="82" spans="1:4">
      <c r="A82" t="s">
        <v>1116</v>
      </c>
      <c r="B82" s="7">
        <v>43282</v>
      </c>
      <c r="C82" s="8">
        <v>116.86</v>
      </c>
      <c r="D82" s="8">
        <v>106.64</v>
      </c>
    </row>
    <row r="83" spans="1:4">
      <c r="A83" t="s">
        <v>1117</v>
      </c>
      <c r="B83" s="7">
        <v>43374</v>
      </c>
      <c r="C83" s="8">
        <v>117.48</v>
      </c>
      <c r="D83" s="8">
        <v>106.9</v>
      </c>
    </row>
    <row r="84" spans="1:4">
      <c r="A84" t="s">
        <v>1118</v>
      </c>
      <c r="B84" s="7">
        <v>43466</v>
      </c>
      <c r="C84" s="8">
        <v>118.3</v>
      </c>
      <c r="D84" s="8">
        <v>107.44</v>
      </c>
    </row>
    <row r="85" spans="1:4">
      <c r="A85" t="s">
        <v>1152</v>
      </c>
      <c r="B85" s="7">
        <v>43556</v>
      </c>
      <c r="C85" s="8">
        <v>118.61</v>
      </c>
      <c r="D85" s="8">
        <v>107.94</v>
      </c>
    </row>
    <row r="86" spans="1:4">
      <c r="A86" t="s">
        <v>1159</v>
      </c>
      <c r="B86" s="7">
        <v>43647</v>
      </c>
      <c r="C86" s="8">
        <v>119.1</v>
      </c>
      <c r="D86" s="8">
        <v>108.55</v>
      </c>
    </row>
    <row r="87" spans="1:4">
      <c r="A87" t="s">
        <v>1166</v>
      </c>
      <c r="B87" s="7">
        <v>43739</v>
      </c>
      <c r="C87" s="8" t="e">
        <v>#N/A</v>
      </c>
      <c r="D87" s="8" t="e">
        <v>#N/A</v>
      </c>
    </row>
  </sheetData>
  <hyperlinks>
    <hyperlink ref="C1" r:id="rId1" xr:uid="{1B2AF960-9B37-412E-A8EB-AE518E7709A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A21B-7011-4704-981C-6B34DAA26C16}">
  <sheetPr>
    <tabColor rgb="FFFF0000"/>
  </sheetPr>
  <dimension ref="A1:AA256"/>
  <sheetViews>
    <sheetView workbookViewId="0">
      <pane xSplit="1" ySplit="1" topLeftCell="J231" activePane="bottomRight" state="frozen"/>
      <selection pane="topRight" activeCell="B1" sqref="B1"/>
      <selection pane="bottomLeft" activeCell="A2" sqref="A2"/>
      <selection pane="bottomRight" activeCell="J254" sqref="J254"/>
    </sheetView>
  </sheetViews>
  <sheetFormatPr defaultRowHeight="15"/>
  <sheetData>
    <row r="1" spans="1:27">
      <c r="B1" s="1" t="s">
        <v>1016</v>
      </c>
      <c r="C1" s="1" t="s">
        <v>1017</v>
      </c>
      <c r="D1" s="1" t="s">
        <v>1018</v>
      </c>
      <c r="E1" s="1" t="s">
        <v>1132</v>
      </c>
      <c r="F1" s="1" t="s">
        <v>1131</v>
      </c>
      <c r="G1" s="1" t="s">
        <v>1019</v>
      </c>
      <c r="H1" s="1" t="s">
        <v>1020</v>
      </c>
      <c r="I1" s="1" t="s">
        <v>1021</v>
      </c>
      <c r="J1" s="1" t="s">
        <v>1022</v>
      </c>
      <c r="K1" s="6" t="s">
        <v>1023</v>
      </c>
      <c r="L1" s="6" t="s">
        <v>1024</v>
      </c>
      <c r="M1" s="1" t="s">
        <v>1133</v>
      </c>
      <c r="N1" s="1" t="s">
        <v>1134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t="s">
        <v>1035</v>
      </c>
      <c r="Z1" s="1" t="s">
        <v>1129</v>
      </c>
      <c r="AA1" s="1" t="s">
        <v>1144</v>
      </c>
    </row>
    <row r="2" spans="1:27">
      <c r="A2" t="str">
        <f>'Monthly Haver'!A5</f>
        <v>Jan-1999</v>
      </c>
      <c r="B2">
        <f>'Monthly Haver'!C5</f>
        <v>53.597799999999999</v>
      </c>
      <c r="C2">
        <f>'Monthly Haver'!D5</f>
        <v>42.7209</v>
      </c>
      <c r="D2" t="e">
        <f>'Monthly Haver'!E5</f>
        <v>#N/A</v>
      </c>
      <c r="E2">
        <f>'Monthly Haver'!G5</f>
        <v>50.825299999999999</v>
      </c>
      <c r="F2">
        <f>'Monthly Haver'!H5</f>
        <v>48.725000000000001</v>
      </c>
      <c r="G2" t="e">
        <f>'Monthly Haver'!I5</f>
        <v>#N/A</v>
      </c>
      <c r="H2">
        <f>'Monthly Haver'!J5</f>
        <v>55.695300000000003</v>
      </c>
      <c r="I2">
        <f>GDS_Monthly!O119</f>
        <v>46.798566993595074</v>
      </c>
      <c r="J2">
        <f>GDS_Monthly!D119</f>
        <v>65.766690706785923</v>
      </c>
      <c r="K2">
        <f>GDS_Monthly!AH119</f>
        <v>348.53117049999997</v>
      </c>
      <c r="L2">
        <f>GDS_Monthly!AI119</f>
        <v>343.30954309999998</v>
      </c>
      <c r="M2">
        <f>GDS_Monthly!N119</f>
        <v>6.1802982787856893</v>
      </c>
      <c r="N2">
        <f>GDS_Monthly!C119</f>
        <v>118.59649694956238</v>
      </c>
      <c r="O2">
        <f>GDS_Monthly!F119</f>
        <v>4.1412505931158838</v>
      </c>
      <c r="P2">
        <f>GDS_Monthly!G119</f>
        <v>5.8924083978899402</v>
      </c>
      <c r="Q2">
        <f>GDS_Monthly!T119</f>
        <v>74.240078597679855</v>
      </c>
      <c r="R2">
        <f>GDS_Monthly!V119</f>
        <v>79.457887941693116</v>
      </c>
      <c r="S2">
        <f>GDS_Monthly!W119</f>
        <v>64.630326571218049</v>
      </c>
      <c r="T2">
        <f>GDS_Monthly!X119</f>
        <v>36.397901769957684</v>
      </c>
      <c r="U2">
        <f>GDS_Monthly!AA119</f>
        <v>51.504077335536884</v>
      </c>
      <c r="V2">
        <f>GDS_Monthly!AC119</f>
        <v>32.584569473823919</v>
      </c>
      <c r="W2">
        <f>GDS_Monthly!AE119</f>
        <v>26.140203643253269</v>
      </c>
      <c r="X2">
        <f>GDS_Monthly!AF119</f>
        <v>69.79151756105621</v>
      </c>
      <c r="Y2">
        <f>OECD!B2</f>
        <v>99.501040000000003</v>
      </c>
      <c r="Z2">
        <f>'Monthly Haver'!K5</f>
        <v>104.75529</v>
      </c>
      <c r="AA2" s="8">
        <f>OECD!C2</f>
        <v>95.61</v>
      </c>
    </row>
    <row r="3" spans="1:27">
      <c r="A3" t="str">
        <f>'Monthly Haver'!A6</f>
        <v>Feb-1999</v>
      </c>
      <c r="B3">
        <f>'Monthly Haver'!C6</f>
        <v>54.123100000000001</v>
      </c>
      <c r="C3">
        <f>'Monthly Haver'!D6</f>
        <v>42.862099999999998</v>
      </c>
      <c r="D3" t="e">
        <f>'Monthly Haver'!E6</f>
        <v>#N/A</v>
      </c>
      <c r="E3">
        <f>'Monthly Haver'!G6</f>
        <v>51.454999999999998</v>
      </c>
      <c r="F3">
        <f>'Monthly Haver'!H6</f>
        <v>49.855499999999999</v>
      </c>
      <c r="G3" t="e">
        <f>'Monthly Haver'!I6</f>
        <v>#N/A</v>
      </c>
      <c r="H3">
        <f>'Monthly Haver'!J6</f>
        <v>55.325000000000003</v>
      </c>
      <c r="I3">
        <f>GDS_Monthly!O120</f>
        <v>47.090047574765983</v>
      </c>
      <c r="J3">
        <f>GDS_Monthly!D120</f>
        <v>66.078071941645192</v>
      </c>
      <c r="K3">
        <f>GDS_Monthly!AH120</f>
        <v>349.50295360000001</v>
      </c>
      <c r="L3">
        <f>GDS_Monthly!AI120</f>
        <v>337.65463999999997</v>
      </c>
      <c r="M3">
        <f>GDS_Monthly!N120</f>
        <v>6.1883839655294537</v>
      </c>
      <c r="N3">
        <f>GDS_Monthly!C120</f>
        <v>119.68398228521174</v>
      </c>
      <c r="O3">
        <f>GDS_Monthly!F120</f>
        <v>4.3355724571428595</v>
      </c>
      <c r="P3">
        <f>GDS_Monthly!G120</f>
        <v>5.6835612213971514</v>
      </c>
      <c r="Q3">
        <f>GDS_Monthly!T120</f>
        <v>74.333258627561676</v>
      </c>
      <c r="R3">
        <f>GDS_Monthly!V120</f>
        <v>79.546620427416983</v>
      </c>
      <c r="S3">
        <f>GDS_Monthly!W120</f>
        <v>59.730250661013706</v>
      </c>
      <c r="T3">
        <f>GDS_Monthly!X120</f>
        <v>36.917985349646727</v>
      </c>
      <c r="U3">
        <f>GDS_Monthly!AA120</f>
        <v>49.308958982155893</v>
      </c>
      <c r="V3">
        <f>GDS_Monthly!AC120</f>
        <v>31.458463415447888</v>
      </c>
      <c r="W3">
        <f>GDS_Monthly!AE120</f>
        <v>25.242364729720624</v>
      </c>
      <c r="X3">
        <f>GDS_Monthly!AF120</f>
        <v>69.661742055808162</v>
      </c>
      <c r="Y3">
        <f>OECD!B3</f>
        <v>99.688869999999994</v>
      </c>
      <c r="Z3">
        <f>'Monthly Haver'!K6</f>
        <v>105.58412</v>
      </c>
      <c r="AA3" s="8">
        <f>OECD!C3</f>
        <v>96.34</v>
      </c>
    </row>
    <row r="4" spans="1:27">
      <c r="A4" t="str">
        <f>'Monthly Haver'!A7</f>
        <v>Mar-1999</v>
      </c>
      <c r="B4">
        <f>'Monthly Haver'!C7</f>
        <v>55.385199999999998</v>
      </c>
      <c r="C4">
        <f>'Monthly Haver'!D7</f>
        <v>46.313600000000001</v>
      </c>
      <c r="D4" t="e">
        <f>'Monthly Haver'!E7</f>
        <v>#N/A</v>
      </c>
      <c r="E4">
        <f>'Monthly Haver'!G7</f>
        <v>51.459899999999998</v>
      </c>
      <c r="F4">
        <f>'Monthly Haver'!H7</f>
        <v>50.735799999999998</v>
      </c>
      <c r="G4" t="e">
        <f>'Monthly Haver'!I7</f>
        <v>#N/A</v>
      </c>
      <c r="H4">
        <f>'Monthly Haver'!J7</f>
        <v>56.976100000000002</v>
      </c>
      <c r="I4">
        <f>GDS_Monthly!O121</f>
        <v>47.707037530023101</v>
      </c>
      <c r="J4">
        <f>GDS_Monthly!D121</f>
        <v>66.43422386171278</v>
      </c>
      <c r="K4">
        <f>GDS_Monthly!AH121</f>
        <v>353.75933209999999</v>
      </c>
      <c r="L4">
        <f>GDS_Monthly!AI121</f>
        <v>346.54338680000001</v>
      </c>
      <c r="M4">
        <f>GDS_Monthly!N121</f>
        <v>6.1876084198933947</v>
      </c>
      <c r="N4">
        <f>GDS_Monthly!C121</f>
        <v>119.68072291000782</v>
      </c>
      <c r="O4">
        <f>GDS_Monthly!F121</f>
        <v>4.4351016191515615</v>
      </c>
      <c r="P4">
        <f>GDS_Monthly!G121</f>
        <v>6.0039843906582977</v>
      </c>
      <c r="Q4">
        <f>GDS_Monthly!T121</f>
        <v>74.491015719898385</v>
      </c>
      <c r="R4">
        <f>GDS_Monthly!V121</f>
        <v>79.7077583119666</v>
      </c>
      <c r="S4">
        <f>GDS_Monthly!W121</f>
        <v>57.937052288626049</v>
      </c>
      <c r="T4">
        <f>GDS_Monthly!X121</f>
        <v>37.299843026900334</v>
      </c>
      <c r="U4">
        <f>GDS_Monthly!AA121</f>
        <v>48.513971660027231</v>
      </c>
      <c r="V4">
        <f>GDS_Monthly!AC121</f>
        <v>34.98186065499236</v>
      </c>
      <c r="W4">
        <f>GDS_Monthly!AE121</f>
        <v>30.593839079722443</v>
      </c>
      <c r="X4">
        <f>GDS_Monthly!AF121</f>
        <v>70.578529801104779</v>
      </c>
      <c r="Y4">
        <f>OECD!B4</f>
        <v>99.874690000000001</v>
      </c>
      <c r="Z4">
        <f>'Monthly Haver'!K7</f>
        <v>106.60348</v>
      </c>
      <c r="AA4" s="8">
        <f>OECD!C4</f>
        <v>96.64</v>
      </c>
    </row>
    <row r="5" spans="1:27">
      <c r="A5" t="str">
        <f>'Monthly Haver'!A8</f>
        <v>Apr-1999</v>
      </c>
      <c r="B5">
        <f>'Monthly Haver'!C8</f>
        <v>55.998600000000003</v>
      </c>
      <c r="C5">
        <f>'Monthly Haver'!D8</f>
        <v>49.047400000000003</v>
      </c>
      <c r="D5" t="e">
        <f>'Monthly Haver'!E8</f>
        <v>#N/A</v>
      </c>
      <c r="E5">
        <f>'Monthly Haver'!G8</f>
        <v>52.089500000000001</v>
      </c>
      <c r="F5">
        <f>'Monthly Haver'!H8</f>
        <v>51.2547</v>
      </c>
      <c r="G5" t="e">
        <f>'Monthly Haver'!I8</f>
        <v>#N/A</v>
      </c>
      <c r="H5">
        <f>'Monthly Haver'!J8</f>
        <v>57.591299999999997</v>
      </c>
      <c r="I5">
        <f>GDS_Monthly!O122</f>
        <v>47.641380966100897</v>
      </c>
      <c r="J5">
        <f>GDS_Monthly!D122</f>
        <v>66.654923621893118</v>
      </c>
      <c r="K5">
        <f>GDS_Monthly!AH122</f>
        <v>351.52123940000001</v>
      </c>
      <c r="L5">
        <f>GDS_Monthly!AI122</f>
        <v>345.01638109999999</v>
      </c>
      <c r="M5">
        <f>GDS_Monthly!N122</f>
        <v>6.1780132808932953</v>
      </c>
      <c r="N5">
        <f>GDS_Monthly!C122</f>
        <v>120.19432635791381</v>
      </c>
      <c r="O5">
        <f>GDS_Monthly!F122</f>
        <v>4.3134967727367783</v>
      </c>
      <c r="P5">
        <f>GDS_Monthly!G122</f>
        <v>5.3779157693909232</v>
      </c>
      <c r="Q5">
        <f>GDS_Monthly!T122</f>
        <v>74.775949925729662</v>
      </c>
      <c r="R5">
        <f>GDS_Monthly!V122</f>
        <v>79.890023006222975</v>
      </c>
      <c r="S5">
        <f>GDS_Monthly!W122</f>
        <v>59.170833708037776</v>
      </c>
      <c r="T5">
        <f>GDS_Monthly!X122</f>
        <v>38.769808792548517</v>
      </c>
      <c r="U5">
        <f>GDS_Monthly!AA122</f>
        <v>49.095825562694472</v>
      </c>
      <c r="V5">
        <f>GDS_Monthly!AC122</f>
        <v>40.728867651848724</v>
      </c>
      <c r="W5">
        <f>GDS_Monthly!AE122</f>
        <v>37.660441545449466</v>
      </c>
      <c r="X5">
        <f>GDS_Monthly!AF122</f>
        <v>69.408325759711758</v>
      </c>
      <c r="Y5">
        <f>OECD!B5</f>
        <v>100.0538</v>
      </c>
      <c r="Z5">
        <f>'Monthly Haver'!K8</f>
        <v>106.42934</v>
      </c>
      <c r="AA5" s="8">
        <f>OECD!C5</f>
        <v>97.25</v>
      </c>
    </row>
    <row r="6" spans="1:27">
      <c r="A6" t="str">
        <f>'Monthly Haver'!A9</f>
        <v>May-1999</v>
      </c>
      <c r="B6">
        <f>'Monthly Haver'!C9</f>
        <v>55.915900000000001</v>
      </c>
      <c r="C6">
        <f>'Monthly Haver'!D9</f>
        <v>51.091099999999997</v>
      </c>
      <c r="D6" t="e">
        <f>'Monthly Haver'!E9</f>
        <v>#N/A</v>
      </c>
      <c r="E6">
        <f>'Monthly Haver'!G9</f>
        <v>52.693199999999997</v>
      </c>
      <c r="F6">
        <f>'Monthly Haver'!H9</f>
        <v>52.340800000000002</v>
      </c>
      <c r="G6" t="e">
        <f>'Monthly Haver'!I9</f>
        <v>#N/A</v>
      </c>
      <c r="H6">
        <f>'Monthly Haver'!J9</f>
        <v>56.572600000000001</v>
      </c>
      <c r="I6">
        <f>GDS_Monthly!O123</f>
        <v>47.958598176404536</v>
      </c>
      <c r="J6">
        <f>GDS_Monthly!D123</f>
        <v>67.105888620242254</v>
      </c>
      <c r="K6">
        <f>GDS_Monthly!AH123</f>
        <v>357.45037020000001</v>
      </c>
      <c r="L6">
        <f>GDS_Monthly!AI123</f>
        <v>347.63978250000002</v>
      </c>
      <c r="M6">
        <f>GDS_Monthly!N123</f>
        <v>6.1298479439274596</v>
      </c>
      <c r="N6">
        <f>GDS_Monthly!C123</f>
        <v>120.78991487126702</v>
      </c>
      <c r="O6">
        <f>GDS_Monthly!F123</f>
        <v>4.5002013486923396</v>
      </c>
      <c r="P6">
        <f>GDS_Monthly!G123</f>
        <v>4.9514130245425667</v>
      </c>
      <c r="Q6">
        <f>GDS_Monthly!T123</f>
        <v>74.862190131231259</v>
      </c>
      <c r="R6">
        <f>GDS_Monthly!V123</f>
        <v>80.011264210625626</v>
      </c>
      <c r="S6">
        <f>GDS_Monthly!W123</f>
        <v>59.728118426114939</v>
      </c>
      <c r="T6">
        <f>GDS_Monthly!X123</f>
        <v>39.986860379655461</v>
      </c>
      <c r="U6">
        <f>GDS_Monthly!AA123</f>
        <v>49.601792856042294</v>
      </c>
      <c r="V6">
        <f>GDS_Monthly!AC123</f>
        <v>42.045513941387</v>
      </c>
      <c r="W6">
        <f>GDS_Monthly!AE123</f>
        <v>38.766826974170378</v>
      </c>
      <c r="X6">
        <f>GDS_Monthly!AF123</f>
        <v>71.430793997935353</v>
      </c>
      <c r="Y6">
        <f>OECD!B6</f>
        <v>100.2218</v>
      </c>
      <c r="Z6">
        <f>'Monthly Haver'!K9</f>
        <v>107.03248000000001</v>
      </c>
      <c r="AA6" s="8">
        <f>OECD!C6</f>
        <v>98.12</v>
      </c>
    </row>
    <row r="7" spans="1:27">
      <c r="A7" t="str">
        <f>'Monthly Haver'!A10</f>
        <v>Jun-1999</v>
      </c>
      <c r="B7">
        <f>'Monthly Haver'!C10</f>
        <v>57.88</v>
      </c>
      <c r="C7">
        <f>'Monthly Haver'!D10</f>
        <v>52.105600000000003</v>
      </c>
      <c r="D7" t="e">
        <f>'Monthly Haver'!E10</f>
        <v>#N/A</v>
      </c>
      <c r="E7">
        <f>'Monthly Haver'!G10</f>
        <v>53.680300000000003</v>
      </c>
      <c r="F7">
        <f>'Monthly Haver'!H10</f>
        <v>53.542200000000001</v>
      </c>
      <c r="G7" t="e">
        <f>'Monthly Haver'!I10</f>
        <v>#N/A</v>
      </c>
      <c r="H7">
        <f>'Monthly Haver'!J10</f>
        <v>57.460299999999997</v>
      </c>
      <c r="I7">
        <f>GDS_Monthly!O124</f>
        <v>48.265373414279409</v>
      </c>
      <c r="J7">
        <f>GDS_Monthly!D124</f>
        <v>67.334546349770164</v>
      </c>
      <c r="K7">
        <f>GDS_Monthly!AH124</f>
        <v>366.78817930000002</v>
      </c>
      <c r="L7">
        <f>GDS_Monthly!AI124</f>
        <v>350.3086773</v>
      </c>
      <c r="M7">
        <f>GDS_Monthly!N124</f>
        <v>6.1282811295626702</v>
      </c>
      <c r="N7">
        <f>GDS_Monthly!C124</f>
        <v>121.36047172786137</v>
      </c>
      <c r="O7">
        <f>GDS_Monthly!F124</f>
        <v>4.8231277346130277</v>
      </c>
      <c r="P7">
        <f>GDS_Monthly!G124</f>
        <v>4.8854793550902427</v>
      </c>
      <c r="Q7">
        <f>GDS_Monthly!T124</f>
        <v>74.962489573905117</v>
      </c>
      <c r="R7">
        <f>GDS_Monthly!V124</f>
        <v>80.122050311214394</v>
      </c>
      <c r="S7">
        <f>GDS_Monthly!W124</f>
        <v>57.970115270052368</v>
      </c>
      <c r="T7">
        <f>GDS_Monthly!X124</f>
        <v>39.018172612183527</v>
      </c>
      <c r="U7">
        <f>GDS_Monthly!AA124</f>
        <v>48.23643045385753</v>
      </c>
      <c r="V7">
        <f>GDS_Monthly!AC124</f>
        <v>42.719851335593297</v>
      </c>
      <c r="W7">
        <f>GDS_Monthly!AE124</f>
        <v>39.307789969652184</v>
      </c>
      <c r="X7">
        <f>GDS_Monthly!AF124</f>
        <v>71.122847966749106</v>
      </c>
      <c r="Y7">
        <f>OECD!B7</f>
        <v>100.3789</v>
      </c>
      <c r="Z7">
        <f>'Monthly Haver'!K10</f>
        <v>108.01749</v>
      </c>
      <c r="AA7" s="8">
        <f>OECD!C7</f>
        <v>98.7</v>
      </c>
    </row>
    <row r="8" spans="1:27">
      <c r="A8" t="str">
        <f>'Monthly Haver'!A11</f>
        <v>Jul-1999</v>
      </c>
      <c r="B8">
        <f>'Monthly Haver'!C11</f>
        <v>57.314599999999999</v>
      </c>
      <c r="C8">
        <f>'Monthly Haver'!D11</f>
        <v>54.7592</v>
      </c>
      <c r="D8" t="e">
        <f>'Monthly Haver'!E11</f>
        <v>#N/A</v>
      </c>
      <c r="E8">
        <f>'Monthly Haver'!G11</f>
        <v>53.422899999999998</v>
      </c>
      <c r="F8">
        <f>'Monthly Haver'!H11</f>
        <v>53.127699999999997</v>
      </c>
      <c r="G8" t="e">
        <f>'Monthly Haver'!I11</f>
        <v>#N/A</v>
      </c>
      <c r="H8">
        <f>'Monthly Haver'!J11</f>
        <v>59.446399999999997</v>
      </c>
      <c r="I8">
        <f>GDS_Monthly!O125</f>
        <v>48.568560853445938</v>
      </c>
      <c r="J8">
        <f>GDS_Monthly!D125</f>
        <v>67.702661486105114</v>
      </c>
      <c r="K8">
        <f>GDS_Monthly!AH125</f>
        <v>368.14641560000001</v>
      </c>
      <c r="L8">
        <f>GDS_Monthly!AI125</f>
        <v>360.15831839999998</v>
      </c>
      <c r="M8">
        <f>GDS_Monthly!N125</f>
        <v>6.1016193855637333</v>
      </c>
      <c r="N8">
        <f>GDS_Monthly!C125</f>
        <v>120.75109343015363</v>
      </c>
      <c r="O8">
        <f>GDS_Monthly!F125</f>
        <v>4.9035408046605751</v>
      </c>
      <c r="P8">
        <f>GDS_Monthly!G125</f>
        <v>4.7492709504624582</v>
      </c>
      <c r="Q8">
        <f>GDS_Monthly!T125</f>
        <v>75.212716285737528</v>
      </c>
      <c r="R8">
        <f>GDS_Monthly!V125</f>
        <v>80.27497696979421</v>
      </c>
      <c r="S8">
        <f>GDS_Monthly!W125</f>
        <v>56.29503328733967</v>
      </c>
      <c r="T8">
        <f>GDS_Monthly!X125</f>
        <v>41.904732519579028</v>
      </c>
      <c r="U8">
        <f>GDS_Monthly!AA125</f>
        <v>47.644857366654676</v>
      </c>
      <c r="V8">
        <f>GDS_Monthly!AC125</f>
        <v>47.300331753315085</v>
      </c>
      <c r="W8">
        <f>GDS_Monthly!AE125</f>
        <v>45.405163646989998</v>
      </c>
      <c r="X8">
        <f>GDS_Monthly!AF125</f>
        <v>70.073576389296093</v>
      </c>
      <c r="Y8">
        <f>OECD!B8</f>
        <v>100.52460000000001</v>
      </c>
      <c r="Z8">
        <f>'Monthly Haver'!K11</f>
        <v>107.85762</v>
      </c>
      <c r="AA8" s="8">
        <f>OECD!C8</f>
        <v>98.78</v>
      </c>
    </row>
    <row r="9" spans="1:27">
      <c r="A9" t="str">
        <f>'Monthly Haver'!A12</f>
        <v>Aug-1999</v>
      </c>
      <c r="B9">
        <f>'Monthly Haver'!C12</f>
        <v>58.445500000000003</v>
      </c>
      <c r="C9">
        <f>'Monthly Haver'!D12</f>
        <v>56.783299999999997</v>
      </c>
      <c r="D9" t="e">
        <f>'Monthly Haver'!E12</f>
        <v>#N/A</v>
      </c>
      <c r="E9">
        <f>'Monthly Haver'!G12</f>
        <v>53.566099999999999</v>
      </c>
      <c r="F9">
        <f>'Monthly Haver'!H12</f>
        <v>54.078600000000002</v>
      </c>
      <c r="G9" t="e">
        <f>'Monthly Haver'!I12</f>
        <v>#N/A</v>
      </c>
      <c r="H9">
        <f>'Monthly Haver'!J12</f>
        <v>59.464500000000001</v>
      </c>
      <c r="I9">
        <f>GDS_Monthly!O126</f>
        <v>48.865229834918779</v>
      </c>
      <c r="J9">
        <f>GDS_Monthly!D126</f>
        <v>68.116441365115392</v>
      </c>
      <c r="K9">
        <f>GDS_Monthly!AH126</f>
        <v>376.04072430000002</v>
      </c>
      <c r="L9">
        <f>GDS_Monthly!AI126</f>
        <v>365.35816440000002</v>
      </c>
      <c r="M9">
        <f>GDS_Monthly!N126</f>
        <v>6.0777222214601485</v>
      </c>
      <c r="N9">
        <f>GDS_Monthly!C126</f>
        <v>120.74855738488583</v>
      </c>
      <c r="O9">
        <f>GDS_Monthly!F126</f>
        <v>5.0666090862079551</v>
      </c>
      <c r="P9">
        <f>GDS_Monthly!G126</f>
        <v>4.8159679803874837</v>
      </c>
      <c r="Q9">
        <f>GDS_Monthly!T126</f>
        <v>75.426541585084976</v>
      </c>
      <c r="R9">
        <f>GDS_Monthly!V126</f>
        <v>80.379334042959158</v>
      </c>
      <c r="S9">
        <f>GDS_Monthly!W126</f>
        <v>57.952559231891115</v>
      </c>
      <c r="T9">
        <f>GDS_Monthly!X126</f>
        <v>43.136453665573299</v>
      </c>
      <c r="U9">
        <f>GDS_Monthly!AA126</f>
        <v>48.616017787206438</v>
      </c>
      <c r="V9">
        <f>GDS_Monthly!AC126</f>
        <v>51.401240578470784</v>
      </c>
      <c r="W9">
        <f>GDS_Monthly!AE126</f>
        <v>48.04610833319979</v>
      </c>
      <c r="X9">
        <f>GDS_Monthly!AF126</f>
        <v>69.962439091912813</v>
      </c>
      <c r="Y9">
        <f>OECD!B9</f>
        <v>100.66160000000001</v>
      </c>
      <c r="Z9">
        <f>'Monthly Haver'!K12</f>
        <v>107.49370999999999</v>
      </c>
      <c r="AA9" s="8">
        <f>OECD!C9</f>
        <v>98.8</v>
      </c>
    </row>
    <row r="10" spans="1:27">
      <c r="A10" t="str">
        <f>'Monthly Haver'!A13</f>
        <v>Sep-1999</v>
      </c>
      <c r="B10">
        <f>'Monthly Haver'!C13</f>
        <v>60.0929</v>
      </c>
      <c r="C10">
        <f>'Monthly Haver'!D13</f>
        <v>60.643999999999998</v>
      </c>
      <c r="D10" t="e">
        <f>'Monthly Haver'!E13</f>
        <v>#N/A</v>
      </c>
      <c r="E10">
        <f>'Monthly Haver'!G13</f>
        <v>53.511600000000001</v>
      </c>
      <c r="F10">
        <f>'Monthly Haver'!H13</f>
        <v>55.688000000000002</v>
      </c>
      <c r="G10" t="e">
        <f>'Monthly Haver'!I13</f>
        <v>#N/A</v>
      </c>
      <c r="H10">
        <f>'Monthly Haver'!J13</f>
        <v>59.041699999999999</v>
      </c>
      <c r="I10">
        <f>GDS_Monthly!O127</f>
        <v>48.872985904346507</v>
      </c>
      <c r="J10">
        <f>GDS_Monthly!D127</f>
        <v>68.54255527447279</v>
      </c>
      <c r="K10">
        <f>GDS_Monthly!AH127</f>
        <v>385.98611349999999</v>
      </c>
      <c r="L10">
        <f>GDS_Monthly!AI127</f>
        <v>373.11636279999999</v>
      </c>
      <c r="M10">
        <f>GDS_Monthly!N127</f>
        <v>6.0471354183894936</v>
      </c>
      <c r="N10">
        <f>GDS_Monthly!C127</f>
        <v>120.32738586016698</v>
      </c>
      <c r="O10">
        <f>GDS_Monthly!F127</f>
        <v>5.1061159801848701</v>
      </c>
      <c r="P10">
        <f>GDS_Monthly!G127</f>
        <v>4.8967154750392874</v>
      </c>
      <c r="Q10">
        <f>GDS_Monthly!T127</f>
        <v>75.658392659337053</v>
      </c>
      <c r="R10">
        <f>GDS_Monthly!V127</f>
        <v>80.595117872646497</v>
      </c>
      <c r="S10">
        <f>GDS_Monthly!W127</f>
        <v>58.694530675097809</v>
      </c>
      <c r="T10">
        <f>GDS_Monthly!X127</f>
        <v>45.284138699606771</v>
      </c>
      <c r="U10">
        <f>GDS_Monthly!AA127</f>
        <v>49.635083283236881</v>
      </c>
      <c r="V10">
        <f>GDS_Monthly!AC127</f>
        <v>54.866576261336569</v>
      </c>
      <c r="W10">
        <f>GDS_Monthly!AE127</f>
        <v>52.726411352146272</v>
      </c>
      <c r="X10">
        <f>GDS_Monthly!AF127</f>
        <v>72.03333081164061</v>
      </c>
      <c r="Y10">
        <f>OECD!B10</f>
        <v>100.7954</v>
      </c>
      <c r="Z10">
        <f>'Monthly Haver'!K13</f>
        <v>106.90362</v>
      </c>
      <c r="AA10" s="8">
        <f>OECD!C10</f>
        <v>98.59</v>
      </c>
    </row>
    <row r="11" spans="1:27">
      <c r="A11" t="str">
        <f>'Monthly Haver'!A14</f>
        <v>Oct-1999</v>
      </c>
      <c r="B11">
        <f>'Monthly Haver'!C14</f>
        <v>60.822499999999998</v>
      </c>
      <c r="C11">
        <f>'Monthly Haver'!D14</f>
        <v>60.562800000000003</v>
      </c>
      <c r="D11" t="e">
        <f>'Monthly Haver'!E14</f>
        <v>#N/A</v>
      </c>
      <c r="E11">
        <f>'Monthly Haver'!G14</f>
        <v>54.108800000000002</v>
      </c>
      <c r="F11">
        <f>'Monthly Haver'!H14</f>
        <v>56.532899999999998</v>
      </c>
      <c r="G11" t="e">
        <f>'Monthly Haver'!I14</f>
        <v>#N/A</v>
      </c>
      <c r="H11">
        <f>'Monthly Haver'!J14</f>
        <v>60.356499999999997</v>
      </c>
      <c r="I11">
        <f>GDS_Monthly!O128</f>
        <v>49.519842273867134</v>
      </c>
      <c r="J11">
        <f>GDS_Monthly!D128</f>
        <v>68.798137546052885</v>
      </c>
      <c r="K11">
        <f>GDS_Monthly!AH128</f>
        <v>391.70971159999999</v>
      </c>
      <c r="L11">
        <f>GDS_Monthly!AI128</f>
        <v>382.2456914</v>
      </c>
      <c r="M11">
        <f>GDS_Monthly!N128</f>
        <v>6.0298892164748432</v>
      </c>
      <c r="N11">
        <f>GDS_Monthly!C128</f>
        <v>119.63202141973076</v>
      </c>
      <c r="O11">
        <f>GDS_Monthly!F128</f>
        <v>5.2651836083199495</v>
      </c>
      <c r="P11">
        <f>GDS_Monthly!G128</f>
        <v>4.8662165251130425</v>
      </c>
      <c r="Q11">
        <f>GDS_Monthly!T128</f>
        <v>75.844546119322658</v>
      </c>
      <c r="R11">
        <f>GDS_Monthly!V128</f>
        <v>80.763693197715256</v>
      </c>
      <c r="S11">
        <f>GDS_Monthly!W128</f>
        <v>58.351762532984615</v>
      </c>
      <c r="T11">
        <f>GDS_Monthly!X128</f>
        <v>45.088045415045457</v>
      </c>
      <c r="U11">
        <f>GDS_Monthly!AA128</f>
        <v>50.364372580357191</v>
      </c>
      <c r="V11">
        <f>GDS_Monthly!AC128</f>
        <v>55.667193826689548</v>
      </c>
      <c r="W11">
        <f>GDS_Monthly!AE128</f>
        <v>51.797967647149669</v>
      </c>
      <c r="X11">
        <f>GDS_Monthly!AF128</f>
        <v>73.127539393792844</v>
      </c>
      <c r="Y11">
        <f>OECD!B11</f>
        <v>100.9314</v>
      </c>
      <c r="Z11">
        <f>'Monthly Haver'!K14</f>
        <v>105.98497</v>
      </c>
      <c r="AA11" s="8">
        <f>OECD!C11</f>
        <v>99.03</v>
      </c>
    </row>
    <row r="12" spans="1:27">
      <c r="A12" t="str">
        <f>'Monthly Haver'!A15</f>
        <v>Nov-1999</v>
      </c>
      <c r="B12">
        <f>'Monthly Haver'!C15</f>
        <v>58.686999999999998</v>
      </c>
      <c r="C12">
        <f>'Monthly Haver'!D15</f>
        <v>60.702300000000001</v>
      </c>
      <c r="D12" t="e">
        <f>'Monthly Haver'!E15</f>
        <v>#N/A</v>
      </c>
      <c r="E12">
        <f>'Monthly Haver'!G15</f>
        <v>53.7348</v>
      </c>
      <c r="F12">
        <f>'Monthly Haver'!H15</f>
        <v>56.987099999999998</v>
      </c>
      <c r="G12" t="e">
        <f>'Monthly Haver'!I15</f>
        <v>#N/A</v>
      </c>
      <c r="H12">
        <f>'Monthly Haver'!J15</f>
        <v>58.1496</v>
      </c>
      <c r="I12">
        <f>GDS_Monthly!O129</f>
        <v>49.685401683813666</v>
      </c>
      <c r="J12">
        <f>GDS_Monthly!D129</f>
        <v>69.639348473369353</v>
      </c>
      <c r="K12">
        <f>GDS_Monthly!AH129</f>
        <v>397.601945</v>
      </c>
      <c r="L12">
        <f>GDS_Monthly!AI129</f>
        <v>385.76129889999999</v>
      </c>
      <c r="M12">
        <f>GDS_Monthly!N129</f>
        <v>5.9864186489489519</v>
      </c>
      <c r="N12">
        <f>GDS_Monthly!C129</f>
        <v>121.30927995803867</v>
      </c>
      <c r="O12">
        <f>GDS_Monthly!F129</f>
        <v>5.1110626808310338</v>
      </c>
      <c r="P12">
        <f>GDS_Monthly!G129</f>
        <v>5.0130161473956756</v>
      </c>
      <c r="Q12">
        <f>GDS_Monthly!T129</f>
        <v>75.998944823886092</v>
      </c>
      <c r="R12">
        <f>GDS_Monthly!V129</f>
        <v>80.906541262936031</v>
      </c>
      <c r="S12">
        <f>GDS_Monthly!W129</f>
        <v>57.35641925721108</v>
      </c>
      <c r="T12">
        <f>GDS_Monthly!X129</f>
        <v>45.822383153690524</v>
      </c>
      <c r="U12">
        <f>GDS_Monthly!AA129</f>
        <v>49.98795505033852</v>
      </c>
      <c r="V12">
        <f>GDS_Monthly!AC129</f>
        <v>58.050902298556217</v>
      </c>
      <c r="W12">
        <f>GDS_Monthly!AE129</f>
        <v>57.073001873884316</v>
      </c>
      <c r="X12">
        <f>GDS_Monthly!AF129</f>
        <v>72.918189242999745</v>
      </c>
      <c r="Y12">
        <f>OECD!B12</f>
        <v>101.0658</v>
      </c>
      <c r="Z12">
        <f>'Monthly Haver'!K15</f>
        <v>106.29799</v>
      </c>
      <c r="AA12" s="8">
        <f>OECD!C12</f>
        <v>100.26</v>
      </c>
    </row>
    <row r="13" spans="1:27">
      <c r="A13" t="str">
        <f>'Monthly Haver'!A16</f>
        <v>Dec-1999</v>
      </c>
      <c r="B13">
        <f>'Monthly Haver'!C16</f>
        <v>60.106099999999998</v>
      </c>
      <c r="C13">
        <f>'Monthly Haver'!D16</f>
        <v>61.061900000000001</v>
      </c>
      <c r="D13" t="e">
        <f>'Monthly Haver'!E16</f>
        <v>#N/A</v>
      </c>
      <c r="E13">
        <f>'Monthly Haver'!G16</f>
        <v>55.101700000000001</v>
      </c>
      <c r="F13">
        <f>'Monthly Haver'!H16</f>
        <v>57.0854</v>
      </c>
      <c r="G13" t="e">
        <f>'Monthly Haver'!I16</f>
        <v>#N/A</v>
      </c>
      <c r="H13">
        <f>'Monthly Haver'!J16</f>
        <v>59.6569</v>
      </c>
      <c r="I13">
        <f>GDS_Monthly!O130</f>
        <v>50.34993426153472</v>
      </c>
      <c r="J13">
        <f>GDS_Monthly!D130</f>
        <v>70.082023178796632</v>
      </c>
      <c r="K13">
        <f>GDS_Monthly!AH130</f>
        <v>402.24120119999998</v>
      </c>
      <c r="L13">
        <f>GDS_Monthly!AI130</f>
        <v>390.47300389999998</v>
      </c>
      <c r="M13">
        <f>GDS_Monthly!N130</f>
        <v>5.9072491241550846</v>
      </c>
      <c r="N13">
        <f>GDS_Monthly!C130</f>
        <v>122.63390274118539</v>
      </c>
      <c r="O13">
        <f>GDS_Monthly!F130</f>
        <v>5.23610500196693</v>
      </c>
      <c r="P13">
        <f>GDS_Monthly!G130</f>
        <v>5.0392185081433034</v>
      </c>
      <c r="Q13">
        <f>GDS_Monthly!T130</f>
        <v>76.159788233536688</v>
      </c>
      <c r="R13">
        <f>GDS_Monthly!V130</f>
        <v>81.055869537185472</v>
      </c>
      <c r="S13">
        <f>GDS_Monthly!W130</f>
        <v>57.648097166439925</v>
      </c>
      <c r="T13">
        <f>GDS_Monthly!X130</f>
        <v>47.04800328592129</v>
      </c>
      <c r="U13">
        <f>GDS_Monthly!AA130</f>
        <v>50.265339849970438</v>
      </c>
      <c r="V13">
        <f>GDS_Monthly!AC130</f>
        <v>59.419051106670949</v>
      </c>
      <c r="W13">
        <f>GDS_Monthly!AE130</f>
        <v>59.061798480263207</v>
      </c>
      <c r="X13">
        <f>GDS_Monthly!AF130</f>
        <v>72.298998920841896</v>
      </c>
      <c r="Y13">
        <f>OECD!B13</f>
        <v>101.1871</v>
      </c>
      <c r="Z13">
        <f>'Monthly Haver'!K16</f>
        <v>105.52769000000001</v>
      </c>
      <c r="AA13" s="8">
        <f>OECD!C13</f>
        <v>100.67</v>
      </c>
    </row>
    <row r="14" spans="1:27">
      <c r="A14" t="str">
        <f>'Monthly Haver'!A17</f>
        <v>Jan-2000</v>
      </c>
      <c r="B14">
        <f>'Monthly Haver'!C17</f>
        <v>59.722299999999997</v>
      </c>
      <c r="C14">
        <f>'Monthly Haver'!D17</f>
        <v>62.970799999999997</v>
      </c>
      <c r="D14" t="e">
        <f>'Monthly Haver'!E17</f>
        <v>#N/A</v>
      </c>
      <c r="E14">
        <f>'Monthly Haver'!G17</f>
        <v>54.117800000000003</v>
      </c>
      <c r="F14">
        <f>'Monthly Haver'!H17</f>
        <v>55.368200000000002</v>
      </c>
      <c r="G14" t="e">
        <f>'Monthly Haver'!I17</f>
        <v>#N/A</v>
      </c>
      <c r="H14">
        <f>'Monthly Haver'!J17</f>
        <v>57.993899999999996</v>
      </c>
      <c r="I14">
        <f>GDS_Monthly!O131</f>
        <v>50.176157725046387</v>
      </c>
      <c r="J14">
        <f>GDS_Monthly!D131</f>
        <v>69.95623901773105</v>
      </c>
      <c r="K14">
        <f>GDS_Monthly!AH131</f>
        <v>410.72766639999998</v>
      </c>
      <c r="L14">
        <f>GDS_Monthly!AI131</f>
        <v>394.41376839999998</v>
      </c>
      <c r="M14">
        <f>GDS_Monthly!N131</f>
        <v>6.0451953891034096</v>
      </c>
      <c r="N14">
        <f>GDS_Monthly!C131</f>
        <v>124.73363224811497</v>
      </c>
      <c r="O14">
        <f>GDS_Monthly!F131</f>
        <v>5.558914224046803</v>
      </c>
      <c r="P14">
        <f>GDS_Monthly!G131</f>
        <v>4.9952789454530935</v>
      </c>
      <c r="Q14">
        <f>GDS_Monthly!T131</f>
        <v>76.378344628144063</v>
      </c>
      <c r="R14">
        <f>GDS_Monthly!V131</f>
        <v>81.243416334549849</v>
      </c>
      <c r="S14">
        <f>GDS_Monthly!W131</f>
        <v>58.498818810584289</v>
      </c>
      <c r="T14">
        <f>GDS_Monthly!X131</f>
        <v>49.224077495374594</v>
      </c>
      <c r="U14">
        <f>GDS_Monthly!AA131</f>
        <v>50.838291121055818</v>
      </c>
      <c r="V14">
        <f>GDS_Monthly!AC131</f>
        <v>62.420218979167238</v>
      </c>
      <c r="W14">
        <f>GDS_Monthly!AE131</f>
        <v>59.634458799828764</v>
      </c>
      <c r="X14">
        <f>GDS_Monthly!AF131</f>
        <v>71.264287755895111</v>
      </c>
      <c r="Y14">
        <f>OECD!B14</f>
        <v>101.2855</v>
      </c>
      <c r="Z14">
        <f>'Monthly Haver'!K17</f>
        <v>105.35406</v>
      </c>
      <c r="AA14" s="8">
        <f>OECD!C14</f>
        <v>100.84</v>
      </c>
    </row>
    <row r="15" spans="1:27">
      <c r="A15" t="str">
        <f>'Monthly Haver'!A18</f>
        <v>Feb-2000</v>
      </c>
      <c r="B15">
        <f>'Monthly Haver'!C18</f>
        <v>58.9161</v>
      </c>
      <c r="C15">
        <f>'Monthly Haver'!D18</f>
        <v>65.125</v>
      </c>
      <c r="D15" t="e">
        <f>'Monthly Haver'!E18</f>
        <v>#N/A</v>
      </c>
      <c r="E15">
        <f>'Monthly Haver'!G18</f>
        <v>54.650100000000002</v>
      </c>
      <c r="F15">
        <f>'Monthly Haver'!H18</f>
        <v>55.297499999999999</v>
      </c>
      <c r="G15" t="e">
        <f>'Monthly Haver'!I18</f>
        <v>#N/A</v>
      </c>
      <c r="H15">
        <f>'Monthly Haver'!J18</f>
        <v>58.284799999999997</v>
      </c>
      <c r="I15">
        <f>GDS_Monthly!O132</f>
        <v>50.781313345224014</v>
      </c>
      <c r="J15">
        <f>GDS_Monthly!D132</f>
        <v>70.745572043367417</v>
      </c>
      <c r="K15">
        <f>GDS_Monthly!AH132</f>
        <v>418.8282974</v>
      </c>
      <c r="L15">
        <f>GDS_Monthly!AI132</f>
        <v>399.54289169999998</v>
      </c>
      <c r="M15">
        <f>GDS_Monthly!N132</f>
        <v>6.083588634448664</v>
      </c>
      <c r="N15">
        <f>GDS_Monthly!C132</f>
        <v>123.57431135406101</v>
      </c>
      <c r="O15">
        <f>GDS_Monthly!F132</f>
        <v>5.4797378310308362</v>
      </c>
      <c r="P15">
        <f>GDS_Monthly!G132</f>
        <v>5.1302965389122033</v>
      </c>
      <c r="Q15">
        <f>GDS_Monthly!T132</f>
        <v>76.604845462414346</v>
      </c>
      <c r="R15">
        <f>GDS_Monthly!V132</f>
        <v>81.364570541800674</v>
      </c>
      <c r="S15">
        <f>GDS_Monthly!W132</f>
        <v>59.247223439211645</v>
      </c>
      <c r="T15">
        <f>GDS_Monthly!X132</f>
        <v>50.275821050008574</v>
      </c>
      <c r="U15">
        <f>GDS_Monthly!AA132</f>
        <v>52.118854874395275</v>
      </c>
      <c r="V15">
        <f>GDS_Monthly!AC132</f>
        <v>66.611448825495813</v>
      </c>
      <c r="W15">
        <f>GDS_Monthly!AE132</f>
        <v>65.42133302641021</v>
      </c>
      <c r="X15">
        <f>GDS_Monthly!AF132</f>
        <v>74.784892988185163</v>
      </c>
      <c r="Y15">
        <f>OECD!B15</f>
        <v>101.343</v>
      </c>
      <c r="Z15">
        <f>'Monthly Haver'!K18</f>
        <v>107.38453</v>
      </c>
      <c r="AA15" s="8">
        <f>OECD!C15</f>
        <v>100.41</v>
      </c>
    </row>
    <row r="16" spans="1:27">
      <c r="A16" t="str">
        <f>'Monthly Haver'!A19</f>
        <v>Mar-2000</v>
      </c>
      <c r="B16">
        <f>'Monthly Haver'!C19</f>
        <v>60.226599999999998</v>
      </c>
      <c r="C16">
        <f>'Monthly Haver'!D19</f>
        <v>67.654499999999999</v>
      </c>
      <c r="D16" t="e">
        <f>'Monthly Haver'!E19</f>
        <v>#N/A</v>
      </c>
      <c r="E16">
        <f>'Monthly Haver'!G19</f>
        <v>55.2532</v>
      </c>
      <c r="F16">
        <f>'Monthly Haver'!H19</f>
        <v>55.645499999999998</v>
      </c>
      <c r="G16" t="e">
        <f>'Monthly Haver'!I19</f>
        <v>#N/A</v>
      </c>
      <c r="H16">
        <f>'Monthly Haver'!J19</f>
        <v>60.365400000000001</v>
      </c>
      <c r="I16">
        <f>GDS_Monthly!O133</f>
        <v>50.944051700770821</v>
      </c>
      <c r="J16">
        <f>GDS_Monthly!D133</f>
        <v>71.046080369119935</v>
      </c>
      <c r="K16">
        <f>GDS_Monthly!AH133</f>
        <v>421.39759229999999</v>
      </c>
      <c r="L16">
        <f>GDS_Monthly!AI133</f>
        <v>399.77472719999997</v>
      </c>
      <c r="M16">
        <f>GDS_Monthly!N133</f>
        <v>6.0242388960359357</v>
      </c>
      <c r="N16">
        <f>GDS_Monthly!C133</f>
        <v>122.47530717747711</v>
      </c>
      <c r="O16">
        <f>GDS_Monthly!F133</f>
        <v>5.3142500908567003</v>
      </c>
      <c r="P16">
        <f>GDS_Monthly!G133</f>
        <v>5.1971473214833237</v>
      </c>
      <c r="Q16">
        <f>GDS_Monthly!T133</f>
        <v>76.829986625417035</v>
      </c>
      <c r="R16">
        <f>GDS_Monthly!V133</f>
        <v>81.525813819219323</v>
      </c>
      <c r="S16">
        <f>GDS_Monthly!W133</f>
        <v>60.339641997151617</v>
      </c>
      <c r="T16">
        <f>GDS_Monthly!X133</f>
        <v>49.805626333407126</v>
      </c>
      <c r="U16">
        <f>GDS_Monthly!AA133</f>
        <v>52.446592213825163</v>
      </c>
      <c r="V16">
        <f>GDS_Monthly!AC133</f>
        <v>67.225029034782025</v>
      </c>
      <c r="W16">
        <f>GDS_Monthly!AE133</f>
        <v>66.343978526152924</v>
      </c>
      <c r="X16">
        <f>GDS_Monthly!AF133</f>
        <v>75.959245341329066</v>
      </c>
      <c r="Y16">
        <f>OECD!B16</f>
        <v>101.36060000000001</v>
      </c>
      <c r="Z16">
        <f>'Monthly Haver'!K19</f>
        <v>107.60908999999999</v>
      </c>
      <c r="AA16" s="8">
        <f>OECD!C16</f>
        <v>101.06</v>
      </c>
    </row>
    <row r="17" spans="1:27">
      <c r="A17" t="str">
        <f>'Monthly Haver'!A20</f>
        <v>Apr-2000</v>
      </c>
      <c r="B17">
        <f>'Monthly Haver'!C20</f>
        <v>60.337600000000002</v>
      </c>
      <c r="C17">
        <f>'Monthly Haver'!D20</f>
        <v>64.913899999999998</v>
      </c>
      <c r="D17" t="e">
        <f>'Monthly Haver'!E20</f>
        <v>#N/A</v>
      </c>
      <c r="E17">
        <f>'Monthly Haver'!G20</f>
        <v>55.7746</v>
      </c>
      <c r="F17">
        <f>'Monthly Haver'!H20</f>
        <v>55.997999999999998</v>
      </c>
      <c r="G17" t="e">
        <f>'Monthly Haver'!I20</f>
        <v>#N/A</v>
      </c>
      <c r="H17">
        <f>'Monthly Haver'!J20</f>
        <v>61.189599999999999</v>
      </c>
      <c r="I17">
        <f>GDS_Monthly!O134</f>
        <v>51.089471559556557</v>
      </c>
      <c r="J17">
        <f>GDS_Monthly!D134</f>
        <v>71.603872517311942</v>
      </c>
      <c r="K17">
        <f>GDS_Monthly!AH134</f>
        <v>419.03334669999998</v>
      </c>
      <c r="L17">
        <f>GDS_Monthly!AI134</f>
        <v>397.7352588</v>
      </c>
      <c r="M17">
        <f>GDS_Monthly!N134</f>
        <v>5.8905387291573907</v>
      </c>
      <c r="N17">
        <f>GDS_Monthly!C134</f>
        <v>122.47920301411702</v>
      </c>
      <c r="O17">
        <f>GDS_Monthly!F134</f>
        <v>5.1670629349288939</v>
      </c>
      <c r="P17">
        <f>GDS_Monthly!G134</f>
        <v>5.2911187210462405</v>
      </c>
      <c r="Q17">
        <f>GDS_Monthly!T134</f>
        <v>76.810268966074503</v>
      </c>
      <c r="R17">
        <f>GDS_Monthly!V134</f>
        <v>81.613218652700183</v>
      </c>
      <c r="S17">
        <f>GDS_Monthly!W134</f>
        <v>63.093430607026008</v>
      </c>
      <c r="T17">
        <f>GDS_Monthly!X134</f>
        <v>47.738663306084497</v>
      </c>
      <c r="U17">
        <f>GDS_Monthly!AA134</f>
        <v>53.032225679968008</v>
      </c>
      <c r="V17">
        <f>GDS_Monthly!AC134</f>
        <v>61.406297549436132</v>
      </c>
      <c r="W17">
        <f>GDS_Monthly!AE134</f>
        <v>56.789453672420414</v>
      </c>
      <c r="X17">
        <f>GDS_Monthly!AF134</f>
        <v>75.442087185241533</v>
      </c>
      <c r="Y17">
        <f>OECD!B17</f>
        <v>101.3398</v>
      </c>
      <c r="Z17">
        <f>'Monthly Haver'!K20</f>
        <v>107.9357</v>
      </c>
      <c r="AA17" s="8">
        <f>OECD!C17</f>
        <v>101.16</v>
      </c>
    </row>
    <row r="18" spans="1:27">
      <c r="A18" t="str">
        <f>'Monthly Haver'!A21</f>
        <v>May-2000</v>
      </c>
      <c r="B18">
        <f>'Monthly Haver'!C21</f>
        <v>58.7485</v>
      </c>
      <c r="C18">
        <f>'Monthly Haver'!D21</f>
        <v>64.1096</v>
      </c>
      <c r="D18" t="e">
        <f>'Monthly Haver'!E21</f>
        <v>#N/A</v>
      </c>
      <c r="E18">
        <f>'Monthly Haver'!G21</f>
        <v>55.488100000000003</v>
      </c>
      <c r="F18">
        <f>'Monthly Haver'!H21</f>
        <v>54.895200000000003</v>
      </c>
      <c r="G18" t="e">
        <f>'Monthly Haver'!I21</f>
        <v>#N/A</v>
      </c>
      <c r="H18">
        <f>'Monthly Haver'!J21</f>
        <v>60.044199999999996</v>
      </c>
      <c r="I18">
        <f>GDS_Monthly!O135</f>
        <v>51.364140158341932</v>
      </c>
      <c r="J18">
        <f>GDS_Monthly!D135</f>
        <v>72.267812044977461</v>
      </c>
      <c r="K18">
        <f>GDS_Monthly!AH135</f>
        <v>429.03423750000002</v>
      </c>
      <c r="L18">
        <f>GDS_Monthly!AI135</f>
        <v>406.90142359999999</v>
      </c>
      <c r="M18">
        <f>GDS_Monthly!N135</f>
        <v>5.8705113599552776</v>
      </c>
      <c r="N18">
        <f>GDS_Monthly!C135</f>
        <v>124.37239451428535</v>
      </c>
      <c r="O18">
        <f>GDS_Monthly!F135</f>
        <v>5.3815595443601847</v>
      </c>
      <c r="P18">
        <f>GDS_Monthly!G135</f>
        <v>5.4390043341990904</v>
      </c>
      <c r="Q18">
        <f>GDS_Monthly!T135</f>
        <v>76.950422084341554</v>
      </c>
      <c r="R18">
        <f>GDS_Monthly!V135</f>
        <v>81.757796598068296</v>
      </c>
      <c r="S18">
        <f>GDS_Monthly!W135</f>
        <v>62.17224723328048</v>
      </c>
      <c r="T18">
        <f>GDS_Monthly!X135</f>
        <v>48.8968798629259</v>
      </c>
      <c r="U18">
        <f>GDS_Monthly!AA135</f>
        <v>52.797742495150771</v>
      </c>
      <c r="V18">
        <f>GDS_Monthly!AC135</f>
        <v>68.9599277331086</v>
      </c>
      <c r="W18">
        <f>GDS_Monthly!AE135</f>
        <v>67.346607409949783</v>
      </c>
      <c r="X18">
        <f>GDS_Monthly!AF135</f>
        <v>76.366215153486493</v>
      </c>
      <c r="Y18">
        <f>OECD!B18</f>
        <v>101.2792</v>
      </c>
      <c r="Z18">
        <f>'Monthly Haver'!K21</f>
        <v>110.66388000000001</v>
      </c>
      <c r="AA18" s="8">
        <f>OECD!C18</f>
        <v>100.53</v>
      </c>
    </row>
    <row r="19" spans="1:27">
      <c r="A19" t="str">
        <f>'Monthly Haver'!A22</f>
        <v>Jun-2000</v>
      </c>
      <c r="B19">
        <f>'Monthly Haver'!C22</f>
        <v>57.782800000000002</v>
      </c>
      <c r="C19">
        <f>'Monthly Haver'!D22</f>
        <v>63.616399999999999</v>
      </c>
      <c r="D19" t="e">
        <f>'Monthly Haver'!E22</f>
        <v>#N/A</v>
      </c>
      <c r="E19">
        <f>'Monthly Haver'!G22</f>
        <v>55.340400000000002</v>
      </c>
      <c r="F19">
        <f>'Monthly Haver'!H22</f>
        <v>53.836399999999998</v>
      </c>
      <c r="G19" t="e">
        <f>'Monthly Haver'!I22</f>
        <v>#N/A</v>
      </c>
      <c r="H19">
        <f>'Monthly Haver'!J22</f>
        <v>60.079900000000002</v>
      </c>
      <c r="I19">
        <f>GDS_Monthly!O136</f>
        <v>51.733944663386147</v>
      </c>
      <c r="J19">
        <f>GDS_Monthly!D136</f>
        <v>72.409276890508124</v>
      </c>
      <c r="K19">
        <f>GDS_Monthly!AH136</f>
        <v>439.59744089999998</v>
      </c>
      <c r="L19">
        <f>GDS_Monthly!AI136</f>
        <v>415.85939860000002</v>
      </c>
      <c r="M19">
        <f>GDS_Monthly!N136</f>
        <v>5.850090328301742</v>
      </c>
      <c r="N19">
        <f>GDS_Monthly!C136</f>
        <v>122.82767825645332</v>
      </c>
      <c r="O19">
        <f>GDS_Monthly!F136</f>
        <v>5.1788500636736936</v>
      </c>
      <c r="P19">
        <f>GDS_Monthly!G136</f>
        <v>5.5837763581222042</v>
      </c>
      <c r="Q19">
        <f>GDS_Monthly!T136</f>
        <v>77.297686611978662</v>
      </c>
      <c r="R19">
        <f>GDS_Monthly!V136</f>
        <v>81.926245742799026</v>
      </c>
      <c r="S19">
        <f>GDS_Monthly!W136</f>
        <v>59.982856209854766</v>
      </c>
      <c r="T19">
        <f>GDS_Monthly!X136</f>
        <v>46.758788632418309</v>
      </c>
      <c r="U19">
        <f>GDS_Monthly!AA136</f>
        <v>51.520794134738871</v>
      </c>
      <c r="V19">
        <f>GDS_Monthly!AC136</f>
        <v>75.499490642763945</v>
      </c>
      <c r="W19">
        <f>GDS_Monthly!AE136</f>
        <v>72.152930994819584</v>
      </c>
      <c r="X19">
        <f>GDS_Monthly!AF136</f>
        <v>75.144639402345135</v>
      </c>
      <c r="Y19">
        <f>OECD!B19</f>
        <v>101.1854</v>
      </c>
      <c r="Z19">
        <f>'Monthly Haver'!K22</f>
        <v>111.02743</v>
      </c>
      <c r="AA19" s="8">
        <f>OECD!C19</f>
        <v>100.36</v>
      </c>
    </row>
    <row r="20" spans="1:27">
      <c r="A20" t="str">
        <f>'Monthly Haver'!A23</f>
        <v>Jul-2000</v>
      </c>
      <c r="B20">
        <f>'Monthly Haver'!C23</f>
        <v>58.130499999999998</v>
      </c>
      <c r="C20">
        <f>'Monthly Haver'!D23</f>
        <v>62.654000000000003</v>
      </c>
      <c r="D20" t="e">
        <f>'Monthly Haver'!E23</f>
        <v>#N/A</v>
      </c>
      <c r="E20">
        <f>'Monthly Haver'!G23</f>
        <v>54.033000000000001</v>
      </c>
      <c r="F20">
        <f>'Monthly Haver'!H23</f>
        <v>54.261899999999997</v>
      </c>
      <c r="G20" t="e">
        <f>'Monthly Haver'!I23</f>
        <v>#N/A</v>
      </c>
      <c r="H20">
        <f>'Monthly Haver'!J23</f>
        <v>57.701799999999999</v>
      </c>
      <c r="I20">
        <f>GDS_Monthly!O137</f>
        <v>51.988910564590341</v>
      </c>
      <c r="J20">
        <f>GDS_Monthly!D137</f>
        <v>72.624944211665436</v>
      </c>
      <c r="K20">
        <f>GDS_Monthly!AH137</f>
        <v>440.56234649999999</v>
      </c>
      <c r="L20">
        <f>GDS_Monthly!AI137</f>
        <v>413.20757300000002</v>
      </c>
      <c r="M20">
        <f>GDS_Monthly!N137</f>
        <v>5.8257867672410475</v>
      </c>
      <c r="N20">
        <f>GDS_Monthly!C137</f>
        <v>123.97266236427406</v>
      </c>
      <c r="O20">
        <f>GDS_Monthly!F137</f>
        <v>5.1949881802606335</v>
      </c>
      <c r="P20">
        <f>GDS_Monthly!G137</f>
        <v>5.4866402691263492</v>
      </c>
      <c r="Q20">
        <f>GDS_Monthly!T137</f>
        <v>77.564952611231945</v>
      </c>
      <c r="R20">
        <f>GDS_Monthly!V137</f>
        <v>82.044022886953229</v>
      </c>
      <c r="S20">
        <f>GDS_Monthly!W137</f>
        <v>58.090686754699227</v>
      </c>
      <c r="T20">
        <f>GDS_Monthly!X137</f>
        <v>47.341899375489525</v>
      </c>
      <c r="U20">
        <f>GDS_Monthly!AA137</f>
        <v>50.722671404324942</v>
      </c>
      <c r="V20">
        <f>GDS_Monthly!AC137</f>
        <v>73.041609226337144</v>
      </c>
      <c r="W20">
        <f>GDS_Monthly!AE137</f>
        <v>68.971892401487921</v>
      </c>
      <c r="X20">
        <f>GDS_Monthly!AF137</f>
        <v>73.574182770330964</v>
      </c>
      <c r="Y20">
        <f>OECD!B20</f>
        <v>101.06100000000001</v>
      </c>
      <c r="Z20">
        <f>'Monthly Haver'!K23</f>
        <v>110.71677</v>
      </c>
      <c r="AA20" s="8">
        <f>OECD!C20</f>
        <v>99.81</v>
      </c>
    </row>
    <row r="21" spans="1:27">
      <c r="A21" t="str">
        <f>'Monthly Haver'!A24</f>
        <v>Aug-2000</v>
      </c>
      <c r="B21">
        <f>'Monthly Haver'!C24</f>
        <v>57.719700000000003</v>
      </c>
      <c r="C21">
        <f>'Monthly Haver'!D24</f>
        <v>59.630899999999997</v>
      </c>
      <c r="D21" t="e">
        <f>'Monthly Haver'!E24</f>
        <v>#N/A</v>
      </c>
      <c r="E21">
        <f>'Monthly Haver'!G24</f>
        <v>54.613999999999997</v>
      </c>
      <c r="F21">
        <f>'Monthly Haver'!H24</f>
        <v>52.746699999999997</v>
      </c>
      <c r="G21" t="e">
        <f>'Monthly Haver'!I24</f>
        <v>#N/A</v>
      </c>
      <c r="H21">
        <f>'Monthly Haver'!J24</f>
        <v>60.6218</v>
      </c>
      <c r="I21">
        <f>GDS_Monthly!O138</f>
        <v>52.172915768322461</v>
      </c>
      <c r="J21">
        <f>GDS_Monthly!D138</f>
        <v>73.043338882301398</v>
      </c>
      <c r="K21">
        <f>GDS_Monthly!AH138</f>
        <v>447.25166159999998</v>
      </c>
      <c r="L21">
        <f>GDS_Monthly!AI138</f>
        <v>421.74276989999998</v>
      </c>
      <c r="M21">
        <f>GDS_Monthly!N138</f>
        <v>5.8237091451403646</v>
      </c>
      <c r="N21">
        <f>GDS_Monthly!C138</f>
        <v>123.48507397818506</v>
      </c>
      <c r="O21">
        <f>GDS_Monthly!F138</f>
        <v>5.109367017263355</v>
      </c>
      <c r="P21">
        <f>GDS_Monthly!G138</f>
        <v>5.6640234927088615</v>
      </c>
      <c r="Q21">
        <f>GDS_Monthly!T138</f>
        <v>77.688729317103608</v>
      </c>
      <c r="R21">
        <f>GDS_Monthly!V138</f>
        <v>82.200556188643631</v>
      </c>
      <c r="S21">
        <f>GDS_Monthly!W138</f>
        <v>57.046077473042409</v>
      </c>
      <c r="T21">
        <f>GDS_Monthly!X138</f>
        <v>47.330524088619761</v>
      </c>
      <c r="U21">
        <f>GDS_Monthly!AA138</f>
        <v>49.823974558639293</v>
      </c>
      <c r="V21">
        <f>GDS_Monthly!AC138</f>
        <v>76.558522186878918</v>
      </c>
      <c r="W21">
        <f>GDS_Monthly!AE138</f>
        <v>72.866485009546921</v>
      </c>
      <c r="X21">
        <f>GDS_Monthly!AF138</f>
        <v>71.061273667622018</v>
      </c>
      <c r="Y21">
        <f>OECD!B21</f>
        <v>100.90819999999999</v>
      </c>
      <c r="Z21">
        <f>'Monthly Haver'!K24</f>
        <v>110.67823</v>
      </c>
      <c r="AA21" s="8">
        <f>OECD!C21</f>
        <v>99.36</v>
      </c>
    </row>
    <row r="22" spans="1:27">
      <c r="A22" t="str">
        <f>'Monthly Haver'!A25</f>
        <v>Sep-2000</v>
      </c>
      <c r="B22">
        <f>'Monthly Haver'!C25</f>
        <v>57.058</v>
      </c>
      <c r="C22">
        <f>'Monthly Haver'!D25</f>
        <v>62.436100000000003</v>
      </c>
      <c r="D22" t="e">
        <f>'Monthly Haver'!E25</f>
        <v>#N/A</v>
      </c>
      <c r="E22">
        <f>'Monthly Haver'!G25</f>
        <v>54.462000000000003</v>
      </c>
      <c r="F22">
        <f>'Monthly Haver'!H25</f>
        <v>52.128900000000002</v>
      </c>
      <c r="G22" t="e">
        <f>'Monthly Haver'!I25</f>
        <v>#N/A</v>
      </c>
      <c r="H22">
        <f>'Monthly Haver'!J25</f>
        <v>59.188400000000001</v>
      </c>
      <c r="I22">
        <f>GDS_Monthly!O139</f>
        <v>52.686412185944164</v>
      </c>
      <c r="J22">
        <f>GDS_Monthly!D139</f>
        <v>72.96554490479987</v>
      </c>
      <c r="K22">
        <f>GDS_Monthly!AH139</f>
        <v>443.67022370000001</v>
      </c>
      <c r="L22">
        <f>GDS_Monthly!AI139</f>
        <v>418.2110356</v>
      </c>
      <c r="M22">
        <f>GDS_Monthly!N139</f>
        <v>5.7514554204036612</v>
      </c>
      <c r="N22">
        <f>GDS_Monthly!C139</f>
        <v>123.52879329374804</v>
      </c>
      <c r="O22">
        <f>GDS_Monthly!F139</f>
        <v>5.1486397217251412</v>
      </c>
      <c r="P22">
        <f>GDS_Monthly!G139</f>
        <v>5.6747450260811831</v>
      </c>
      <c r="Q22">
        <f>GDS_Monthly!T139</f>
        <v>77.981047285001907</v>
      </c>
      <c r="R22">
        <f>GDS_Monthly!V139</f>
        <v>82.394057623181951</v>
      </c>
      <c r="S22">
        <f>GDS_Monthly!W139</f>
        <v>56.554046795306341</v>
      </c>
      <c r="T22">
        <f>GDS_Monthly!X139</f>
        <v>49.503901130914166</v>
      </c>
      <c r="U22">
        <f>GDS_Monthly!AA139</f>
        <v>50.073044501221425</v>
      </c>
      <c r="V22">
        <f>GDS_Monthly!AC139</f>
        <v>83.121869000547534</v>
      </c>
      <c r="W22">
        <f>GDS_Monthly!AE139</f>
        <v>80.359116568879941</v>
      </c>
      <c r="X22">
        <f>GDS_Monthly!AF139</f>
        <v>72.716941035724716</v>
      </c>
      <c r="Y22">
        <f>OECD!B22</f>
        <v>100.7208</v>
      </c>
      <c r="Z22">
        <f>'Monthly Haver'!K25</f>
        <v>112.70334</v>
      </c>
      <c r="AA22" s="8">
        <f>OECD!C22</f>
        <v>99.81</v>
      </c>
    </row>
    <row r="23" spans="1:27">
      <c r="A23" t="str">
        <f>'Monthly Haver'!A26</f>
        <v>Oct-2000</v>
      </c>
      <c r="B23">
        <f>'Monthly Haver'!C26</f>
        <v>56.109699999999997</v>
      </c>
      <c r="C23">
        <f>'Monthly Haver'!D26</f>
        <v>62.048999999999999</v>
      </c>
      <c r="D23" t="e">
        <f>'Monthly Haver'!E26</f>
        <v>#N/A</v>
      </c>
      <c r="E23">
        <f>'Monthly Haver'!G26</f>
        <v>54.3992</v>
      </c>
      <c r="F23">
        <f>'Monthly Haver'!H26</f>
        <v>51.15</v>
      </c>
      <c r="G23" t="e">
        <f>'Monthly Haver'!I26</f>
        <v>#N/A</v>
      </c>
      <c r="H23">
        <f>'Monthly Haver'!J26</f>
        <v>58.306399999999996</v>
      </c>
      <c r="I23">
        <f>GDS_Monthly!O140</f>
        <v>52.824041214941353</v>
      </c>
      <c r="J23">
        <f>GDS_Monthly!D140</f>
        <v>73.155888158681151</v>
      </c>
      <c r="K23">
        <f>GDS_Monthly!AH140</f>
        <v>444.74975799999999</v>
      </c>
      <c r="L23">
        <f>GDS_Monthly!AI140</f>
        <v>417.9923513</v>
      </c>
      <c r="M23">
        <f>GDS_Monthly!N140</f>
        <v>5.7037174678093976</v>
      </c>
      <c r="N23">
        <f>GDS_Monthly!C140</f>
        <v>121.97587149632726</v>
      </c>
      <c r="O23">
        <f>GDS_Monthly!F140</f>
        <v>5.1470009681102802</v>
      </c>
      <c r="P23">
        <f>GDS_Monthly!G140</f>
        <v>5.7516998177014322</v>
      </c>
      <c r="Q23">
        <f>GDS_Monthly!T140</f>
        <v>78.111604621698191</v>
      </c>
      <c r="R23">
        <f>GDS_Monthly!V140</f>
        <v>82.514801424032541</v>
      </c>
      <c r="S23">
        <f>GDS_Monthly!W140</f>
        <v>56.219321083768186</v>
      </c>
      <c r="T23">
        <f>GDS_Monthly!X140</f>
        <v>46.642271360561843</v>
      </c>
      <c r="U23">
        <f>GDS_Monthly!AA140</f>
        <v>49.192621520674436</v>
      </c>
      <c r="V23">
        <f>GDS_Monthly!AC140</f>
        <v>82.635598522236336</v>
      </c>
      <c r="W23">
        <f>GDS_Monthly!AE140</f>
        <v>79.171231311045844</v>
      </c>
      <c r="X23">
        <f>GDS_Monthly!AF140</f>
        <v>71.511904693526958</v>
      </c>
      <c r="Y23">
        <f>OECD!B23</f>
        <v>100.49079999999999</v>
      </c>
      <c r="Z23">
        <f>'Monthly Haver'!K26</f>
        <v>114.52209000000001</v>
      </c>
      <c r="AA23" s="8">
        <f>OECD!C23</f>
        <v>98.93</v>
      </c>
    </row>
    <row r="24" spans="1:27">
      <c r="A24" t="str">
        <f>'Monthly Haver'!A27</f>
        <v>Nov-2000</v>
      </c>
      <c r="B24">
        <f>'Monthly Haver'!C27</f>
        <v>54.868299999999998</v>
      </c>
      <c r="C24">
        <f>'Monthly Haver'!D27</f>
        <v>59.7087</v>
      </c>
      <c r="D24" t="e">
        <f>'Monthly Haver'!E27</f>
        <v>#N/A</v>
      </c>
      <c r="E24">
        <f>'Monthly Haver'!G27</f>
        <v>54.126800000000003</v>
      </c>
      <c r="F24">
        <f>'Monthly Haver'!H27</f>
        <v>50.746699999999997</v>
      </c>
      <c r="G24" t="e">
        <f>'Monthly Haver'!I27</f>
        <v>#N/A</v>
      </c>
      <c r="H24">
        <f>'Monthly Haver'!J27</f>
        <v>58.236199999999997</v>
      </c>
      <c r="I24">
        <f>GDS_Monthly!O141</f>
        <v>53.185491076573108</v>
      </c>
      <c r="J24">
        <f>GDS_Monthly!D141</f>
        <v>73.505122326966159</v>
      </c>
      <c r="K24">
        <f>GDS_Monthly!AH141</f>
        <v>445.89884760000001</v>
      </c>
      <c r="L24">
        <f>GDS_Monthly!AI141</f>
        <v>416.36562629999997</v>
      </c>
      <c r="M24">
        <f>GDS_Monthly!N141</f>
        <v>5.6488893730500873</v>
      </c>
      <c r="N24">
        <f>GDS_Monthly!C141</f>
        <v>121.10394007936104</v>
      </c>
      <c r="O24">
        <f>GDS_Monthly!F141</f>
        <v>5.0784777722416941</v>
      </c>
      <c r="P24">
        <f>GDS_Monthly!G141</f>
        <v>5.7833266178510554</v>
      </c>
      <c r="Q24">
        <f>GDS_Monthly!T141</f>
        <v>78.343168414831482</v>
      </c>
      <c r="R24">
        <f>GDS_Monthly!V141</f>
        <v>82.71185003267307</v>
      </c>
      <c r="S24">
        <f>GDS_Monthly!W141</f>
        <v>56.8741265500244</v>
      </c>
      <c r="T24">
        <f>GDS_Monthly!X141</f>
        <v>45.256695942638892</v>
      </c>
      <c r="U24">
        <f>GDS_Monthly!AA141</f>
        <v>49.264049995646076</v>
      </c>
      <c r="V24">
        <f>GDS_Monthly!AC141</f>
        <v>85.150598647169275</v>
      </c>
      <c r="W24">
        <f>GDS_Monthly!AE141</f>
        <v>81.702648637759964</v>
      </c>
      <c r="X24">
        <f>GDS_Monthly!AF141</f>
        <v>73.199227656368848</v>
      </c>
      <c r="Y24">
        <f>OECD!B24</f>
        <v>100.2229</v>
      </c>
      <c r="Z24">
        <f>'Monthly Haver'!K27</f>
        <v>114.70455</v>
      </c>
      <c r="AA24" s="8">
        <f>OECD!C24</f>
        <v>97.98</v>
      </c>
    </row>
    <row r="25" spans="1:27">
      <c r="A25" t="str">
        <f>'Monthly Haver'!A28</f>
        <v>Dec-2000</v>
      </c>
      <c r="B25">
        <f>'Monthly Haver'!C28</f>
        <v>52.905299999999997</v>
      </c>
      <c r="C25">
        <f>'Monthly Haver'!D28</f>
        <v>59.8902</v>
      </c>
      <c r="D25" t="e">
        <f>'Monthly Haver'!E28</f>
        <v>#N/A</v>
      </c>
      <c r="E25">
        <f>'Monthly Haver'!G28</f>
        <v>52.018599999999999</v>
      </c>
      <c r="F25">
        <f>'Monthly Haver'!H28</f>
        <v>47.851100000000002</v>
      </c>
      <c r="G25" t="e">
        <f>'Monthly Haver'!I28</f>
        <v>#N/A</v>
      </c>
      <c r="H25">
        <f>'Monthly Haver'!J28</f>
        <v>56.988500000000002</v>
      </c>
      <c r="I25">
        <f>GDS_Monthly!O142</f>
        <v>53.302243724130982</v>
      </c>
      <c r="J25">
        <f>GDS_Monthly!D142</f>
        <v>73.620411588182307</v>
      </c>
      <c r="K25">
        <f>GDS_Monthly!AH142</f>
        <v>444.42846739999999</v>
      </c>
      <c r="L25">
        <f>GDS_Monthly!AI142</f>
        <v>420.47496910000001</v>
      </c>
      <c r="M25">
        <f>GDS_Monthly!N142</f>
        <v>5.5596626527149855</v>
      </c>
      <c r="N25">
        <f>GDS_Monthly!C142</f>
        <v>120.07656998655253</v>
      </c>
      <c r="O25">
        <f>GDS_Monthly!F142</f>
        <v>4.752148587958021</v>
      </c>
      <c r="P25">
        <f>GDS_Monthly!G142</f>
        <v>5.7562082093901372</v>
      </c>
      <c r="Q25">
        <f>GDS_Monthly!T142</f>
        <v>78.522684037577662</v>
      </c>
      <c r="R25">
        <f>GDS_Monthly!V142</f>
        <v>82.763050624590633</v>
      </c>
      <c r="S25">
        <f>GDS_Monthly!W142</f>
        <v>60.217217729259467</v>
      </c>
      <c r="T25">
        <f>GDS_Monthly!X142</f>
        <v>46.413624824466183</v>
      </c>
      <c r="U25">
        <f>GDS_Monthly!AA142</f>
        <v>50.823979052738558</v>
      </c>
      <c r="V25">
        <f>GDS_Monthly!AC142</f>
        <v>84.12610980972218</v>
      </c>
      <c r="W25">
        <f>GDS_Monthly!AE142</f>
        <v>63.259155690995982</v>
      </c>
      <c r="X25">
        <f>GDS_Monthly!AF142</f>
        <v>68.309322595027851</v>
      </c>
      <c r="Y25">
        <f>OECD!B25</f>
        <v>99.930340000000001</v>
      </c>
      <c r="Z25">
        <f>'Monthly Haver'!K28</f>
        <v>115.36207</v>
      </c>
      <c r="AA25" s="8">
        <f>OECD!C25</f>
        <v>96.4</v>
      </c>
    </row>
    <row r="26" spans="1:27">
      <c r="A26" t="str">
        <f>'Monthly Haver'!A29</f>
        <v>Jan-2001</v>
      </c>
      <c r="B26">
        <f>'Monthly Haver'!C29</f>
        <v>50.400700000000001</v>
      </c>
      <c r="C26">
        <f>'Monthly Haver'!D29</f>
        <v>59.842599999999997</v>
      </c>
      <c r="D26" t="e">
        <f>'Monthly Haver'!E29</f>
        <v>#N/A</v>
      </c>
      <c r="E26">
        <f>'Monthly Haver'!G29</f>
        <v>51.613999999999997</v>
      </c>
      <c r="F26">
        <f>'Monthly Haver'!H29</f>
        <v>46.6736</v>
      </c>
      <c r="G26" t="e">
        <f>'Monthly Haver'!I29</f>
        <v>#N/A</v>
      </c>
      <c r="H26">
        <f>'Monthly Haver'!J29</f>
        <v>53.514499999999998</v>
      </c>
      <c r="I26">
        <f>GDS_Monthly!O143</f>
        <v>53.76457883455187</v>
      </c>
      <c r="J26">
        <f>GDS_Monthly!D143</f>
        <v>72.974549015733231</v>
      </c>
      <c r="K26">
        <f>GDS_Monthly!AH143</f>
        <v>446.70429919999998</v>
      </c>
      <c r="L26">
        <f>GDS_Monthly!AI143</f>
        <v>420.84894439999999</v>
      </c>
      <c r="M26">
        <f>GDS_Monthly!N143</f>
        <v>5.7207861258320412</v>
      </c>
      <c r="N26">
        <f>GDS_Monthly!C143</f>
        <v>117.10012312295625</v>
      </c>
      <c r="O26">
        <f>GDS_Monthly!F143</f>
        <v>4.6486254243776015</v>
      </c>
      <c r="P26">
        <f>GDS_Monthly!G143</f>
        <v>5.3621466290186977</v>
      </c>
      <c r="Q26">
        <f>GDS_Monthly!T143</f>
        <v>78.697527195336747</v>
      </c>
      <c r="R26">
        <f>GDS_Monthly!V143</f>
        <v>82.930413363379671</v>
      </c>
      <c r="S26">
        <f>GDS_Monthly!W143</f>
        <v>58.583314942456084</v>
      </c>
      <c r="T26">
        <f>GDS_Monthly!X143</f>
        <v>46.202092619295478</v>
      </c>
      <c r="U26">
        <f>GDS_Monthly!AA143</f>
        <v>50.64648006864271</v>
      </c>
      <c r="V26">
        <f>GDS_Monthly!AC143</f>
        <v>83.181448525402473</v>
      </c>
      <c r="W26">
        <f>GDS_Monthly!AE143</f>
        <v>64.557623762957448</v>
      </c>
      <c r="X26">
        <f>GDS_Monthly!AF143</f>
        <v>71.442514138328974</v>
      </c>
      <c r="Y26">
        <f>OECD!B26</f>
        <v>99.646379999999994</v>
      </c>
      <c r="Z26">
        <f>'Monthly Haver'!K29</f>
        <v>118.40965</v>
      </c>
      <c r="AA26" s="8">
        <f>OECD!C26</f>
        <v>96.53</v>
      </c>
    </row>
    <row r="27" spans="1:27">
      <c r="A27" t="str">
        <f>'Monthly Haver'!A30</f>
        <v>Feb-2001</v>
      </c>
      <c r="B27">
        <f>'Monthly Haver'!C30</f>
        <v>50.696100000000001</v>
      </c>
      <c r="C27">
        <f>'Monthly Haver'!D30</f>
        <v>56.06</v>
      </c>
      <c r="D27" t="e">
        <f>'Monthly Haver'!E30</f>
        <v>#N/A</v>
      </c>
      <c r="E27">
        <f>'Monthly Haver'!G30</f>
        <v>50.067900000000002</v>
      </c>
      <c r="F27">
        <f>'Monthly Haver'!H30</f>
        <v>46.1233</v>
      </c>
      <c r="G27" t="e">
        <f>'Monthly Haver'!I30</f>
        <v>#N/A</v>
      </c>
      <c r="H27">
        <f>'Monthly Haver'!J30</f>
        <v>52.518500000000003</v>
      </c>
      <c r="I27">
        <f>GDS_Monthly!O144</f>
        <v>54.065869604545028</v>
      </c>
      <c r="J27">
        <f>GDS_Monthly!D144</f>
        <v>73.165996831136994</v>
      </c>
      <c r="K27">
        <f>GDS_Monthly!AH144</f>
        <v>435.01891970000003</v>
      </c>
      <c r="L27">
        <f>GDS_Monthly!AI144</f>
        <v>416.03694899999999</v>
      </c>
      <c r="M27">
        <f>GDS_Monthly!N144</f>
        <v>5.7360372625126201</v>
      </c>
      <c r="N27">
        <f>GDS_Monthly!C144</f>
        <v>115.25608911004137</v>
      </c>
      <c r="O27">
        <f>GDS_Monthly!F144</f>
        <v>4.5837044590513907</v>
      </c>
      <c r="P27">
        <f>GDS_Monthly!G144</f>
        <v>5.3748198011211121</v>
      </c>
      <c r="Q27">
        <f>GDS_Monthly!T144</f>
        <v>78.830266369742617</v>
      </c>
      <c r="R27">
        <f>GDS_Monthly!V144</f>
        <v>83.071763990041731</v>
      </c>
      <c r="S27">
        <f>GDS_Monthly!W144</f>
        <v>57.566907993219026</v>
      </c>
      <c r="T27">
        <f>GDS_Monthly!X144</f>
        <v>45.481200397885409</v>
      </c>
      <c r="U27">
        <f>GDS_Monthly!AA144</f>
        <v>49.968086670947322</v>
      </c>
      <c r="V27">
        <f>GDS_Monthly!AC144</f>
        <v>76.917370368811646</v>
      </c>
      <c r="W27">
        <f>GDS_Monthly!AE144</f>
        <v>68.241037205036761</v>
      </c>
      <c r="X27">
        <f>GDS_Monthly!AF144</f>
        <v>70.969655262219106</v>
      </c>
      <c r="Y27">
        <f>OECD!B27</f>
        <v>99.400149999999996</v>
      </c>
      <c r="Z27">
        <f>'Monthly Haver'!K30</f>
        <v>116.84793999999999</v>
      </c>
      <c r="AA27" s="8">
        <f>OECD!C27</f>
        <v>95.49</v>
      </c>
    </row>
    <row r="28" spans="1:27">
      <c r="A28" t="str">
        <f>'Monthly Haver'!A31</f>
        <v>Mar-2001</v>
      </c>
      <c r="B28">
        <f>'Monthly Haver'!C31</f>
        <v>50.778399999999998</v>
      </c>
      <c r="C28">
        <f>'Monthly Haver'!D31</f>
        <v>53.378100000000003</v>
      </c>
      <c r="D28" t="e">
        <f>'Monthly Haver'!E31</f>
        <v>#N/A</v>
      </c>
      <c r="E28">
        <f>'Monthly Haver'!G31</f>
        <v>50.028500000000001</v>
      </c>
      <c r="F28">
        <f>'Monthly Haver'!H31</f>
        <v>46.315800000000003</v>
      </c>
      <c r="G28" t="e">
        <f>'Monthly Haver'!I31</f>
        <v>#N/A</v>
      </c>
      <c r="H28">
        <f>'Monthly Haver'!J31</f>
        <v>51.298099999999998</v>
      </c>
      <c r="I28">
        <f>GDS_Monthly!O145</f>
        <v>54.10285585455442</v>
      </c>
      <c r="J28">
        <f>GDS_Monthly!D145</f>
        <v>72.829264684243313</v>
      </c>
      <c r="K28">
        <f>GDS_Monthly!AH145</f>
        <v>430.79794199999998</v>
      </c>
      <c r="L28">
        <f>GDS_Monthly!AI145</f>
        <v>407.46300250000002</v>
      </c>
      <c r="M28">
        <f>GDS_Monthly!N145</f>
        <v>5.8012310624962318</v>
      </c>
      <c r="N28">
        <f>GDS_Monthly!C145</f>
        <v>117.01929756804975</v>
      </c>
      <c r="O28">
        <f>GDS_Monthly!F145</f>
        <v>4.447699028540721</v>
      </c>
      <c r="P28">
        <f>GDS_Monthly!G145</f>
        <v>5.1112704364522328</v>
      </c>
      <c r="Q28">
        <f>GDS_Monthly!T145</f>
        <v>78.965662732245534</v>
      </c>
      <c r="R28">
        <f>GDS_Monthly!V145</f>
        <v>83.252309222788639</v>
      </c>
      <c r="S28">
        <f>GDS_Monthly!W145</f>
        <v>58.986931821439022</v>
      </c>
      <c r="T28">
        <f>GDS_Monthly!X145</f>
        <v>43.998091610539547</v>
      </c>
      <c r="U28">
        <f>GDS_Monthly!AA145</f>
        <v>49.819342359104702</v>
      </c>
      <c r="V28">
        <f>GDS_Monthly!AC145</f>
        <v>72.361527237001766</v>
      </c>
      <c r="W28">
        <f>GDS_Monthly!AE145</f>
        <v>63.39852807569946</v>
      </c>
      <c r="X28">
        <f>GDS_Monthly!AF145</f>
        <v>67.420781525008067</v>
      </c>
      <c r="Y28">
        <f>OECD!B28</f>
        <v>99.20429</v>
      </c>
      <c r="Z28">
        <f>'Monthly Haver'!K31</f>
        <v>117.21304000000001</v>
      </c>
      <c r="AA28" s="8">
        <f>OECD!C28</f>
        <v>94.09</v>
      </c>
    </row>
    <row r="29" spans="1:27">
      <c r="A29" t="str">
        <f>'Monthly Haver'!A32</f>
        <v>Apr-2001</v>
      </c>
      <c r="B29">
        <f>'Monthly Haver'!C32</f>
        <v>48.3887</v>
      </c>
      <c r="C29">
        <f>'Monthly Haver'!D32</f>
        <v>51.5304</v>
      </c>
      <c r="D29" t="e">
        <f>'Monthly Haver'!E32</f>
        <v>#N/A</v>
      </c>
      <c r="E29">
        <f>'Monthly Haver'!G32</f>
        <v>47.997199999999999</v>
      </c>
      <c r="F29">
        <f>'Monthly Haver'!H32</f>
        <v>45.661000000000001</v>
      </c>
      <c r="G29" t="e">
        <f>'Monthly Haver'!I32</f>
        <v>#N/A</v>
      </c>
      <c r="H29">
        <f>'Monthly Haver'!J32</f>
        <v>49.730800000000002</v>
      </c>
      <c r="I29">
        <f>GDS_Monthly!O146</f>
        <v>54.30076253684912</v>
      </c>
      <c r="J29">
        <f>GDS_Monthly!D146</f>
        <v>72.40377672550396</v>
      </c>
      <c r="K29">
        <f>GDS_Monthly!AH146</f>
        <v>420.24987270000003</v>
      </c>
      <c r="L29">
        <f>GDS_Monthly!AI146</f>
        <v>397.2128558</v>
      </c>
      <c r="M29">
        <f>GDS_Monthly!N146</f>
        <v>5.7580678967326877</v>
      </c>
      <c r="N29">
        <f>GDS_Monthly!C146</f>
        <v>114.67679887692242</v>
      </c>
      <c r="O29">
        <f>GDS_Monthly!F146</f>
        <v>4.6581413890981107</v>
      </c>
      <c r="P29">
        <f>GDS_Monthly!G146</f>
        <v>4.9050426905703874</v>
      </c>
      <c r="Q29">
        <f>GDS_Monthly!T146</f>
        <v>79.233714951764881</v>
      </c>
      <c r="R29">
        <f>GDS_Monthly!V146</f>
        <v>83.457663096934425</v>
      </c>
      <c r="S29">
        <f>GDS_Monthly!W146</f>
        <v>59.415533502641416</v>
      </c>
      <c r="T29">
        <f>GDS_Monthly!X146</f>
        <v>43.58306291515796</v>
      </c>
      <c r="U29">
        <f>GDS_Monthly!AA146</f>
        <v>49.729304642598656</v>
      </c>
      <c r="V29">
        <f>GDS_Monthly!AC146</f>
        <v>73.375901969700465</v>
      </c>
      <c r="W29">
        <f>GDS_Monthly!AE146</f>
        <v>65.630559457302425</v>
      </c>
      <c r="X29">
        <f>GDS_Monthly!AF146</f>
        <v>68.901251253942021</v>
      </c>
      <c r="Y29">
        <f>OECD!B29</f>
        <v>99.056690000000003</v>
      </c>
      <c r="Z29">
        <f>'Monthly Haver'!K32</f>
        <v>118.05614</v>
      </c>
      <c r="AA29" s="8">
        <f>OECD!C29</f>
        <v>93.48</v>
      </c>
    </row>
    <row r="30" spans="1:27">
      <c r="A30" t="str">
        <f>'Monthly Haver'!A33</f>
        <v>May-2001</v>
      </c>
      <c r="B30">
        <f>'Monthly Haver'!C33</f>
        <v>49.134500000000003</v>
      </c>
      <c r="C30">
        <f>'Monthly Haver'!D33</f>
        <v>52.884500000000003</v>
      </c>
      <c r="D30" t="e">
        <f>'Monthly Haver'!E33</f>
        <v>#N/A</v>
      </c>
      <c r="E30">
        <f>'Monthly Haver'!G33</f>
        <v>47.517800000000001</v>
      </c>
      <c r="F30">
        <f>'Monthly Haver'!H33</f>
        <v>44.7577</v>
      </c>
      <c r="G30" t="e">
        <f>'Monthly Haver'!I33</f>
        <v>#N/A</v>
      </c>
      <c r="H30">
        <f>'Monthly Haver'!J33</f>
        <v>49.423099999999998</v>
      </c>
      <c r="I30">
        <f>GDS_Monthly!O147</f>
        <v>54.783730257013289</v>
      </c>
      <c r="J30">
        <f>GDS_Monthly!D147</f>
        <v>72.572161819520034</v>
      </c>
      <c r="K30">
        <f>GDS_Monthly!AH147</f>
        <v>415.64725909999999</v>
      </c>
      <c r="L30">
        <f>GDS_Monthly!AI147</f>
        <v>396.12807520000001</v>
      </c>
      <c r="M30">
        <f>GDS_Monthly!N147</f>
        <v>5.8111764779527402</v>
      </c>
      <c r="N30">
        <f>GDS_Monthly!C147</f>
        <v>116.13958100481729</v>
      </c>
      <c r="O30">
        <f>GDS_Monthly!F147</f>
        <v>4.8067437586568262</v>
      </c>
      <c r="P30">
        <f>GDS_Monthly!G147</f>
        <v>4.6025302615003385</v>
      </c>
      <c r="Q30">
        <f>GDS_Monthly!T147</f>
        <v>79.554538907854322</v>
      </c>
      <c r="R30">
        <f>GDS_Monthly!V147</f>
        <v>83.626744267820612</v>
      </c>
      <c r="S30">
        <f>GDS_Monthly!W147</f>
        <v>60.901621755655661</v>
      </c>
      <c r="T30">
        <f>GDS_Monthly!X147</f>
        <v>44.887396514958262</v>
      </c>
      <c r="U30">
        <f>GDS_Monthly!AA147</f>
        <v>50.456501875677461</v>
      </c>
      <c r="V30">
        <f>GDS_Monthly!AC147</f>
        <v>73.758302262037844</v>
      </c>
      <c r="W30">
        <f>GDS_Monthly!AE147</f>
        <v>70.735050264340899</v>
      </c>
      <c r="X30">
        <f>GDS_Monthly!AF147</f>
        <v>67.967113841161492</v>
      </c>
      <c r="Y30">
        <f>OECD!B30</f>
        <v>98.947450000000003</v>
      </c>
      <c r="Z30">
        <f>'Monthly Haver'!K33</f>
        <v>117.89707</v>
      </c>
      <c r="AA30" s="8">
        <f>OECD!C30</f>
        <v>93.87</v>
      </c>
    </row>
    <row r="31" spans="1:27">
      <c r="A31" t="str">
        <f>'Monthly Haver'!A34</f>
        <v>Jun-2001</v>
      </c>
      <c r="B31">
        <f>'Monthly Haver'!C34</f>
        <v>50.803600000000003</v>
      </c>
      <c r="C31">
        <f>'Monthly Haver'!D34</f>
        <v>50.747399999999999</v>
      </c>
      <c r="D31" t="e">
        <f>'Monthly Haver'!E34</f>
        <v>#N/A</v>
      </c>
      <c r="E31">
        <f>'Monthly Haver'!G34</f>
        <v>46.948700000000002</v>
      </c>
      <c r="F31">
        <f>'Monthly Haver'!H34</f>
        <v>45.632199999999997</v>
      </c>
      <c r="G31" t="e">
        <f>'Monthly Haver'!I34</f>
        <v>#N/A</v>
      </c>
      <c r="H31">
        <f>'Monthly Haver'!J34</f>
        <v>51.959600000000002</v>
      </c>
      <c r="I31">
        <f>GDS_Monthly!O148</f>
        <v>55.04230443585012</v>
      </c>
      <c r="J31">
        <f>GDS_Monthly!D148</f>
        <v>72.368831532221336</v>
      </c>
      <c r="K31">
        <f>GDS_Monthly!AH148</f>
        <v>409.56113160000001</v>
      </c>
      <c r="L31">
        <f>GDS_Monthly!AI148</f>
        <v>389.6794572</v>
      </c>
      <c r="M31">
        <f>GDS_Monthly!N148</f>
        <v>5.7769905511894715</v>
      </c>
      <c r="N31">
        <f>GDS_Monthly!C148</f>
        <v>116.65422352225083</v>
      </c>
      <c r="O31">
        <f>GDS_Monthly!F148</f>
        <v>4.7156117646731355</v>
      </c>
      <c r="P31">
        <f>GDS_Monthly!G148</f>
        <v>4.5418522440703368</v>
      </c>
      <c r="Q31">
        <f>GDS_Monthly!T148</f>
        <v>79.742390695164758</v>
      </c>
      <c r="R31">
        <f>GDS_Monthly!V148</f>
        <v>83.860781527757595</v>
      </c>
      <c r="S31">
        <f>GDS_Monthly!W148</f>
        <v>60.678317200713607</v>
      </c>
      <c r="T31">
        <f>GDS_Monthly!X148</f>
        <v>43.086933179923328</v>
      </c>
      <c r="U31">
        <f>GDS_Monthly!AA148</f>
        <v>49.629597609396413</v>
      </c>
      <c r="V31">
        <f>GDS_Monthly!AC148</f>
        <v>71.154271387136404</v>
      </c>
      <c r="W31">
        <f>GDS_Monthly!AE148</f>
        <v>69.920647449138826</v>
      </c>
      <c r="X31">
        <f>GDS_Monthly!AF148</f>
        <v>68.563413156989114</v>
      </c>
      <c r="Y31">
        <f>OECD!B31</f>
        <v>98.852500000000006</v>
      </c>
      <c r="Z31">
        <f>'Monthly Haver'!K34</f>
        <v>117.75357</v>
      </c>
      <c r="AA31" s="8">
        <f>OECD!C31</f>
        <v>93.61</v>
      </c>
    </row>
    <row r="32" spans="1:27">
      <c r="A32" t="str">
        <f>'Monthly Haver'!A35</f>
        <v>Jul-2001</v>
      </c>
      <c r="B32">
        <f>'Monthly Haver'!C35</f>
        <v>49.0458</v>
      </c>
      <c r="C32">
        <f>'Monthly Haver'!D35</f>
        <v>47.485900000000001</v>
      </c>
      <c r="D32" t="e">
        <f>'Monthly Haver'!E35</f>
        <v>#N/A</v>
      </c>
      <c r="E32">
        <f>'Monthly Haver'!G35</f>
        <v>47.551499999999997</v>
      </c>
      <c r="F32">
        <f>'Monthly Haver'!H35</f>
        <v>45.746099999999998</v>
      </c>
      <c r="G32" t="e">
        <f>'Monthly Haver'!I35</f>
        <v>#N/A</v>
      </c>
      <c r="H32">
        <f>'Monthly Haver'!J35</f>
        <v>49.535299999999999</v>
      </c>
      <c r="I32">
        <f>GDS_Monthly!O149</f>
        <v>54.932279943511965</v>
      </c>
      <c r="J32">
        <f>GDS_Monthly!D149</f>
        <v>71.744908997826542</v>
      </c>
      <c r="K32">
        <f>GDS_Monthly!AH149</f>
        <v>402.89239099999998</v>
      </c>
      <c r="L32">
        <f>GDS_Monthly!AI149</f>
        <v>381.1356419</v>
      </c>
      <c r="M32">
        <f>GDS_Monthly!N149</f>
        <v>5.9736200206851002</v>
      </c>
      <c r="N32">
        <f>GDS_Monthly!C149</f>
        <v>115.91215751522543</v>
      </c>
      <c r="O32">
        <f>GDS_Monthly!F149</f>
        <v>4.8644393465846854</v>
      </c>
      <c r="P32">
        <f>GDS_Monthly!G149</f>
        <v>4.491154051162777</v>
      </c>
      <c r="Q32">
        <f>GDS_Monthly!T149</f>
        <v>79.763199657834448</v>
      </c>
      <c r="R32">
        <f>GDS_Monthly!V149</f>
        <v>84.044723048150118</v>
      </c>
      <c r="S32">
        <f>GDS_Monthly!W149</f>
        <v>62.228078515987619</v>
      </c>
      <c r="T32">
        <f>GDS_Monthly!X149</f>
        <v>41.076991493233095</v>
      </c>
      <c r="U32">
        <f>GDS_Monthly!AA149</f>
        <v>49.630124619789228</v>
      </c>
      <c r="V32">
        <f>GDS_Monthly!AC149</f>
        <v>64.966555821158138</v>
      </c>
      <c r="W32">
        <f>GDS_Monthly!AE149</f>
        <v>64.280784471577064</v>
      </c>
      <c r="X32">
        <f>GDS_Monthly!AF149</f>
        <v>66.219001513779062</v>
      </c>
      <c r="Y32">
        <f>OECD!B32</f>
        <v>98.765150000000006</v>
      </c>
      <c r="Z32">
        <f>'Monthly Haver'!K35</f>
        <v>116.59327</v>
      </c>
      <c r="AA32" s="8">
        <f>OECD!C32</f>
        <v>93.36</v>
      </c>
    </row>
    <row r="33" spans="1:27">
      <c r="A33" t="str">
        <f>'Monthly Haver'!A36</f>
        <v>Aug-2001</v>
      </c>
      <c r="B33">
        <f>'Monthly Haver'!C36</f>
        <v>49.399900000000002</v>
      </c>
      <c r="C33">
        <f>'Monthly Haver'!D36</f>
        <v>45.691200000000002</v>
      </c>
      <c r="D33" t="e">
        <f>'Monthly Haver'!E36</f>
        <v>#N/A</v>
      </c>
      <c r="E33">
        <f>'Monthly Haver'!G36</f>
        <v>47.817700000000002</v>
      </c>
      <c r="F33">
        <f>'Monthly Haver'!H36</f>
        <v>47.605899999999998</v>
      </c>
      <c r="G33" t="e">
        <f>'Monthly Haver'!I36</f>
        <v>#N/A</v>
      </c>
      <c r="H33">
        <f>'Monthly Haver'!J36</f>
        <v>48.754100000000001</v>
      </c>
      <c r="I33">
        <f>GDS_Monthly!O150</f>
        <v>55.183507712573274</v>
      </c>
      <c r="J33">
        <f>GDS_Monthly!D150</f>
        <v>72.347955604619301</v>
      </c>
      <c r="K33">
        <f>GDS_Monthly!AH150</f>
        <v>407.99096680000002</v>
      </c>
      <c r="L33">
        <f>GDS_Monthly!AI150</f>
        <v>390.59731959999999</v>
      </c>
      <c r="M33">
        <f>GDS_Monthly!N150</f>
        <v>5.9925185557466527</v>
      </c>
      <c r="N33">
        <f>GDS_Monthly!C150</f>
        <v>115.11301086075949</v>
      </c>
      <c r="O33">
        <f>GDS_Monthly!F150</f>
        <v>4.5464799375764766</v>
      </c>
      <c r="P33">
        <f>GDS_Monthly!G150</f>
        <v>4.2914439771581234</v>
      </c>
      <c r="Q33">
        <f>GDS_Monthly!T150</f>
        <v>79.868881146530796</v>
      </c>
      <c r="R33">
        <f>GDS_Monthly!V150</f>
        <v>84.210301529117913</v>
      </c>
      <c r="S33">
        <f>GDS_Monthly!W150</f>
        <v>62.275000448874053</v>
      </c>
      <c r="T33">
        <f>GDS_Monthly!X150</f>
        <v>39.745043683848856</v>
      </c>
      <c r="U33">
        <f>GDS_Monthly!AA150</f>
        <v>49.234080546226494</v>
      </c>
      <c r="V33">
        <f>GDS_Monthly!AC150</f>
        <v>66.102523011559015</v>
      </c>
      <c r="W33">
        <f>GDS_Monthly!AE150</f>
        <v>65.642331510324695</v>
      </c>
      <c r="X33">
        <f>GDS_Monthly!AF150</f>
        <v>64.80168918360846</v>
      </c>
      <c r="Y33">
        <f>OECD!B33</f>
        <v>98.685460000000006</v>
      </c>
      <c r="Z33">
        <f>'Monthly Haver'!K36</f>
        <v>115.02526</v>
      </c>
      <c r="AA33" s="8">
        <f>OECD!C33</f>
        <v>93.24</v>
      </c>
    </row>
    <row r="34" spans="1:27">
      <c r="A34" t="str">
        <f>'Monthly Haver'!A37</f>
        <v>Sep-2001</v>
      </c>
      <c r="B34">
        <f>'Monthly Haver'!C37</f>
        <v>49.478999999999999</v>
      </c>
      <c r="C34">
        <f>'Monthly Haver'!D37</f>
        <v>46.113900000000001</v>
      </c>
      <c r="D34" t="e">
        <f>'Monthly Haver'!E37</f>
        <v>#N/A</v>
      </c>
      <c r="E34">
        <f>'Monthly Haver'!G37</f>
        <v>47.773299999999999</v>
      </c>
      <c r="F34">
        <f>'Monthly Haver'!H37</f>
        <v>46.740200000000002</v>
      </c>
      <c r="G34" t="e">
        <f>'Monthly Haver'!I37</f>
        <v>#N/A</v>
      </c>
      <c r="H34">
        <f>'Monthly Haver'!J37</f>
        <v>49.223599999999998</v>
      </c>
      <c r="I34">
        <f>GDS_Monthly!O151</f>
        <v>55.054173998551292</v>
      </c>
      <c r="J34">
        <f>GDS_Monthly!D151</f>
        <v>71.789706523490437</v>
      </c>
      <c r="K34">
        <f>GDS_Monthly!AH151</f>
        <v>396.78410739999998</v>
      </c>
      <c r="L34">
        <f>GDS_Monthly!AI151</f>
        <v>380.30754239999999</v>
      </c>
      <c r="M34">
        <f>GDS_Monthly!N151</f>
        <v>6.0461030222441847</v>
      </c>
      <c r="N34">
        <f>GDS_Monthly!C151</f>
        <v>110.54523434732505</v>
      </c>
      <c r="O34">
        <f>GDS_Monthly!F151</f>
        <v>4.4446166348034888</v>
      </c>
      <c r="P34">
        <f>GDS_Monthly!G151</f>
        <v>3.9867143033988492</v>
      </c>
      <c r="Q34">
        <f>GDS_Monthly!T151</f>
        <v>80.038760118848643</v>
      </c>
      <c r="R34">
        <f>GDS_Monthly!V151</f>
        <v>84.382675785749839</v>
      </c>
      <c r="S34">
        <f>GDS_Monthly!W151</f>
        <v>60.202419997114177</v>
      </c>
      <c r="T34">
        <f>GDS_Monthly!X151</f>
        <v>38.523537525596758</v>
      </c>
      <c r="U34">
        <f>GDS_Monthly!AA151</f>
        <v>48.041024680717129</v>
      </c>
      <c r="V34">
        <f>GDS_Monthly!AC151</f>
        <v>62.719314674370558</v>
      </c>
      <c r="W34">
        <f>GDS_Monthly!AE151</f>
        <v>63.119648519623674</v>
      </c>
      <c r="X34">
        <f>GDS_Monthly!AF151</f>
        <v>63.115045785899575</v>
      </c>
      <c r="Y34">
        <f>OECD!B34</f>
        <v>98.629890000000003</v>
      </c>
      <c r="Z34">
        <f>'Monthly Haver'!K37</f>
        <v>115.00387000000001</v>
      </c>
      <c r="AA34" s="8">
        <f>OECD!C34</f>
        <v>91.9</v>
      </c>
    </row>
    <row r="35" spans="1:27">
      <c r="A35" t="str">
        <f>'Monthly Haver'!A38</f>
        <v>Oct-2001</v>
      </c>
      <c r="B35">
        <f>'Monthly Haver'!C38</f>
        <v>41.772300000000001</v>
      </c>
      <c r="C35">
        <f>'Monthly Haver'!D38</f>
        <v>41.566000000000003</v>
      </c>
      <c r="D35" t="e">
        <f>'Monthly Haver'!E38</f>
        <v>#N/A</v>
      </c>
      <c r="E35">
        <f>'Monthly Haver'!G38</f>
        <v>44.860799999999998</v>
      </c>
      <c r="F35">
        <f>'Monthly Haver'!H38</f>
        <v>41.021700000000003</v>
      </c>
      <c r="G35" t="e">
        <f>'Monthly Haver'!I38</f>
        <v>#N/A</v>
      </c>
      <c r="H35">
        <f>'Monthly Haver'!J38</f>
        <v>42.8904</v>
      </c>
      <c r="I35">
        <f>GDS_Monthly!O152</f>
        <v>55.244763111812389</v>
      </c>
      <c r="J35">
        <f>GDS_Monthly!D152</f>
        <v>71.581039306982774</v>
      </c>
      <c r="K35">
        <f>GDS_Monthly!AH152</f>
        <v>399.77566739999997</v>
      </c>
      <c r="L35">
        <f>GDS_Monthly!AI152</f>
        <v>384.34306329999998</v>
      </c>
      <c r="M35">
        <f>GDS_Monthly!N152</f>
        <v>6.1776572787911945</v>
      </c>
      <c r="N35">
        <f>GDS_Monthly!C152</f>
        <v>107.1302837912702</v>
      </c>
      <c r="O35">
        <f>GDS_Monthly!F152</f>
        <v>4.4424701499107782</v>
      </c>
      <c r="P35">
        <f>GDS_Monthly!G152</f>
        <v>3.7493930573220622</v>
      </c>
      <c r="Q35">
        <f>GDS_Monthly!T152</f>
        <v>80.038920331537994</v>
      </c>
      <c r="R35">
        <f>GDS_Monthly!V152</f>
        <v>84.547318060227241</v>
      </c>
      <c r="S35">
        <f>GDS_Monthly!W152</f>
        <v>59.030629487333833</v>
      </c>
      <c r="T35">
        <f>GDS_Monthly!X152</f>
        <v>37.289398705461515</v>
      </c>
      <c r="U35">
        <f>GDS_Monthly!AA152</f>
        <v>46.912667008693681</v>
      </c>
      <c r="V35">
        <f>GDS_Monthly!AC152</f>
        <v>55.431303027918567</v>
      </c>
      <c r="W35">
        <f>GDS_Monthly!AE152</f>
        <v>52.573031473054492</v>
      </c>
      <c r="X35">
        <f>GDS_Monthly!AF152</f>
        <v>60.097596004119623</v>
      </c>
      <c r="Y35">
        <f>OECD!B35</f>
        <v>98.642160000000004</v>
      </c>
      <c r="Z35">
        <f>'Monthly Haver'!K38</f>
        <v>113.80347</v>
      </c>
      <c r="AA35" s="8">
        <f>OECD!C35</f>
        <v>91.22</v>
      </c>
    </row>
    <row r="36" spans="1:27">
      <c r="A36" t="str">
        <f>'Monthly Haver'!A39</f>
        <v>Nov-2001</v>
      </c>
      <c r="B36">
        <f>'Monthly Haver'!C39</f>
        <v>46.024700000000003</v>
      </c>
      <c r="C36">
        <f>'Monthly Haver'!D39</f>
        <v>40.396900000000002</v>
      </c>
      <c r="D36" t="e">
        <f>'Monthly Haver'!E39</f>
        <v>#N/A</v>
      </c>
      <c r="E36">
        <f>'Monthly Haver'!G39</f>
        <v>44.920999999999999</v>
      </c>
      <c r="F36">
        <f>'Monthly Haver'!H39</f>
        <v>43.485399999999998</v>
      </c>
      <c r="G36" t="e">
        <f>'Monthly Haver'!I39</f>
        <v>#N/A</v>
      </c>
      <c r="H36">
        <f>'Monthly Haver'!J39</f>
        <v>48.477600000000002</v>
      </c>
      <c r="I36">
        <f>GDS_Monthly!O153</f>
        <v>55.692319072684541</v>
      </c>
      <c r="J36">
        <f>GDS_Monthly!D153</f>
        <v>71.542998047918246</v>
      </c>
      <c r="K36">
        <f>GDS_Monthly!AH153</f>
        <v>390.98356139999999</v>
      </c>
      <c r="L36">
        <f>GDS_Monthly!AI153</f>
        <v>376.42922329999999</v>
      </c>
      <c r="M36">
        <f>GDS_Monthly!N153</f>
        <v>6.2087357064759328</v>
      </c>
      <c r="N36">
        <f>GDS_Monthly!C153</f>
        <v>106.3062111132764</v>
      </c>
      <c r="O36">
        <f>GDS_Monthly!F153</f>
        <v>4.2352468703977495</v>
      </c>
      <c r="P36">
        <f>GDS_Monthly!G153</f>
        <v>3.4608157014497274</v>
      </c>
      <c r="Q36">
        <f>GDS_Monthly!T153</f>
        <v>80.08896885657748</v>
      </c>
      <c r="R36">
        <f>GDS_Monthly!V153</f>
        <v>84.718991372925643</v>
      </c>
      <c r="S36">
        <f>GDS_Monthly!W153</f>
        <v>57.812665291316186</v>
      </c>
      <c r="T36">
        <f>GDS_Monthly!X153</f>
        <v>38.560568329420541</v>
      </c>
      <c r="U36">
        <f>GDS_Monthly!AA153</f>
        <v>46.587496385830256</v>
      </c>
      <c r="V36">
        <f>GDS_Monthly!AC153</f>
        <v>50.466009577587407</v>
      </c>
      <c r="W36">
        <f>GDS_Monthly!AE153</f>
        <v>47.766393924383408</v>
      </c>
      <c r="X36">
        <f>GDS_Monthly!AF153</f>
        <v>61.003304571282897</v>
      </c>
      <c r="Y36">
        <f>OECD!B36</f>
        <v>98.743030000000005</v>
      </c>
      <c r="Z36">
        <f>'Monthly Haver'!K39</f>
        <v>114.14976</v>
      </c>
      <c r="AA36" s="8">
        <f>OECD!C36</f>
        <v>92.02</v>
      </c>
    </row>
    <row r="37" spans="1:27">
      <c r="A37" t="str">
        <f>'Monthly Haver'!A40</f>
        <v>Dec-2001</v>
      </c>
      <c r="B37">
        <f>'Monthly Haver'!C40</f>
        <v>48.448599999999999</v>
      </c>
      <c r="C37">
        <f>'Monthly Haver'!D40</f>
        <v>41.402900000000002</v>
      </c>
      <c r="D37" t="e">
        <f>'Monthly Haver'!E40</f>
        <v>#N/A</v>
      </c>
      <c r="E37">
        <f>'Monthly Haver'!G40</f>
        <v>45.3675</v>
      </c>
      <c r="F37">
        <f>'Monthly Haver'!H40</f>
        <v>44.069400000000002</v>
      </c>
      <c r="G37" t="e">
        <f>'Monthly Haver'!I40</f>
        <v>#N/A</v>
      </c>
      <c r="H37">
        <f>'Monthly Haver'!J40</f>
        <v>50.219299999999997</v>
      </c>
      <c r="I37">
        <f>GDS_Monthly!O154</f>
        <v>55.778345630608108</v>
      </c>
      <c r="J37">
        <f>GDS_Monthly!D154</f>
        <v>71.27997555992313</v>
      </c>
      <c r="K37">
        <f>GDS_Monthly!AH154</f>
        <v>381.4952773</v>
      </c>
      <c r="L37">
        <f>GDS_Monthly!AI154</f>
        <v>372.30871300000001</v>
      </c>
      <c r="M37">
        <f>GDS_Monthly!N154</f>
        <v>6.221134504715665</v>
      </c>
      <c r="N37">
        <f>GDS_Monthly!C154</f>
        <v>109.22368181050979</v>
      </c>
      <c r="O37">
        <f>GDS_Monthly!F154</f>
        <v>4.6676497881427936</v>
      </c>
      <c r="P37">
        <f>GDS_Monthly!G154</f>
        <v>3.4042566069559048</v>
      </c>
      <c r="Q37">
        <f>GDS_Monthly!T154</f>
        <v>80.172158296483417</v>
      </c>
      <c r="R37">
        <f>GDS_Monthly!V154</f>
        <v>84.888043072680404</v>
      </c>
      <c r="S37">
        <f>GDS_Monthly!W154</f>
        <v>57.541376357772663</v>
      </c>
      <c r="T37">
        <f>GDS_Monthly!X154</f>
        <v>39.096092038061094</v>
      </c>
      <c r="U37">
        <f>GDS_Monthly!AA154</f>
        <v>46.640600062189655</v>
      </c>
      <c r="V37">
        <f>GDS_Monthly!AC154</f>
        <v>49.715200243765658</v>
      </c>
      <c r="W37">
        <f>GDS_Monthly!AE154</f>
        <v>47.550580310706955</v>
      </c>
      <c r="X37">
        <f>GDS_Monthly!AF154</f>
        <v>60.474277669806725</v>
      </c>
      <c r="Y37">
        <f>OECD!B37</f>
        <v>98.920910000000006</v>
      </c>
      <c r="Z37">
        <f>'Monthly Haver'!K40</f>
        <v>113.26776</v>
      </c>
      <c r="AA37" s="8">
        <f>OECD!C37</f>
        <v>92.66</v>
      </c>
    </row>
    <row r="38" spans="1:27">
      <c r="A38" t="str">
        <f>'Monthly Haver'!A41</f>
        <v>Jan-2002</v>
      </c>
      <c r="B38">
        <f>'Monthly Haver'!C41</f>
        <v>49.706699999999998</v>
      </c>
      <c r="C38">
        <f>'Monthly Haver'!D41</f>
        <v>46.869599999999998</v>
      </c>
      <c r="D38" t="e">
        <f>'Monthly Haver'!E41</f>
        <v>#N/A</v>
      </c>
      <c r="E38">
        <f>'Monthly Haver'!G41</f>
        <v>45.684699999999999</v>
      </c>
      <c r="F38">
        <f>'Monthly Haver'!H41</f>
        <v>46.493499999999997</v>
      </c>
      <c r="G38" t="e">
        <f>'Monthly Haver'!I41</f>
        <v>#N/A</v>
      </c>
      <c r="H38">
        <f>'Monthly Haver'!J41</f>
        <v>50.270899999999997</v>
      </c>
      <c r="I38">
        <f>GDS_Monthly!O155</f>
        <v>56.463258670146367</v>
      </c>
      <c r="J38">
        <f>GDS_Monthly!D155</f>
        <v>72.069058992185191</v>
      </c>
      <c r="K38">
        <f>GDS_Monthly!AH155</f>
        <v>387.0044168</v>
      </c>
      <c r="L38">
        <f>GDS_Monthly!AI155</f>
        <v>378.54321820000001</v>
      </c>
      <c r="M38">
        <f>GDS_Monthly!N155</f>
        <v>6.4098082003438792</v>
      </c>
      <c r="N38">
        <f>GDS_Monthly!C155</f>
        <v>110.89383777679936</v>
      </c>
      <c r="O38">
        <f>GDS_Monthly!F155</f>
        <v>4.6756696029169316</v>
      </c>
      <c r="P38">
        <f>GDS_Monthly!G155</f>
        <v>3.1959601388731524</v>
      </c>
      <c r="Q38">
        <f>GDS_Monthly!T155</f>
        <v>80.424411761710743</v>
      </c>
      <c r="R38">
        <f>GDS_Monthly!V155</f>
        <v>85.086322444576538</v>
      </c>
      <c r="S38">
        <f>GDS_Monthly!W155</f>
        <v>59.197918833502982</v>
      </c>
      <c r="T38">
        <f>GDS_Monthly!X155</f>
        <v>40.402698044035411</v>
      </c>
      <c r="U38">
        <f>GDS_Monthly!AA155</f>
        <v>47.805931252235517</v>
      </c>
      <c r="V38">
        <f>GDS_Monthly!AC155</f>
        <v>49.582557566235444</v>
      </c>
      <c r="W38">
        <f>GDS_Monthly!AE155</f>
        <v>49.577972722353536</v>
      </c>
      <c r="X38">
        <f>GDS_Monthly!AF155</f>
        <v>60.919209447255589</v>
      </c>
      <c r="Y38">
        <f>OECD!B38</f>
        <v>99.138570000000001</v>
      </c>
      <c r="Z38">
        <f>'Monthly Haver'!K41</f>
        <v>114.5098</v>
      </c>
      <c r="AA38" s="8">
        <f>OECD!C38</f>
        <v>93.56</v>
      </c>
    </row>
    <row r="39" spans="1:27">
      <c r="A39" t="str">
        <f>'Monthly Haver'!A42</f>
        <v>Feb-2002</v>
      </c>
      <c r="B39">
        <f>'Monthly Haver'!C42</f>
        <v>54.393000000000001</v>
      </c>
      <c r="C39">
        <f>'Monthly Haver'!D42</f>
        <v>46.475200000000001</v>
      </c>
      <c r="D39" t="e">
        <f>'Monthly Haver'!E42</f>
        <v>#N/A</v>
      </c>
      <c r="E39">
        <f>'Monthly Haver'!G42</f>
        <v>46.419899999999998</v>
      </c>
      <c r="F39">
        <f>'Monthly Haver'!H42</f>
        <v>49.090200000000003</v>
      </c>
      <c r="G39" t="e">
        <f>'Monthly Haver'!I42</f>
        <v>#N/A</v>
      </c>
      <c r="H39">
        <f>'Monthly Haver'!J42</f>
        <v>55.192399999999999</v>
      </c>
      <c r="I39">
        <f>GDS_Monthly!O156</f>
        <v>56.364703790386542</v>
      </c>
      <c r="J39">
        <f>GDS_Monthly!D156</f>
        <v>72.344982712129791</v>
      </c>
      <c r="K39">
        <f>GDS_Monthly!AH156</f>
        <v>396.59662250000002</v>
      </c>
      <c r="L39">
        <f>GDS_Monthly!AI156</f>
        <v>379.7605949</v>
      </c>
      <c r="M39">
        <f>GDS_Monthly!N156</f>
        <v>6.4162599004691243</v>
      </c>
      <c r="N39">
        <f>GDS_Monthly!C156</f>
        <v>110.08289001713968</v>
      </c>
      <c r="O39">
        <f>GDS_Monthly!F156</f>
        <v>4.6552395450590698</v>
      </c>
      <c r="P39">
        <f>GDS_Monthly!G156</f>
        <v>3.6475843802302936</v>
      </c>
      <c r="Q39">
        <f>GDS_Monthly!T156</f>
        <v>80.515494729458155</v>
      </c>
      <c r="R39">
        <f>GDS_Monthly!V156</f>
        <v>85.260041991944618</v>
      </c>
      <c r="S39">
        <f>GDS_Monthly!W156</f>
        <v>59.467522190379647</v>
      </c>
      <c r="T39">
        <f>GDS_Monthly!X156</f>
        <v>40.60334212956996</v>
      </c>
      <c r="U39">
        <f>GDS_Monthly!AA156</f>
        <v>48.359474831474891</v>
      </c>
      <c r="V39">
        <f>GDS_Monthly!AC156</f>
        <v>51.270496491074283</v>
      </c>
      <c r="W39">
        <f>GDS_Monthly!AE156</f>
        <v>52.03086093754434</v>
      </c>
      <c r="X39">
        <f>GDS_Monthly!AF156</f>
        <v>63.197900934249603</v>
      </c>
      <c r="Y39">
        <f>OECD!B39</f>
        <v>99.355540000000005</v>
      </c>
      <c r="Z39">
        <f>'Monthly Haver'!K42</f>
        <v>114.92203000000001</v>
      </c>
      <c r="AA39" s="8">
        <f>OECD!C39</f>
        <v>93.85</v>
      </c>
    </row>
    <row r="40" spans="1:27">
      <c r="A40" t="str">
        <f>'Monthly Haver'!A43</f>
        <v>Mar-2002</v>
      </c>
      <c r="B40">
        <f>'Monthly Haver'!C43</f>
        <v>55.914099999999998</v>
      </c>
      <c r="C40">
        <f>'Monthly Haver'!D43</f>
        <v>49.279699999999998</v>
      </c>
      <c r="D40" t="e">
        <f>'Monthly Haver'!E43</f>
        <v>#N/A</v>
      </c>
      <c r="E40">
        <f>'Monthly Haver'!G43</f>
        <v>47.976500000000001</v>
      </c>
      <c r="F40">
        <f>'Monthly Haver'!H43</f>
        <v>51.011000000000003</v>
      </c>
      <c r="G40" t="e">
        <f>'Monthly Haver'!I43</f>
        <v>#N/A</v>
      </c>
      <c r="H40">
        <f>'Monthly Haver'!J43</f>
        <v>55.423699999999997</v>
      </c>
      <c r="I40">
        <f>GDS_Monthly!O157</f>
        <v>56.745052492900292</v>
      </c>
      <c r="J40">
        <f>GDS_Monthly!D157</f>
        <v>72.816525707722192</v>
      </c>
      <c r="K40">
        <f>GDS_Monthly!AH157</f>
        <v>400.09177799999998</v>
      </c>
      <c r="L40">
        <f>GDS_Monthly!AI157</f>
        <v>389.25861500000002</v>
      </c>
      <c r="M40">
        <f>GDS_Monthly!N157</f>
        <v>6.4339669302472835</v>
      </c>
      <c r="N40">
        <f>GDS_Monthly!C157</f>
        <v>114.46145216727106</v>
      </c>
      <c r="O40">
        <f>GDS_Monthly!F157</f>
        <v>4.886247514296632</v>
      </c>
      <c r="P40">
        <f>GDS_Monthly!G157</f>
        <v>3.6055888496422335</v>
      </c>
      <c r="Q40">
        <f>GDS_Monthly!T157</f>
        <v>80.712187634366614</v>
      </c>
      <c r="R40">
        <f>GDS_Monthly!V157</f>
        <v>85.321664506660767</v>
      </c>
      <c r="S40">
        <f>GDS_Monthly!W157</f>
        <v>62.297234582993049</v>
      </c>
      <c r="T40">
        <f>GDS_Monthly!X157</f>
        <v>41.968438995019568</v>
      </c>
      <c r="U40">
        <f>GDS_Monthly!AA157</f>
        <v>50.073605950140951</v>
      </c>
      <c r="V40">
        <f>GDS_Monthly!AC157</f>
        <v>59.613536237806585</v>
      </c>
      <c r="W40">
        <f>GDS_Monthly!AE157</f>
        <v>61.3385598405902</v>
      </c>
      <c r="X40">
        <f>GDS_Monthly!AF157</f>
        <v>62.177913175310771</v>
      </c>
      <c r="Y40">
        <f>OECD!B40</f>
        <v>99.524640000000005</v>
      </c>
      <c r="Z40">
        <f>'Monthly Haver'!K43</f>
        <v>114.84430999999999</v>
      </c>
      <c r="AA40" s="8">
        <f>OECD!C40</f>
        <v>94.79</v>
      </c>
    </row>
    <row r="41" spans="1:27">
      <c r="A41" t="str">
        <f>'Monthly Haver'!A44</f>
        <v>Apr-2002</v>
      </c>
      <c r="B41">
        <f>'Monthly Haver'!C44</f>
        <v>56.818199999999997</v>
      </c>
      <c r="C41">
        <f>'Monthly Haver'!D44</f>
        <v>53.107500000000002</v>
      </c>
      <c r="D41" t="e">
        <f>'Monthly Haver'!E44</f>
        <v>#N/A</v>
      </c>
      <c r="E41">
        <f>'Monthly Haver'!G44</f>
        <v>49.438299999999998</v>
      </c>
      <c r="F41">
        <f>'Monthly Haver'!H44</f>
        <v>51.953299999999999</v>
      </c>
      <c r="G41" t="e">
        <f>'Monthly Haver'!I44</f>
        <v>#N/A</v>
      </c>
      <c r="H41">
        <f>'Monthly Haver'!J44</f>
        <v>55.192399999999999</v>
      </c>
      <c r="I41">
        <f>GDS_Monthly!O158</f>
        <v>57.240503674922479</v>
      </c>
      <c r="J41">
        <f>GDS_Monthly!D158</f>
        <v>73.489110957261772</v>
      </c>
      <c r="K41">
        <f>GDS_Monthly!AH158</f>
        <v>417.90756929999998</v>
      </c>
      <c r="L41">
        <f>GDS_Monthly!AI158</f>
        <v>401.23120230000001</v>
      </c>
      <c r="M41">
        <f>GDS_Monthly!N158</f>
        <v>6.5028248922611676</v>
      </c>
      <c r="N41">
        <f>GDS_Monthly!C158</f>
        <v>113.49484986713948</v>
      </c>
      <c r="O41">
        <f>GDS_Monthly!F158</f>
        <v>4.8559381452327628</v>
      </c>
      <c r="P41">
        <f>GDS_Monthly!G158</f>
        <v>3.5308731827230546</v>
      </c>
      <c r="Q41">
        <f>GDS_Monthly!T158</f>
        <v>81.078545242742067</v>
      </c>
      <c r="R41">
        <f>GDS_Monthly!V158</f>
        <v>85.522961879734254</v>
      </c>
      <c r="S41">
        <f>GDS_Monthly!W158</f>
        <v>62.47134494285983</v>
      </c>
      <c r="T41">
        <f>GDS_Monthly!X158</f>
        <v>41.988457907499409</v>
      </c>
      <c r="U41">
        <f>GDS_Monthly!AA158</f>
        <v>50.32380461158958</v>
      </c>
      <c r="V41">
        <f>GDS_Monthly!AC158</f>
        <v>63.673919733197934</v>
      </c>
      <c r="W41">
        <f>GDS_Monthly!AE158</f>
        <v>65.635461322392302</v>
      </c>
      <c r="X41">
        <f>GDS_Monthly!AF158</f>
        <v>62.959154408948962</v>
      </c>
      <c r="Y41">
        <f>OECD!B41</f>
        <v>99.605239999999995</v>
      </c>
      <c r="Z41">
        <f>'Monthly Haver'!K44</f>
        <v>114.60590999999999</v>
      </c>
      <c r="AA41" s="8">
        <f>OECD!C41</f>
        <v>95.37</v>
      </c>
    </row>
    <row r="42" spans="1:27">
      <c r="A42" t="str">
        <f>'Monthly Haver'!A45</f>
        <v>May-2002</v>
      </c>
      <c r="B42">
        <f>'Monthly Haver'!C45</f>
        <v>56.710900000000002</v>
      </c>
      <c r="C42">
        <f>'Monthly Haver'!D45</f>
        <v>54.037100000000002</v>
      </c>
      <c r="D42" t="e">
        <f>'Monthly Haver'!E45</f>
        <v>#N/A</v>
      </c>
      <c r="E42">
        <f>'Monthly Haver'!G45</f>
        <v>50.423299999999998</v>
      </c>
      <c r="F42">
        <f>'Monthly Haver'!H45</f>
        <v>53.142499999999998</v>
      </c>
      <c r="G42" t="e">
        <f>'Monthly Haver'!I45</f>
        <v>#N/A</v>
      </c>
      <c r="H42">
        <f>'Monthly Haver'!J45</f>
        <v>57.653599999999997</v>
      </c>
      <c r="I42">
        <f>GDS_Monthly!O159</f>
        <v>57.459068315116383</v>
      </c>
      <c r="J42">
        <f>GDS_Monthly!D159</f>
        <v>73.882792774890817</v>
      </c>
      <c r="K42">
        <f>GDS_Monthly!AH159</f>
        <v>422.68851719999998</v>
      </c>
      <c r="L42">
        <f>GDS_Monthly!AI159</f>
        <v>407.38283300000001</v>
      </c>
      <c r="M42">
        <f>GDS_Monthly!N159</f>
        <v>6.4713231744078747</v>
      </c>
      <c r="N42">
        <f>GDS_Monthly!C159</f>
        <v>114.1123092319278</v>
      </c>
      <c r="O42">
        <f>GDS_Monthly!F159</f>
        <v>4.8118495459924144</v>
      </c>
      <c r="P42">
        <f>GDS_Monthly!G159</f>
        <v>3.5310490626784645</v>
      </c>
      <c r="Q42">
        <f>GDS_Monthly!T159</f>
        <v>81.217565972586797</v>
      </c>
      <c r="R42">
        <f>GDS_Monthly!V159</f>
        <v>85.646570484437007</v>
      </c>
      <c r="S42">
        <f>GDS_Monthly!W159</f>
        <v>61.743797620409666</v>
      </c>
      <c r="T42">
        <f>GDS_Monthly!X159</f>
        <v>41.470369989130496</v>
      </c>
      <c r="U42">
        <f>GDS_Monthly!AA159</f>
        <v>50.042962370604336</v>
      </c>
      <c r="V42">
        <f>GDS_Monthly!AC159</f>
        <v>64.466222320066009</v>
      </c>
      <c r="W42">
        <f>GDS_Monthly!AE159</f>
        <v>65.23381204026407</v>
      </c>
      <c r="X42">
        <f>GDS_Monthly!AF159</f>
        <v>63.342584778621841</v>
      </c>
      <c r="Y42">
        <f>OECD!B42</f>
        <v>99.588710000000006</v>
      </c>
      <c r="Z42">
        <f>'Monthly Haver'!K45</f>
        <v>113.0735</v>
      </c>
      <c r="AA42" s="8">
        <f>OECD!C42</f>
        <v>96.3</v>
      </c>
    </row>
    <row r="43" spans="1:27">
      <c r="A43" t="str">
        <f>'Monthly Haver'!A46</f>
        <v>Jun-2002</v>
      </c>
      <c r="B43">
        <f>'Monthly Haver'!C46</f>
        <v>56.360700000000001</v>
      </c>
      <c r="C43">
        <f>'Monthly Haver'!D46</f>
        <v>54.298499999999997</v>
      </c>
      <c r="D43" t="e">
        <f>'Monthly Haver'!E46</f>
        <v>#N/A</v>
      </c>
      <c r="E43">
        <f>'Monthly Haver'!G46</f>
        <v>48.3703</v>
      </c>
      <c r="F43">
        <f>'Monthly Haver'!H46</f>
        <v>53.494799999999998</v>
      </c>
      <c r="G43" t="e">
        <f>'Monthly Haver'!I46</f>
        <v>#N/A</v>
      </c>
      <c r="H43">
        <f>'Monthly Haver'!J46</f>
        <v>54.918700000000001</v>
      </c>
      <c r="I43">
        <f>GDS_Monthly!O160</f>
        <v>57.353694184226001</v>
      </c>
      <c r="J43">
        <f>GDS_Monthly!D160</f>
        <v>73.917864175025002</v>
      </c>
      <c r="K43">
        <f>GDS_Monthly!AH160</f>
        <v>426.44707629999999</v>
      </c>
      <c r="L43">
        <f>GDS_Monthly!AI160</f>
        <v>410.23682170000001</v>
      </c>
      <c r="M43">
        <f>GDS_Monthly!N160</f>
        <v>6.4839313965729888</v>
      </c>
      <c r="N43">
        <f>GDS_Monthly!C160</f>
        <v>113.11138474430128</v>
      </c>
      <c r="O43">
        <f>GDS_Monthly!F160</f>
        <v>4.6975142774212753</v>
      </c>
      <c r="P43">
        <f>GDS_Monthly!G160</f>
        <v>3.5788517254141259</v>
      </c>
      <c r="Q43">
        <f>GDS_Monthly!T160</f>
        <v>81.347467051632165</v>
      </c>
      <c r="R43">
        <f>GDS_Monthly!V160</f>
        <v>85.801016667821031</v>
      </c>
      <c r="S43">
        <f>GDS_Monthly!W160</f>
        <v>61.145856655787199</v>
      </c>
      <c r="T43">
        <f>GDS_Monthly!X160</f>
        <v>42.379223669207192</v>
      </c>
      <c r="U43">
        <f>GDS_Monthly!AA160</f>
        <v>50.415631105205414</v>
      </c>
      <c r="V43">
        <f>GDS_Monthly!AC160</f>
        <v>61.473099068588311</v>
      </c>
      <c r="W43">
        <f>GDS_Monthly!AE160</f>
        <v>61.088994555133787</v>
      </c>
      <c r="X43">
        <f>GDS_Monthly!AF160</f>
        <v>66.593378120132385</v>
      </c>
      <c r="Y43">
        <f>OECD!B43</f>
        <v>99.490499999999997</v>
      </c>
      <c r="Z43">
        <f>'Monthly Haver'!K46</f>
        <v>111.99786</v>
      </c>
      <c r="AA43" s="8">
        <f>OECD!C43</f>
        <v>96.57</v>
      </c>
    </row>
    <row r="44" spans="1:27">
      <c r="A44" t="str">
        <f>'Monthly Haver'!A47</f>
        <v>Jul-2002</v>
      </c>
      <c r="B44">
        <f>'Monthly Haver'!C47</f>
        <v>52.523800000000001</v>
      </c>
      <c r="C44">
        <f>'Monthly Haver'!D47</f>
        <v>57.510899999999999</v>
      </c>
      <c r="D44" t="e">
        <f>'Monthly Haver'!E47</f>
        <v>#N/A</v>
      </c>
      <c r="E44">
        <f>'Monthly Haver'!G47</f>
        <v>48.483800000000002</v>
      </c>
      <c r="F44">
        <f>'Monthly Haver'!H47</f>
        <v>51.242600000000003</v>
      </c>
      <c r="G44" t="e">
        <f>'Monthly Haver'!I47</f>
        <v>#N/A</v>
      </c>
      <c r="H44">
        <f>'Monthly Haver'!J47</f>
        <v>52.229900000000001</v>
      </c>
      <c r="I44">
        <f>GDS_Monthly!O161</f>
        <v>57.728608919467106</v>
      </c>
      <c r="J44">
        <f>GDS_Monthly!D161</f>
        <v>74.336177742523361</v>
      </c>
      <c r="K44">
        <f>GDS_Monthly!AH161</f>
        <v>441.517762</v>
      </c>
      <c r="L44">
        <f>GDS_Monthly!AI161</f>
        <v>426.08169859999998</v>
      </c>
      <c r="M44">
        <f>GDS_Monthly!N161</f>
        <v>6.5041020298923469</v>
      </c>
      <c r="N44">
        <f>GDS_Monthly!C161</f>
        <v>110.49767841246884</v>
      </c>
      <c r="O44">
        <f>GDS_Monthly!F161</f>
        <v>4.522182646025521</v>
      </c>
      <c r="P44">
        <f>GDS_Monthly!G161</f>
        <v>3.6720712753646203</v>
      </c>
      <c r="Q44">
        <f>GDS_Monthly!T161</f>
        <v>81.542634183484978</v>
      </c>
      <c r="R44">
        <f>GDS_Monthly!V161</f>
        <v>85.935671833742717</v>
      </c>
      <c r="S44">
        <f>GDS_Monthly!W161</f>
        <v>63.147708652120329</v>
      </c>
      <c r="T44">
        <f>GDS_Monthly!X161</f>
        <v>41.884457708849808</v>
      </c>
      <c r="U44">
        <f>GDS_Monthly!AA161</f>
        <v>51.403709387875487</v>
      </c>
      <c r="V44">
        <f>GDS_Monthly!AC161</f>
        <v>63.706580253222107</v>
      </c>
      <c r="W44">
        <f>GDS_Monthly!AE161</f>
        <v>62.780296766974949</v>
      </c>
      <c r="X44">
        <f>GDS_Monthly!AF161</f>
        <v>69.519529620504031</v>
      </c>
      <c r="Y44">
        <f>OECD!B44</f>
        <v>99.343699999999998</v>
      </c>
      <c r="Z44">
        <f>'Monthly Haver'!K47</f>
        <v>110.35115</v>
      </c>
      <c r="AA44" s="8">
        <f>OECD!C44</f>
        <v>95.72</v>
      </c>
    </row>
    <row r="45" spans="1:27">
      <c r="A45" t="str">
        <f>'Monthly Haver'!A48</f>
        <v>Aug-2002</v>
      </c>
      <c r="B45">
        <f>'Monthly Haver'!C48</f>
        <v>52.2742</v>
      </c>
      <c r="C45">
        <f>'Monthly Haver'!D48</f>
        <v>53.954099999999997</v>
      </c>
      <c r="D45" t="e">
        <f>'Monthly Haver'!E48</f>
        <v>#N/A</v>
      </c>
      <c r="E45">
        <f>'Monthly Haver'!G48</f>
        <v>48.474200000000003</v>
      </c>
      <c r="F45">
        <f>'Monthly Haver'!H48</f>
        <v>50.542499999999997</v>
      </c>
      <c r="G45" t="e">
        <f>'Monthly Haver'!I48</f>
        <v>#N/A</v>
      </c>
      <c r="H45">
        <f>'Monthly Haver'!J48</f>
        <v>51.7864</v>
      </c>
      <c r="I45">
        <f>GDS_Monthly!O162</f>
        <v>58.038038361698376</v>
      </c>
      <c r="J45">
        <f>GDS_Monthly!D162</f>
        <v>74.46989117483551</v>
      </c>
      <c r="K45">
        <f>GDS_Monthly!AH162</f>
        <v>436.74668630000002</v>
      </c>
      <c r="L45">
        <f>GDS_Monthly!AI162</f>
        <v>420.45760660000002</v>
      </c>
      <c r="M45">
        <f>GDS_Monthly!N162</f>
        <v>6.4760522810764476</v>
      </c>
      <c r="N45">
        <f>GDS_Monthly!C162</f>
        <v>109.697462221809</v>
      </c>
      <c r="O45">
        <f>GDS_Monthly!F162</f>
        <v>4.2583486087089204</v>
      </c>
      <c r="P45">
        <f>GDS_Monthly!G162</f>
        <v>3.5586230456457293</v>
      </c>
      <c r="Q45">
        <f>GDS_Monthly!T162</f>
        <v>81.747032238812878</v>
      </c>
      <c r="R45">
        <f>GDS_Monthly!V162</f>
        <v>86.142657148305005</v>
      </c>
      <c r="S45">
        <f>GDS_Monthly!W162</f>
        <v>62.971954640688999</v>
      </c>
      <c r="T45">
        <f>GDS_Monthly!X162</f>
        <v>40.128030496745197</v>
      </c>
      <c r="U45">
        <f>GDS_Monthly!AA162</f>
        <v>51.105376822440022</v>
      </c>
      <c r="V45">
        <f>GDS_Monthly!AC162</f>
        <v>64.74497039841178</v>
      </c>
      <c r="W45">
        <f>GDS_Monthly!AE162</f>
        <v>65.719212283640644</v>
      </c>
      <c r="X45">
        <f>GDS_Monthly!AF162</f>
        <v>70.977620881011475</v>
      </c>
      <c r="Y45">
        <f>OECD!B45</f>
        <v>99.182810000000003</v>
      </c>
      <c r="Z45">
        <f>'Monthly Haver'!K48</f>
        <v>111.62636999999999</v>
      </c>
      <c r="AA45" s="8">
        <f>OECD!C45</f>
        <v>95.41</v>
      </c>
    </row>
    <row r="46" spans="1:27">
      <c r="A46" t="str">
        <f>'Monthly Haver'!A49</f>
        <v>Sep-2002</v>
      </c>
      <c r="B46">
        <f>'Monthly Haver'!C49</f>
        <v>52.7744</v>
      </c>
      <c r="C46">
        <f>'Monthly Haver'!D49</f>
        <v>53.497300000000003</v>
      </c>
      <c r="D46" t="e">
        <f>'Monthly Haver'!E49</f>
        <v>#N/A</v>
      </c>
      <c r="E46">
        <f>'Monthly Haver'!G49</f>
        <v>47.813899999999997</v>
      </c>
      <c r="F46">
        <f>'Monthly Haver'!H49</f>
        <v>49.643099999999997</v>
      </c>
      <c r="G46" t="e">
        <f>'Monthly Haver'!I49</f>
        <v>#N/A</v>
      </c>
      <c r="H46">
        <f>'Monthly Haver'!J49</f>
        <v>53.256900000000002</v>
      </c>
      <c r="I46">
        <f>GDS_Monthly!O163</f>
        <v>58.214833550505929</v>
      </c>
      <c r="J46">
        <f>GDS_Monthly!D163</f>
        <v>74.718859798517926</v>
      </c>
      <c r="K46">
        <f>GDS_Monthly!AH163</f>
        <v>441.23789729999999</v>
      </c>
      <c r="L46">
        <f>GDS_Monthly!AI163</f>
        <v>425.89295429999999</v>
      </c>
      <c r="M46">
        <f>GDS_Monthly!N163</f>
        <v>6.4939172321155496</v>
      </c>
      <c r="N46">
        <f>GDS_Monthly!C163</f>
        <v>109.64022585083659</v>
      </c>
      <c r="O46">
        <f>GDS_Monthly!F163</f>
        <v>4.0152367028831897</v>
      </c>
      <c r="P46">
        <f>GDS_Monthly!G163</f>
        <v>3.5220570354818386</v>
      </c>
      <c r="Q46">
        <f>GDS_Monthly!T163</f>
        <v>81.890802288361684</v>
      </c>
      <c r="R46">
        <f>GDS_Monthly!V163</f>
        <v>86.219069601806567</v>
      </c>
      <c r="S46">
        <f>GDS_Monthly!W163</f>
        <v>63.556123879622596</v>
      </c>
      <c r="T46">
        <f>GDS_Monthly!X163</f>
        <v>40.108176019804731</v>
      </c>
      <c r="U46">
        <f>GDS_Monthly!AA163</f>
        <v>51.920505552562766</v>
      </c>
      <c r="V46">
        <f>GDS_Monthly!AC163</f>
        <v>69.059762962400072</v>
      </c>
      <c r="W46">
        <f>GDS_Monthly!AE163</f>
        <v>69.384654872760223</v>
      </c>
      <c r="X46">
        <f>GDS_Monthly!AF163</f>
        <v>74.079897916913794</v>
      </c>
      <c r="Y46">
        <f>OECD!B46</f>
        <v>99.029420000000002</v>
      </c>
      <c r="Z46">
        <f>'Monthly Haver'!K49</f>
        <v>112.49731</v>
      </c>
      <c r="AA46" s="8">
        <f>OECD!C46</f>
        <v>94.97</v>
      </c>
    </row>
    <row r="47" spans="1:27">
      <c r="A47" t="str">
        <f>'Monthly Haver'!A50</f>
        <v>Oct-2002</v>
      </c>
      <c r="B47">
        <f>'Monthly Haver'!C50</f>
        <v>51.961599999999997</v>
      </c>
      <c r="C47">
        <f>'Monthly Haver'!D50</f>
        <v>53.234299999999998</v>
      </c>
      <c r="D47" t="e">
        <f>'Monthly Haver'!E50</f>
        <v>#N/A</v>
      </c>
      <c r="E47">
        <f>'Monthly Haver'!G50</f>
        <v>47.927700000000002</v>
      </c>
      <c r="F47">
        <f>'Monthly Haver'!H50</f>
        <v>49.191899999999997</v>
      </c>
      <c r="G47" t="e">
        <f>'Monthly Haver'!I50</f>
        <v>#N/A</v>
      </c>
      <c r="H47">
        <f>'Monthly Haver'!J50</f>
        <v>52.392299999999999</v>
      </c>
      <c r="I47">
        <f>GDS_Monthly!O164</f>
        <v>58.593967153872242</v>
      </c>
      <c r="J47">
        <f>GDS_Monthly!D164</f>
        <v>74.873381436718006</v>
      </c>
      <c r="K47">
        <f>GDS_Monthly!AH164</f>
        <v>442.19645850000001</v>
      </c>
      <c r="L47">
        <f>GDS_Monthly!AI164</f>
        <v>425.84131639999998</v>
      </c>
      <c r="M47">
        <f>GDS_Monthly!N164</f>
        <v>6.5220664716071068</v>
      </c>
      <c r="N47">
        <f>GDS_Monthly!C164</f>
        <v>105.69984330053994</v>
      </c>
      <c r="O47">
        <f>GDS_Monthly!F164</f>
        <v>4.096152085953837</v>
      </c>
      <c r="P47">
        <f>GDS_Monthly!G164</f>
        <v>3.5556168274818125</v>
      </c>
      <c r="Q47">
        <f>GDS_Monthly!T164</f>
        <v>82.040429502829355</v>
      </c>
      <c r="R47">
        <f>GDS_Monthly!V164</f>
        <v>86.354299290292829</v>
      </c>
      <c r="S47">
        <f>GDS_Monthly!W164</f>
        <v>66.07938924868526</v>
      </c>
      <c r="T47">
        <f>GDS_Monthly!X164</f>
        <v>40.439486266554624</v>
      </c>
      <c r="U47">
        <f>GDS_Monthly!AA164</f>
        <v>53.131844241732651</v>
      </c>
      <c r="V47">
        <f>GDS_Monthly!AC164</f>
        <v>70.189662623772421</v>
      </c>
      <c r="W47">
        <f>GDS_Monthly!AE164</f>
        <v>67.744915013456392</v>
      </c>
      <c r="X47">
        <f>GDS_Monthly!AF164</f>
        <v>73.634414889292458</v>
      </c>
      <c r="Y47">
        <f>OECD!B47</f>
        <v>98.897120000000001</v>
      </c>
      <c r="Z47">
        <f>'Monthly Haver'!K50</f>
        <v>113.6806</v>
      </c>
      <c r="AA47" s="8">
        <f>OECD!C47</f>
        <v>94.37</v>
      </c>
    </row>
    <row r="48" spans="1:27">
      <c r="A48" t="str">
        <f>'Monthly Haver'!A51</f>
        <v>Nov-2002</v>
      </c>
      <c r="B48">
        <f>'Monthly Haver'!C51</f>
        <v>53.302999999999997</v>
      </c>
      <c r="C48">
        <f>'Monthly Haver'!D51</f>
        <v>53.144300000000001</v>
      </c>
      <c r="D48" t="e">
        <f>'Monthly Haver'!E51</f>
        <v>#N/A</v>
      </c>
      <c r="E48">
        <f>'Monthly Haver'!G51</f>
        <v>47.553699999999999</v>
      </c>
      <c r="F48">
        <f>'Monthly Haver'!H51</f>
        <v>48.996699999999997</v>
      </c>
      <c r="G48" t="e">
        <f>'Monthly Haver'!I51</f>
        <v>#N/A</v>
      </c>
      <c r="H48">
        <f>'Monthly Haver'!J51</f>
        <v>54.853700000000003</v>
      </c>
      <c r="I48">
        <f>GDS_Monthly!O165</f>
        <v>59.010804084201041</v>
      </c>
      <c r="J48">
        <f>GDS_Monthly!D165</f>
        <v>75.210808107601594</v>
      </c>
      <c r="K48">
        <f>GDS_Monthly!AH165</f>
        <v>452.25130100000001</v>
      </c>
      <c r="L48">
        <f>GDS_Monthly!AI165</f>
        <v>431.05543870000002</v>
      </c>
      <c r="M48">
        <f>GDS_Monthly!N165</f>
        <v>6.5543122716278583</v>
      </c>
      <c r="N48">
        <f>GDS_Monthly!C165</f>
        <v>107.11779463543144</v>
      </c>
      <c r="O48">
        <f>GDS_Monthly!F165</f>
        <v>4.0796778401340497</v>
      </c>
      <c r="P48">
        <f>GDS_Monthly!G165</f>
        <v>3.3366643101586244</v>
      </c>
      <c r="Q48">
        <f>GDS_Monthly!T165</f>
        <v>82.277567512150085</v>
      </c>
      <c r="R48">
        <f>GDS_Monthly!V165</f>
        <v>86.529860747751059</v>
      </c>
      <c r="S48">
        <f>GDS_Monthly!W165</f>
        <v>64.738061782533762</v>
      </c>
      <c r="T48">
        <f>GDS_Monthly!X165</f>
        <v>42.267609234232033</v>
      </c>
      <c r="U48">
        <f>GDS_Monthly!AA165</f>
        <v>52.858651395634524</v>
      </c>
      <c r="V48">
        <f>GDS_Monthly!AC165</f>
        <v>65.499320565713063</v>
      </c>
      <c r="W48">
        <f>GDS_Monthly!AE165</f>
        <v>60.396898354274164</v>
      </c>
      <c r="X48">
        <f>GDS_Monthly!AF165</f>
        <v>73.466009570691881</v>
      </c>
      <c r="Y48">
        <f>OECD!B48</f>
        <v>98.789940000000001</v>
      </c>
      <c r="Z48">
        <f>'Monthly Haver'!K51</f>
        <v>112.42230000000001</v>
      </c>
      <c r="AA48" s="8">
        <f>OECD!C48</f>
        <v>95.19</v>
      </c>
    </row>
    <row r="49" spans="1:27">
      <c r="A49" t="str">
        <f>'Monthly Haver'!A52</f>
        <v>Dec-2002</v>
      </c>
      <c r="B49">
        <f>'Monthly Haver'!C52</f>
        <v>53.590299999999999</v>
      </c>
      <c r="C49">
        <f>'Monthly Haver'!D52</f>
        <v>53.214399999999998</v>
      </c>
      <c r="D49" t="e">
        <f>'Monthly Haver'!E52</f>
        <v>#N/A</v>
      </c>
      <c r="E49">
        <f>'Monthly Haver'!G52</f>
        <v>48.174199999999999</v>
      </c>
      <c r="F49">
        <f>'Monthly Haver'!H52</f>
        <v>50.148299999999999</v>
      </c>
      <c r="G49" t="e">
        <f>'Monthly Haver'!I52</f>
        <v>#N/A</v>
      </c>
      <c r="H49">
        <f>'Monthly Haver'!J52</f>
        <v>53.828200000000002</v>
      </c>
      <c r="I49">
        <f>GDS_Monthly!O166</f>
        <v>58.887084212191134</v>
      </c>
      <c r="J49">
        <f>GDS_Monthly!D166</f>
        <v>74.50680371819746</v>
      </c>
      <c r="K49">
        <f>GDS_Monthly!AH166</f>
        <v>450.80743239999998</v>
      </c>
      <c r="L49">
        <f>GDS_Monthly!AI166</f>
        <v>428.12203019999998</v>
      </c>
      <c r="M49">
        <f>GDS_Monthly!N166</f>
        <v>6.6091258337829588</v>
      </c>
      <c r="N49">
        <f>GDS_Monthly!C166</f>
        <v>105.76373579559584</v>
      </c>
      <c r="O49">
        <f>GDS_Monthly!F166</f>
        <v>3.9701216573525393</v>
      </c>
      <c r="P49">
        <f>GDS_Monthly!G166</f>
        <v>3.2713877607461348</v>
      </c>
      <c r="Q49">
        <f>GDS_Monthly!T166</f>
        <v>82.468468753223121</v>
      </c>
      <c r="R49">
        <f>GDS_Monthly!V166</f>
        <v>86.677116811284236</v>
      </c>
      <c r="S49">
        <f>GDS_Monthly!W166</f>
        <v>65.685024286277041</v>
      </c>
      <c r="T49">
        <f>GDS_Monthly!X166</f>
        <v>42.317468675725458</v>
      </c>
      <c r="U49">
        <f>GDS_Monthly!AA166</f>
        <v>53.512971338364252</v>
      </c>
      <c r="V49">
        <f>GDS_Monthly!AC166</f>
        <v>72.642371408200219</v>
      </c>
      <c r="W49">
        <f>GDS_Monthly!AE166</f>
        <v>67.454409835253799</v>
      </c>
      <c r="X49">
        <f>GDS_Monthly!AF166</f>
        <v>73.89028160570787</v>
      </c>
      <c r="Y49">
        <f>OECD!B49</f>
        <v>98.69359</v>
      </c>
      <c r="Z49">
        <f>'Monthly Haver'!K52</f>
        <v>111.39613</v>
      </c>
      <c r="AA49" s="8">
        <f>OECD!C49</f>
        <v>95.46</v>
      </c>
    </row>
    <row r="50" spans="1:27">
      <c r="A50" t="str">
        <f>'Monthly Haver'!A53</f>
        <v>Jan-2003</v>
      </c>
      <c r="B50">
        <f>'Monthly Haver'!C53</f>
        <v>53.299100000000003</v>
      </c>
      <c r="C50">
        <f>'Monthly Haver'!D53</f>
        <v>54.667299999999997</v>
      </c>
      <c r="D50" t="e">
        <f>'Monthly Haver'!E53</f>
        <v>#N/A</v>
      </c>
      <c r="E50">
        <f>'Monthly Haver'!G53</f>
        <v>49.340499999999999</v>
      </c>
      <c r="F50">
        <f>'Monthly Haver'!H53</f>
        <v>50.072299999999998</v>
      </c>
      <c r="G50" t="e">
        <f>'Monthly Haver'!I53</f>
        <v>#N/A</v>
      </c>
      <c r="H50">
        <f>'Monthly Haver'!J53</f>
        <v>54.021900000000002</v>
      </c>
      <c r="I50">
        <f>GDS_Monthly!O167</f>
        <v>59.679075471019004</v>
      </c>
      <c r="J50">
        <f>GDS_Monthly!D167</f>
        <v>75.854377122947554</v>
      </c>
      <c r="K50">
        <f>GDS_Monthly!AH167</f>
        <v>474.5765384</v>
      </c>
      <c r="L50">
        <f>GDS_Monthly!AI167</f>
        <v>450.07935459999999</v>
      </c>
      <c r="M50">
        <f>GDS_Monthly!N167</f>
        <v>6.6352404336461461</v>
      </c>
      <c r="N50">
        <f>GDS_Monthly!C167</f>
        <v>105.11393577855746</v>
      </c>
      <c r="O50">
        <f>GDS_Monthly!F167</f>
        <v>3.9001177801981073</v>
      </c>
      <c r="P50">
        <f>GDS_Monthly!G167</f>
        <v>3.3171992749347377</v>
      </c>
      <c r="Q50">
        <f>GDS_Monthly!T167</f>
        <v>82.793253133615451</v>
      </c>
      <c r="R50">
        <f>GDS_Monthly!V167</f>
        <v>86.823809140636357</v>
      </c>
      <c r="S50">
        <f>GDS_Monthly!W167</f>
        <v>65.987927054122096</v>
      </c>
      <c r="T50">
        <f>GDS_Monthly!X167</f>
        <v>44.545786588216103</v>
      </c>
      <c r="U50">
        <f>GDS_Monthly!AA167</f>
        <v>54.864975709722074</v>
      </c>
      <c r="V50">
        <f>GDS_Monthly!AC167</f>
        <v>80.490252328913371</v>
      </c>
      <c r="W50">
        <f>GDS_Monthly!AE167</f>
        <v>72.887892457809329</v>
      </c>
      <c r="X50">
        <f>GDS_Monthly!AF167</f>
        <v>75.81852390486425</v>
      </c>
      <c r="Y50">
        <f>OECD!B50</f>
        <v>98.602159999999998</v>
      </c>
      <c r="Z50">
        <f>'Monthly Haver'!K53</f>
        <v>111.2911</v>
      </c>
      <c r="AA50" s="8">
        <f>OECD!C50</f>
        <v>95.87</v>
      </c>
    </row>
    <row r="51" spans="1:27">
      <c r="A51" t="str">
        <f>'Monthly Haver'!A54</f>
        <v>Feb-2003</v>
      </c>
      <c r="B51">
        <f>'Monthly Haver'!C54</f>
        <v>52.0212</v>
      </c>
      <c r="C51">
        <f>'Monthly Haver'!D54</f>
        <v>57.857199999999999</v>
      </c>
      <c r="D51" t="e">
        <f>'Monthly Haver'!E54</f>
        <v>#N/A</v>
      </c>
      <c r="E51">
        <f>'Monthly Haver'!G54</f>
        <v>47.873100000000001</v>
      </c>
      <c r="F51">
        <f>'Monthly Haver'!H54</f>
        <v>49.052</v>
      </c>
      <c r="G51" t="e">
        <f>'Monthly Haver'!I54</f>
        <v>#N/A</v>
      </c>
      <c r="H51">
        <f>'Monthly Haver'!J54</f>
        <v>53.1736</v>
      </c>
      <c r="I51">
        <f>GDS_Monthly!O168</f>
        <v>60.042110897073172</v>
      </c>
      <c r="J51">
        <f>GDS_Monthly!D168</f>
        <v>76.302766461631705</v>
      </c>
      <c r="K51">
        <f>GDS_Monthly!AH168</f>
        <v>475.2887771</v>
      </c>
      <c r="L51">
        <f>GDS_Monthly!AI168</f>
        <v>454.78670240000002</v>
      </c>
      <c r="M51">
        <f>GDS_Monthly!N168</f>
        <v>6.6484253586540705</v>
      </c>
      <c r="N51">
        <f>GDS_Monthly!C168</f>
        <v>101.21541954222653</v>
      </c>
      <c r="O51">
        <f>GDS_Monthly!F168</f>
        <v>3.7650620681053915</v>
      </c>
      <c r="P51">
        <f>GDS_Monthly!G168</f>
        <v>3.296568451644994</v>
      </c>
      <c r="Q51">
        <f>GDS_Monthly!T168</f>
        <v>83.088308183293563</v>
      </c>
      <c r="R51">
        <f>GDS_Monthly!V168</f>
        <v>86.94282098310795</v>
      </c>
      <c r="S51">
        <f>GDS_Monthly!W168</f>
        <v>66.252295599339561</v>
      </c>
      <c r="T51">
        <f>GDS_Monthly!X168</f>
        <v>45.921225005375405</v>
      </c>
      <c r="U51">
        <f>GDS_Monthly!AA168</f>
        <v>55.53944861581649</v>
      </c>
      <c r="V51">
        <f>GDS_Monthly!AC168</f>
        <v>91.762029530878777</v>
      </c>
      <c r="W51">
        <f>GDS_Monthly!AE168</f>
        <v>77.812541335576952</v>
      </c>
      <c r="X51">
        <f>GDS_Monthly!AF168</f>
        <v>76.401556570750671</v>
      </c>
      <c r="Y51">
        <f>OECD!B51</f>
        <v>98.530929999999998</v>
      </c>
      <c r="Z51">
        <f>'Monthly Haver'!K54</f>
        <v>112.3172</v>
      </c>
      <c r="AA51" s="8">
        <f>OECD!C51</f>
        <v>95.57</v>
      </c>
    </row>
    <row r="52" spans="1:27">
      <c r="A52" t="str">
        <f>'Monthly Haver'!A55</f>
        <v>Mar-2003</v>
      </c>
      <c r="B52">
        <f>'Monthly Haver'!C55</f>
        <v>49.0471</v>
      </c>
      <c r="C52">
        <f>'Monthly Haver'!D55</f>
        <v>58.664400000000001</v>
      </c>
      <c r="D52" t="e">
        <f>'Monthly Haver'!E55</f>
        <v>#N/A</v>
      </c>
      <c r="E52">
        <f>'Monthly Haver'!G55</f>
        <v>47.715800000000002</v>
      </c>
      <c r="F52">
        <f>'Monthly Haver'!H55</f>
        <v>47.493600000000001</v>
      </c>
      <c r="G52" t="e">
        <f>'Monthly Haver'!I55</f>
        <v>#N/A</v>
      </c>
      <c r="H52">
        <f>'Monthly Haver'!J55</f>
        <v>47.053699999999999</v>
      </c>
      <c r="I52">
        <f>GDS_Monthly!O169</f>
        <v>60.289677285865672</v>
      </c>
      <c r="J52">
        <f>GDS_Monthly!D169</f>
        <v>76.333102853482032</v>
      </c>
      <c r="K52">
        <f>GDS_Monthly!AH169</f>
        <v>480.85999670000001</v>
      </c>
      <c r="L52">
        <f>GDS_Monthly!AI169</f>
        <v>449.72379849999999</v>
      </c>
      <c r="M52">
        <f>GDS_Monthly!N169</f>
        <v>6.6712259817519062</v>
      </c>
      <c r="N52">
        <f>GDS_Monthly!C169</f>
        <v>100.25273680830877</v>
      </c>
      <c r="O52">
        <f>GDS_Monthly!F169</f>
        <v>3.7792156229500322</v>
      </c>
      <c r="P52">
        <f>GDS_Monthly!G169</f>
        <v>3.2263635665160977</v>
      </c>
      <c r="Q52">
        <f>GDS_Monthly!T169</f>
        <v>83.298462777649178</v>
      </c>
      <c r="R52">
        <f>GDS_Monthly!V169</f>
        <v>87.029916055106654</v>
      </c>
      <c r="S52">
        <f>GDS_Monthly!W169</f>
        <v>66.016238797048061</v>
      </c>
      <c r="T52">
        <f>GDS_Monthly!X169</f>
        <v>45.151396578331223</v>
      </c>
      <c r="U52">
        <f>GDS_Monthly!AA169</f>
        <v>55.027279059657502</v>
      </c>
      <c r="V52">
        <f>GDS_Monthly!AC169</f>
        <v>81.450087169133624</v>
      </c>
      <c r="W52">
        <f>GDS_Monthly!AE169</f>
        <v>71.806319120298667</v>
      </c>
      <c r="X52">
        <f>GDS_Monthly!AF169</f>
        <v>75.98905926646168</v>
      </c>
      <c r="Y52">
        <f>OECD!B52</f>
        <v>98.511899999999997</v>
      </c>
      <c r="Z52">
        <f>'Monthly Haver'!K55</f>
        <v>114.44665999999999</v>
      </c>
      <c r="AA52" s="8">
        <f>OECD!C52</f>
        <v>95.54</v>
      </c>
    </row>
    <row r="53" spans="1:27">
      <c r="A53" t="str">
        <f>'Monthly Haver'!A56</f>
        <v>Apr-2003</v>
      </c>
      <c r="B53">
        <f>'Monthly Haver'!C56</f>
        <v>49.218800000000002</v>
      </c>
      <c r="C53">
        <f>'Monthly Haver'!D56</f>
        <v>55.132800000000003</v>
      </c>
      <c r="D53" t="e">
        <f>'Monthly Haver'!E56</f>
        <v>#N/A</v>
      </c>
      <c r="E53">
        <f>'Monthly Haver'!G56</f>
        <v>47.912700000000001</v>
      </c>
      <c r="F53">
        <f>'Monthly Haver'!H56</f>
        <v>47.735799999999998</v>
      </c>
      <c r="G53" t="e">
        <f>'Monthly Haver'!I56</f>
        <v>#N/A</v>
      </c>
      <c r="H53">
        <f>'Monthly Haver'!J56</f>
        <v>49.630200000000002</v>
      </c>
      <c r="I53">
        <f>GDS_Monthly!O170</f>
        <v>60.274668627486115</v>
      </c>
      <c r="J53">
        <f>GDS_Monthly!D170</f>
        <v>76.193918476329941</v>
      </c>
      <c r="K53">
        <f>GDS_Monthly!AH170</f>
        <v>474.66358259999998</v>
      </c>
      <c r="L53">
        <f>GDS_Monthly!AI170</f>
        <v>452.77084159999998</v>
      </c>
      <c r="M53">
        <f>GDS_Monthly!N170</f>
        <v>6.6739163740524425</v>
      </c>
      <c r="N53">
        <f>GDS_Monthly!C170</f>
        <v>105.57217162019408</v>
      </c>
      <c r="O53">
        <f>GDS_Monthly!F170</f>
        <v>3.8272806953480449</v>
      </c>
      <c r="P53">
        <f>GDS_Monthly!G170</f>
        <v>3.1845969415980018</v>
      </c>
      <c r="Q53">
        <f>GDS_Monthly!T170</f>
        <v>83.204593225054111</v>
      </c>
      <c r="R53">
        <f>GDS_Monthly!V170</f>
        <v>87.13745858973266</v>
      </c>
      <c r="S53">
        <f>GDS_Monthly!W170</f>
        <v>67.563603641649607</v>
      </c>
      <c r="T53">
        <f>GDS_Monthly!X170</f>
        <v>43.642008262189478</v>
      </c>
      <c r="U53">
        <f>GDS_Monthly!AA170</f>
        <v>55.22221731800046</v>
      </c>
      <c r="V53">
        <f>GDS_Monthly!AC170</f>
        <v>71.4765809833589</v>
      </c>
      <c r="W53">
        <f>GDS_Monthly!AE170</f>
        <v>60.683693857126208</v>
      </c>
      <c r="X53">
        <f>GDS_Monthly!AF170</f>
        <v>77.515071831200615</v>
      </c>
      <c r="Y53">
        <f>OECD!B53</f>
        <v>98.570509999999999</v>
      </c>
      <c r="Z53">
        <f>'Monthly Haver'!K56</f>
        <v>110.58292</v>
      </c>
      <c r="AA53" s="8">
        <f>OECD!C53</f>
        <v>95.72</v>
      </c>
    </row>
    <row r="54" spans="1:27">
      <c r="A54" t="str">
        <f>'Monthly Haver'!A57</f>
        <v>May-2003</v>
      </c>
      <c r="B54">
        <f>'Monthly Haver'!C57</f>
        <v>52.085900000000002</v>
      </c>
      <c r="C54">
        <f>'Monthly Haver'!D57</f>
        <v>49.929000000000002</v>
      </c>
      <c r="D54" t="e">
        <f>'Monthly Haver'!E57</f>
        <v>#N/A</v>
      </c>
      <c r="E54">
        <f>'Monthly Haver'!G57</f>
        <v>47.904200000000003</v>
      </c>
      <c r="F54">
        <f>'Monthly Haver'!H57</f>
        <v>48.532600000000002</v>
      </c>
      <c r="G54" t="e">
        <f>'Monthly Haver'!I57</f>
        <v>#N/A</v>
      </c>
      <c r="H54">
        <f>'Monthly Haver'!J57</f>
        <v>52.335700000000003</v>
      </c>
      <c r="I54">
        <f>GDS_Monthly!O171</f>
        <v>60.231469120477541</v>
      </c>
      <c r="J54">
        <f>GDS_Monthly!D171</f>
        <v>76.0000276956806</v>
      </c>
      <c r="K54">
        <f>GDS_Monthly!AH171</f>
        <v>481.37156399999998</v>
      </c>
      <c r="L54">
        <f>GDS_Monthly!AI171</f>
        <v>460.04979220000001</v>
      </c>
      <c r="M54">
        <f>GDS_Monthly!N171</f>
        <v>6.7209206232659549</v>
      </c>
      <c r="N54">
        <f>GDS_Monthly!C171</f>
        <v>106.50461726977368</v>
      </c>
      <c r="O54">
        <f>GDS_Monthly!F171</f>
        <v>3.5054517556927607</v>
      </c>
      <c r="P54">
        <f>GDS_Monthly!G171</f>
        <v>3.0856249953267509</v>
      </c>
      <c r="Q54">
        <f>GDS_Monthly!T171</f>
        <v>83.145461440217247</v>
      </c>
      <c r="R54">
        <f>GDS_Monthly!V171</f>
        <v>87.269929950573783</v>
      </c>
      <c r="S54">
        <f>GDS_Monthly!W171</f>
        <v>68.001437219843851</v>
      </c>
      <c r="T54">
        <f>GDS_Monthly!X171</f>
        <v>45.382969847686063</v>
      </c>
      <c r="U54">
        <f>GDS_Monthly!AA171</f>
        <v>55.799033334694364</v>
      </c>
      <c r="V54">
        <f>GDS_Monthly!AC171</f>
        <v>73.565354323055885</v>
      </c>
      <c r="W54">
        <f>GDS_Monthly!AE171</f>
        <v>60.031044267637149</v>
      </c>
      <c r="X54">
        <f>GDS_Monthly!AF171</f>
        <v>74.86464160855769</v>
      </c>
      <c r="Y54">
        <f>OECD!B54</f>
        <v>98.697940000000003</v>
      </c>
      <c r="Z54">
        <f>'Monthly Haver'!K57</f>
        <v>107.81438</v>
      </c>
      <c r="AA54" s="8">
        <f>OECD!C54</f>
        <v>96.46</v>
      </c>
    </row>
    <row r="55" spans="1:27">
      <c r="A55" t="str">
        <f>'Monthly Haver'!A58</f>
        <v>Jun-2003</v>
      </c>
      <c r="B55">
        <f>'Monthly Haver'!C58</f>
        <v>53.198700000000002</v>
      </c>
      <c r="C55">
        <f>'Monthly Haver'!D58</f>
        <v>50.590600000000002</v>
      </c>
      <c r="D55" t="e">
        <f>'Monthly Haver'!E58</f>
        <v>#N/A</v>
      </c>
      <c r="E55">
        <f>'Monthly Haver'!G58</f>
        <v>48.849899999999998</v>
      </c>
      <c r="F55">
        <f>'Monthly Haver'!H58</f>
        <v>49.052700000000002</v>
      </c>
      <c r="G55" t="e">
        <f>'Monthly Haver'!I58</f>
        <v>#N/A</v>
      </c>
      <c r="H55">
        <f>'Monthly Haver'!J58</f>
        <v>55.603700000000003</v>
      </c>
      <c r="I55">
        <f>GDS_Monthly!O172</f>
        <v>60.857315105932273</v>
      </c>
      <c r="J55">
        <f>GDS_Monthly!D172</f>
        <v>76.390893141464204</v>
      </c>
      <c r="K55">
        <f>GDS_Monthly!AH172</f>
        <v>482.82714249999998</v>
      </c>
      <c r="L55">
        <f>GDS_Monthly!AI172</f>
        <v>462.26697780000001</v>
      </c>
      <c r="M55">
        <f>GDS_Monthly!N172</f>
        <v>6.7820797096531127</v>
      </c>
      <c r="N55">
        <f>GDS_Monthly!C172</f>
        <v>106.94939852389135</v>
      </c>
      <c r="O55">
        <f>GDS_Monthly!F172</f>
        <v>3.3193436639390179</v>
      </c>
      <c r="P55">
        <f>GDS_Monthly!G172</f>
        <v>2.837151081723801</v>
      </c>
      <c r="Q55">
        <f>GDS_Monthly!T172</f>
        <v>83.212081529533819</v>
      </c>
      <c r="R55">
        <f>GDS_Monthly!V172</f>
        <v>87.354287562939675</v>
      </c>
      <c r="S55">
        <f>GDS_Monthly!W172</f>
        <v>67.562137279515881</v>
      </c>
      <c r="T55">
        <f>GDS_Monthly!X172</f>
        <v>46.380451132767568</v>
      </c>
      <c r="U55">
        <f>GDS_Monthly!AA172</f>
        <v>55.755256742036153</v>
      </c>
      <c r="V55">
        <f>GDS_Monthly!AC172</f>
        <v>76.804901548290232</v>
      </c>
      <c r="W55">
        <f>GDS_Monthly!AE172</f>
        <v>63.936055146979015</v>
      </c>
      <c r="X55">
        <f>GDS_Monthly!AF172</f>
        <v>76.3508113968836</v>
      </c>
      <c r="Y55">
        <f>OECD!B55</f>
        <v>98.883380000000002</v>
      </c>
      <c r="Z55">
        <f>'Monthly Haver'!K58</f>
        <v>108.76233999999999</v>
      </c>
      <c r="AA55" s="8">
        <f>OECD!C55</f>
        <v>97.21</v>
      </c>
    </row>
    <row r="56" spans="1:27">
      <c r="A56" t="str">
        <f>'Monthly Haver'!A59</f>
        <v>Jul-2003</v>
      </c>
      <c r="B56">
        <f>'Monthly Haver'!C59</f>
        <v>56.7727</v>
      </c>
      <c r="C56">
        <f>'Monthly Haver'!D59</f>
        <v>49.658099999999997</v>
      </c>
      <c r="D56" t="e">
        <f>'Monthly Haver'!E59</f>
        <v>#N/A</v>
      </c>
      <c r="E56">
        <f>'Monthly Haver'!G59</f>
        <v>49.385100000000001</v>
      </c>
      <c r="F56">
        <f>'Monthly Haver'!H59</f>
        <v>50.442</v>
      </c>
      <c r="G56" t="e">
        <f>'Monthly Haver'!I59</f>
        <v>#N/A</v>
      </c>
      <c r="H56">
        <f>'Monthly Haver'!J59</f>
        <v>58.5182</v>
      </c>
      <c r="I56">
        <f>GDS_Monthly!O173</f>
        <v>61.260018692980097</v>
      </c>
      <c r="J56">
        <f>GDS_Monthly!D173</f>
        <v>77.149130995883453</v>
      </c>
      <c r="K56">
        <f>GDS_Monthly!AH173</f>
        <v>486.61866739999999</v>
      </c>
      <c r="L56">
        <f>GDS_Monthly!AI173</f>
        <v>467.72889129999999</v>
      </c>
      <c r="M56">
        <f>GDS_Monthly!N173</f>
        <v>6.7621865239642371</v>
      </c>
      <c r="N56">
        <f>GDS_Monthly!C173</f>
        <v>105.35856966105682</v>
      </c>
      <c r="O56">
        <f>GDS_Monthly!F173</f>
        <v>3.7921648965407351</v>
      </c>
      <c r="P56">
        <f>GDS_Monthly!G173</f>
        <v>2.7521746369207785</v>
      </c>
      <c r="Q56">
        <f>GDS_Monthly!T173</f>
        <v>83.385082073505217</v>
      </c>
      <c r="R56">
        <f>GDS_Monthly!V173</f>
        <v>87.504070092106119</v>
      </c>
      <c r="S56">
        <f>GDS_Monthly!W173</f>
        <v>64.700086464893687</v>
      </c>
      <c r="T56">
        <f>GDS_Monthly!X173</f>
        <v>47.005522875793268</v>
      </c>
      <c r="U56">
        <f>GDS_Monthly!AA173</f>
        <v>54.606696242477604</v>
      </c>
      <c r="V56">
        <f>GDS_Monthly!AC173</f>
        <v>75.837649502475045</v>
      </c>
      <c r="W56">
        <f>GDS_Monthly!AE173</f>
        <v>66.277428103933275</v>
      </c>
      <c r="X56">
        <f>GDS_Monthly!AF173</f>
        <v>76.820275767352285</v>
      </c>
      <c r="Y56">
        <f>OECD!B56</f>
        <v>99.111429999999999</v>
      </c>
      <c r="Z56">
        <f>'Monthly Haver'!K59</f>
        <v>109.09367</v>
      </c>
      <c r="AA56" s="8">
        <f>OECD!C56</f>
        <v>98.07</v>
      </c>
    </row>
    <row r="57" spans="1:27">
      <c r="A57" t="str">
        <f>'Monthly Haver'!A60</f>
        <v>Aug-2003</v>
      </c>
      <c r="B57">
        <f>'Monthly Haver'!C60</f>
        <v>59.921999999999997</v>
      </c>
      <c r="C57">
        <f>'Monthly Haver'!D60</f>
        <v>52.185600000000001</v>
      </c>
      <c r="D57" t="e">
        <f>'Monthly Haver'!E60</f>
        <v>#N/A</v>
      </c>
      <c r="E57">
        <f>'Monthly Haver'!G60</f>
        <v>50.514800000000001</v>
      </c>
      <c r="F57">
        <f>'Monthly Haver'!H60</f>
        <v>52.375</v>
      </c>
      <c r="G57" t="e">
        <f>'Monthly Haver'!I60</f>
        <v>#N/A</v>
      </c>
      <c r="H57">
        <f>'Monthly Haver'!J60</f>
        <v>60.514699999999998</v>
      </c>
      <c r="I57">
        <f>GDS_Monthly!O174</f>
        <v>61.849184358357547</v>
      </c>
      <c r="J57">
        <f>GDS_Monthly!D174</f>
        <v>77.104932035434331</v>
      </c>
      <c r="K57">
        <f>GDS_Monthly!AH174</f>
        <v>472.64444780000002</v>
      </c>
      <c r="L57">
        <f>GDS_Monthly!AI174</f>
        <v>460.73248059999997</v>
      </c>
      <c r="M57">
        <f>GDS_Monthly!N174</f>
        <v>6.7599051824543377</v>
      </c>
      <c r="N57">
        <f>GDS_Monthly!C174</f>
        <v>106.75779238554725</v>
      </c>
      <c r="O57">
        <f>GDS_Monthly!F174</f>
        <v>4.0673842342229909</v>
      </c>
      <c r="P57">
        <f>GDS_Monthly!G174</f>
        <v>2.656724826716891</v>
      </c>
      <c r="Q57">
        <f>GDS_Monthly!T174</f>
        <v>83.593968185495669</v>
      </c>
      <c r="R57">
        <f>GDS_Monthly!V174</f>
        <v>87.597592012066087</v>
      </c>
      <c r="S57">
        <f>GDS_Monthly!W174</f>
        <v>65.127403484444173</v>
      </c>
      <c r="T57">
        <f>GDS_Monthly!X174</f>
        <v>48.042890920574095</v>
      </c>
      <c r="U57">
        <f>GDS_Monthly!AA174</f>
        <v>55.198134815452711</v>
      </c>
      <c r="V57">
        <f>GDS_Monthly!AC174</f>
        <v>77.800350224882465</v>
      </c>
      <c r="W57">
        <f>GDS_Monthly!AE174</f>
        <v>69.461267632224761</v>
      </c>
      <c r="X57">
        <f>GDS_Monthly!AF174</f>
        <v>77.650757576730896</v>
      </c>
      <c r="Y57">
        <f>OECD!B57</f>
        <v>99.364850000000004</v>
      </c>
      <c r="Z57">
        <f>'Monthly Haver'!K60</f>
        <v>110.41261</v>
      </c>
      <c r="AA57" s="8">
        <f>OECD!C57</f>
        <v>98.52</v>
      </c>
    </row>
    <row r="58" spans="1:27">
      <c r="A58" t="str">
        <f>'Monthly Haver'!A61</f>
        <v>Sep-2003</v>
      </c>
      <c r="B58">
        <f>'Monthly Haver'!C61</f>
        <v>58.57</v>
      </c>
      <c r="C58">
        <f>'Monthly Haver'!D61</f>
        <v>54.134</v>
      </c>
      <c r="D58" t="e">
        <f>'Monthly Haver'!E61</f>
        <v>#N/A</v>
      </c>
      <c r="E58">
        <f>'Monthly Haver'!G61</f>
        <v>50.092300000000002</v>
      </c>
      <c r="F58">
        <f>'Monthly Haver'!H61</f>
        <v>52.490699999999997</v>
      </c>
      <c r="G58" t="e">
        <f>'Monthly Haver'!I61</f>
        <v>#N/A</v>
      </c>
      <c r="H58">
        <f>'Monthly Haver'!J61</f>
        <v>60.252299999999998</v>
      </c>
      <c r="I58">
        <f>GDS_Monthly!O175</f>
        <v>62.301659024831224</v>
      </c>
      <c r="J58">
        <f>GDS_Monthly!D175</f>
        <v>77.809616993790215</v>
      </c>
      <c r="K58">
        <f>GDS_Monthly!AH175</f>
        <v>497.90351559999999</v>
      </c>
      <c r="L58">
        <f>GDS_Monthly!AI175</f>
        <v>480.14586389999999</v>
      </c>
      <c r="M58">
        <f>GDS_Monthly!N175</f>
        <v>6.7587702922928372</v>
      </c>
      <c r="N58">
        <f>GDS_Monthly!C175</f>
        <v>105.55092660349166</v>
      </c>
      <c r="O58">
        <f>GDS_Monthly!F175</f>
        <v>4.0405585983201728</v>
      </c>
      <c r="P58">
        <f>GDS_Monthly!G175</f>
        <v>2.5921010111413159</v>
      </c>
      <c r="Q58">
        <f>GDS_Monthly!T175</f>
        <v>83.805835269610668</v>
      </c>
      <c r="R58">
        <f>GDS_Monthly!V175</f>
        <v>87.710279038273086</v>
      </c>
      <c r="S58">
        <f>GDS_Monthly!W175</f>
        <v>71.488981937453687</v>
      </c>
      <c r="T58">
        <f>GDS_Monthly!X175</f>
        <v>48.749950088929019</v>
      </c>
      <c r="U58">
        <f>GDS_Monthly!AA175</f>
        <v>58.874605912062293</v>
      </c>
      <c r="V58">
        <f>GDS_Monthly!AC175</f>
        <v>72.634857359286585</v>
      </c>
      <c r="W58">
        <f>GDS_Monthly!AE175</f>
        <v>62.538034380845694</v>
      </c>
      <c r="X58">
        <f>GDS_Monthly!AF175</f>
        <v>79.225377567080287</v>
      </c>
      <c r="Y58">
        <f>OECD!B58</f>
        <v>99.631919999999994</v>
      </c>
      <c r="Z58">
        <f>'Monthly Haver'!K61</f>
        <v>109.3061</v>
      </c>
      <c r="AA58" s="8">
        <f>OECD!C58</f>
        <v>99.58</v>
      </c>
    </row>
    <row r="59" spans="1:27">
      <c r="A59" t="str">
        <f>'Monthly Haver'!A62</f>
        <v>Oct-2003</v>
      </c>
      <c r="B59">
        <f>'Monthly Haver'!C62</f>
        <v>61.108600000000003</v>
      </c>
      <c r="C59">
        <f>'Monthly Haver'!D62</f>
        <v>54.536499999999997</v>
      </c>
      <c r="D59" t="e">
        <f>'Monthly Haver'!E62</f>
        <v>#N/A</v>
      </c>
      <c r="E59">
        <f>'Monthly Haver'!G62</f>
        <v>51.679000000000002</v>
      </c>
      <c r="F59">
        <f>'Monthly Haver'!H62</f>
        <v>54.691499999999998</v>
      </c>
      <c r="G59" t="e">
        <f>'Monthly Haver'!I62</f>
        <v>#N/A</v>
      </c>
      <c r="H59">
        <f>'Monthly Haver'!J62</f>
        <v>61.426499999999997</v>
      </c>
      <c r="I59">
        <f>GDS_Monthly!O176</f>
        <v>62.766191694499007</v>
      </c>
      <c r="J59">
        <f>GDS_Monthly!D176</f>
        <v>78.717925777667347</v>
      </c>
      <c r="K59">
        <f>GDS_Monthly!AH176</f>
        <v>514.84739390000004</v>
      </c>
      <c r="L59">
        <f>GDS_Monthly!AI176</f>
        <v>497.94158440000001</v>
      </c>
      <c r="M59">
        <f>GDS_Monthly!N176</f>
        <v>6.7191190522697264</v>
      </c>
      <c r="N59">
        <f>GDS_Monthly!C176</f>
        <v>106.95174798727435</v>
      </c>
      <c r="O59">
        <f>GDS_Monthly!F176</f>
        <v>4.0744179379380219</v>
      </c>
      <c r="P59">
        <f>GDS_Monthly!G176</f>
        <v>2.5548831982764311</v>
      </c>
      <c r="Q59">
        <f>GDS_Monthly!T176</f>
        <v>83.858469875300642</v>
      </c>
      <c r="R59">
        <f>GDS_Monthly!V176</f>
        <v>87.820485456962999</v>
      </c>
      <c r="S59">
        <f>GDS_Monthly!W176</f>
        <v>74.891508438380001</v>
      </c>
      <c r="T59">
        <f>GDS_Monthly!X176</f>
        <v>51.909958114232822</v>
      </c>
      <c r="U59">
        <f>GDS_Monthly!AA176</f>
        <v>61.277774264295545</v>
      </c>
      <c r="V59">
        <f>GDS_Monthly!AC176</f>
        <v>76.389471463112855</v>
      </c>
      <c r="W59">
        <f>GDS_Monthly!AE176</f>
        <v>65.680892729278256</v>
      </c>
      <c r="X59">
        <f>GDS_Monthly!AF176</f>
        <v>83.039186356629656</v>
      </c>
      <c r="Y59">
        <f>OECD!B59</f>
        <v>99.892169999999993</v>
      </c>
      <c r="Z59">
        <f>'Monthly Haver'!K62</f>
        <v>107.83472</v>
      </c>
      <c r="AA59" s="8">
        <f>OECD!C59</f>
        <v>100.42</v>
      </c>
    </row>
    <row r="60" spans="1:27">
      <c r="A60" t="str">
        <f>'Monthly Haver'!A63</f>
        <v>Nov-2003</v>
      </c>
      <c r="B60">
        <f>'Monthly Haver'!C63</f>
        <v>61.452599999999997</v>
      </c>
      <c r="C60">
        <f>'Monthly Haver'!D63</f>
        <v>56.173200000000001</v>
      </c>
      <c r="D60" t="e">
        <f>'Monthly Haver'!E63</f>
        <v>#N/A</v>
      </c>
      <c r="E60">
        <f>'Monthly Haver'!G63</f>
        <v>52.952500000000001</v>
      </c>
      <c r="F60">
        <f>'Monthly Haver'!H63</f>
        <v>56.378399999999999</v>
      </c>
      <c r="G60" t="e">
        <f>'Monthly Haver'!I63</f>
        <v>#N/A</v>
      </c>
      <c r="H60">
        <f>'Monthly Haver'!J63</f>
        <v>59.861899999999999</v>
      </c>
      <c r="I60">
        <f>GDS_Monthly!O177</f>
        <v>62.76627764044904</v>
      </c>
      <c r="J60">
        <f>GDS_Monthly!D177</f>
        <v>78.630024405315311</v>
      </c>
      <c r="K60">
        <f>GDS_Monthly!AH177</f>
        <v>514.68907869999998</v>
      </c>
      <c r="L60">
        <f>GDS_Monthly!AI177</f>
        <v>496.79610450000001</v>
      </c>
      <c r="M60">
        <f>GDS_Monthly!N177</f>
        <v>6.6643165699489977</v>
      </c>
      <c r="N60">
        <f>GDS_Monthly!C177</f>
        <v>109.90479410270565</v>
      </c>
      <c r="O60">
        <f>GDS_Monthly!F177</f>
        <v>4.1460693916314844</v>
      </c>
      <c r="P60">
        <f>GDS_Monthly!G177</f>
        <v>2.5307875261152941</v>
      </c>
      <c r="Q60">
        <f>GDS_Monthly!T177</f>
        <v>84.005241886415121</v>
      </c>
      <c r="R60">
        <f>GDS_Monthly!V177</f>
        <v>87.894847991614029</v>
      </c>
      <c r="S60">
        <f>GDS_Monthly!W177</f>
        <v>72.546460364963039</v>
      </c>
      <c r="T60">
        <f>GDS_Monthly!X177</f>
        <v>54.64529583837232</v>
      </c>
      <c r="U60">
        <f>GDS_Monthly!AA177</f>
        <v>61.002445033143395</v>
      </c>
      <c r="V60">
        <f>GDS_Monthly!AC177</f>
        <v>76.609653672770932</v>
      </c>
      <c r="W60">
        <f>GDS_Monthly!AE177</f>
        <v>65.810033714486849</v>
      </c>
      <c r="X60">
        <f>GDS_Monthly!AF177</f>
        <v>83.453040696402155</v>
      </c>
      <c r="Y60">
        <f>OECD!B60</f>
        <v>100.1242</v>
      </c>
      <c r="Z60">
        <f>'Monthly Haver'!K63</f>
        <v>107.19524</v>
      </c>
      <c r="AA60" s="8">
        <f>OECD!C60</f>
        <v>101.38</v>
      </c>
    </row>
    <row r="61" spans="1:27">
      <c r="A61" t="str">
        <f>'Monthly Haver'!A64</f>
        <v>Dec-2003</v>
      </c>
      <c r="B61">
        <f>'Monthly Haver'!C64</f>
        <v>61.386099999999999</v>
      </c>
      <c r="C61">
        <f>'Monthly Haver'!D64</f>
        <v>57.462800000000001</v>
      </c>
      <c r="D61" t="e">
        <f>'Monthly Haver'!E64</f>
        <v>#N/A</v>
      </c>
      <c r="E61">
        <f>'Monthly Haver'!G64</f>
        <v>53.331600000000002</v>
      </c>
      <c r="F61">
        <f>'Monthly Haver'!H64</f>
        <v>57.348199999999999</v>
      </c>
      <c r="G61" t="e">
        <f>'Monthly Haver'!I64</f>
        <v>#N/A</v>
      </c>
      <c r="H61">
        <f>'Monthly Haver'!J64</f>
        <v>58.822200000000002</v>
      </c>
      <c r="I61">
        <f>GDS_Monthly!O178</f>
        <v>62.887522451551149</v>
      </c>
      <c r="J61">
        <f>GDS_Monthly!D178</f>
        <v>79.677375258113187</v>
      </c>
      <c r="K61">
        <f>GDS_Monthly!AH178</f>
        <v>542.65254540000001</v>
      </c>
      <c r="L61">
        <f>GDS_Monthly!AI178</f>
        <v>526.00488459999997</v>
      </c>
      <c r="M61">
        <f>GDS_Monthly!N178</f>
        <v>6.6240618122075885</v>
      </c>
      <c r="N61">
        <f>GDS_Monthly!C178</f>
        <v>110.64727474128965</v>
      </c>
      <c r="O61">
        <f>GDS_Monthly!F178</f>
        <v>4.0863220776190241</v>
      </c>
      <c r="P61">
        <f>GDS_Monthly!G178</f>
        <v>2.5330181301233048</v>
      </c>
      <c r="Q61">
        <f>GDS_Monthly!T178</f>
        <v>84.205191175944606</v>
      </c>
      <c r="R61">
        <f>GDS_Monthly!V178</f>
        <v>87.991234749020634</v>
      </c>
      <c r="S61">
        <f>GDS_Monthly!W178</f>
        <v>71.890856095193257</v>
      </c>
      <c r="T61">
        <f>GDS_Monthly!X178</f>
        <v>59.217721876671931</v>
      </c>
      <c r="U61">
        <f>GDS_Monthly!AA178</f>
        <v>61.868452697958155</v>
      </c>
      <c r="V61">
        <f>GDS_Monthly!AC178</f>
        <v>83.000743694169302</v>
      </c>
      <c r="W61">
        <f>GDS_Monthly!AE178</f>
        <v>66.156399835148576</v>
      </c>
      <c r="X61">
        <f>GDS_Monthly!AF178</f>
        <v>81.470135531143981</v>
      </c>
      <c r="Y61">
        <f>OECD!B61</f>
        <v>100.31359999999999</v>
      </c>
      <c r="Z61">
        <f>'Monthly Haver'!K64</f>
        <v>105.90237</v>
      </c>
      <c r="AA61" s="8">
        <f>OECD!C61</f>
        <v>101.94</v>
      </c>
    </row>
    <row r="62" spans="1:27">
      <c r="A62" t="str">
        <f>'Monthly Haver'!A65</f>
        <v>Jan-2004</v>
      </c>
      <c r="B62">
        <f>'Monthly Haver'!C65</f>
        <v>62.997399999999999</v>
      </c>
      <c r="C62">
        <f>'Monthly Haver'!D65</f>
        <v>59.888399999999997</v>
      </c>
      <c r="D62" t="e">
        <f>'Monthly Haver'!E65</f>
        <v>#N/A</v>
      </c>
      <c r="E62">
        <f>'Monthly Haver'!G65</f>
        <v>53.563499999999998</v>
      </c>
      <c r="F62">
        <f>'Monthly Haver'!H65</f>
        <v>57.404499999999999</v>
      </c>
      <c r="G62" t="e">
        <f>'Monthly Haver'!I65</f>
        <v>#N/A</v>
      </c>
      <c r="H62">
        <f>'Monthly Haver'!J65</f>
        <v>63.822000000000003</v>
      </c>
      <c r="I62">
        <f>GDS_Monthly!O179</f>
        <v>64.259200999182454</v>
      </c>
      <c r="J62">
        <f>GDS_Monthly!D179</f>
        <v>80.060546290389595</v>
      </c>
      <c r="K62">
        <f>GDS_Monthly!AH179</f>
        <v>550.4398175</v>
      </c>
      <c r="L62">
        <f>GDS_Monthly!AI179</f>
        <v>527.66203570000005</v>
      </c>
      <c r="M62">
        <f>GDS_Monthly!N179</f>
        <v>6.6858455005963595</v>
      </c>
      <c r="N62">
        <f>GDS_Monthly!C179</f>
        <v>111.46647429907759</v>
      </c>
      <c r="O62">
        <f>GDS_Monthly!F179</f>
        <v>4.050307731126602</v>
      </c>
      <c r="P62">
        <f>GDS_Monthly!G179</f>
        <v>2.5519027762997553</v>
      </c>
      <c r="Q62">
        <f>GDS_Monthly!T179</f>
        <v>84.415222862900308</v>
      </c>
      <c r="R62">
        <f>GDS_Monthly!V179</f>
        <v>88.149931293226956</v>
      </c>
      <c r="S62">
        <f>GDS_Monthly!W179</f>
        <v>73.40397925304022</v>
      </c>
      <c r="T62">
        <f>GDS_Monthly!X179</f>
        <v>64.337302948235347</v>
      </c>
      <c r="U62">
        <f>GDS_Monthly!AA179</f>
        <v>64.052029361105511</v>
      </c>
      <c r="V62">
        <f>GDS_Monthly!AC179</f>
        <v>86.244798617721912</v>
      </c>
      <c r="W62">
        <f>GDS_Monthly!AE179</f>
        <v>68.048035123955117</v>
      </c>
      <c r="X62">
        <f>GDS_Monthly!AF179</f>
        <v>83.777162968253037</v>
      </c>
      <c r="Y62">
        <f>OECD!B62</f>
        <v>100.45359999999999</v>
      </c>
      <c r="Z62">
        <f>'Monthly Haver'!K65</f>
        <v>104.8681</v>
      </c>
      <c r="AA62" s="8">
        <f>OECD!C62</f>
        <v>102.69</v>
      </c>
    </row>
    <row r="63" spans="1:27">
      <c r="A63" t="str">
        <f>'Monthly Haver'!A66</f>
        <v>Feb-2004</v>
      </c>
      <c r="B63">
        <f>'Monthly Haver'!C66</f>
        <v>60.101700000000001</v>
      </c>
      <c r="C63">
        <f>'Monthly Haver'!D66</f>
        <v>60.592100000000002</v>
      </c>
      <c r="D63" t="e">
        <f>'Monthly Haver'!E66</f>
        <v>#N/A</v>
      </c>
      <c r="E63">
        <f>'Monthly Haver'!G66</f>
        <v>52.776899999999998</v>
      </c>
      <c r="F63">
        <f>'Monthly Haver'!H66</f>
        <v>56.401200000000003</v>
      </c>
      <c r="G63" t="e">
        <f>'Monthly Haver'!I66</f>
        <v>#N/A</v>
      </c>
      <c r="H63">
        <f>'Monthly Haver'!J66</f>
        <v>60.259700000000002</v>
      </c>
      <c r="I63">
        <f>GDS_Monthly!O180</f>
        <v>64.790067675166824</v>
      </c>
      <c r="J63">
        <f>GDS_Monthly!D180</f>
        <v>80.45022908028416</v>
      </c>
      <c r="K63">
        <f>GDS_Monthly!AH180</f>
        <v>566.67375479999998</v>
      </c>
      <c r="L63">
        <f>GDS_Monthly!AI180</f>
        <v>542.48756060000005</v>
      </c>
      <c r="M63">
        <f>GDS_Monthly!N180</f>
        <v>6.6634620788949777</v>
      </c>
      <c r="N63">
        <f>GDS_Monthly!C180</f>
        <v>109.08942813876318</v>
      </c>
      <c r="O63">
        <f>GDS_Monthly!F180</f>
        <v>3.9920508552352767</v>
      </c>
      <c r="P63">
        <f>GDS_Monthly!G180</f>
        <v>2.5526152548249179</v>
      </c>
      <c r="Q63">
        <f>GDS_Monthly!T180</f>
        <v>84.58695446387766</v>
      </c>
      <c r="R63">
        <f>GDS_Monthly!V180</f>
        <v>88.271879184444856</v>
      </c>
      <c r="S63">
        <f>GDS_Monthly!W180</f>
        <v>74.04557710392335</v>
      </c>
      <c r="T63">
        <f>GDS_Monthly!X180</f>
        <v>67.686743885248561</v>
      </c>
      <c r="U63">
        <f>GDS_Monthly!AA180</f>
        <v>64.973046269802538</v>
      </c>
      <c r="V63">
        <f>GDS_Monthly!AC180</f>
        <v>84.316823770287598</v>
      </c>
      <c r="W63">
        <f>GDS_Monthly!AE180</f>
        <v>67.848450462201413</v>
      </c>
      <c r="X63">
        <f>GDS_Monthly!AF180</f>
        <v>85.733717302084912</v>
      </c>
      <c r="Y63">
        <f>OECD!B63</f>
        <v>100.54</v>
      </c>
      <c r="Z63">
        <f>'Monthly Haver'!K66</f>
        <v>105.01191</v>
      </c>
      <c r="AA63" s="8">
        <f>OECD!C63</f>
        <v>103.43</v>
      </c>
    </row>
    <row r="64" spans="1:27">
      <c r="A64" t="str">
        <f>'Monthly Haver'!A67</f>
        <v>Mar-2004</v>
      </c>
      <c r="B64">
        <f>'Monthly Haver'!C67</f>
        <v>59.844499999999996</v>
      </c>
      <c r="C64">
        <f>'Monthly Haver'!D67</f>
        <v>64.555599999999998</v>
      </c>
      <c r="D64" t="e">
        <f>'Monthly Haver'!E67</f>
        <v>#N/A</v>
      </c>
      <c r="E64">
        <f>'Monthly Haver'!G67</f>
        <v>53.455100000000002</v>
      </c>
      <c r="F64">
        <f>'Monthly Haver'!H67</f>
        <v>56.944600000000001</v>
      </c>
      <c r="G64" t="e">
        <f>'Monthly Haver'!I67</f>
        <v>#N/A</v>
      </c>
      <c r="H64">
        <f>'Monthly Haver'!J67</f>
        <v>59.472700000000003</v>
      </c>
      <c r="I64">
        <f>GDS_Monthly!O181</f>
        <v>65.17939416763457</v>
      </c>
      <c r="J64">
        <f>GDS_Monthly!D181</f>
        <v>80.596781273660682</v>
      </c>
      <c r="K64">
        <f>GDS_Monthly!AH181</f>
        <v>572.06431180000004</v>
      </c>
      <c r="L64">
        <f>GDS_Monthly!AI181</f>
        <v>546.15308249999998</v>
      </c>
      <c r="M64">
        <f>GDS_Monthly!N181</f>
        <v>6.6706842130084167</v>
      </c>
      <c r="N64">
        <f>GDS_Monthly!C181</f>
        <v>107.93724881620997</v>
      </c>
      <c r="O64">
        <f>GDS_Monthly!F181</f>
        <v>3.8436898528326693</v>
      </c>
      <c r="P64">
        <f>GDS_Monthly!G181</f>
        <v>2.5313002870001364</v>
      </c>
      <c r="Q64">
        <f>GDS_Monthly!T181</f>
        <v>84.776746038219869</v>
      </c>
      <c r="R64">
        <f>GDS_Monthly!V181</f>
        <v>88.452928066326393</v>
      </c>
      <c r="S64">
        <f>GDS_Monthly!W181</f>
        <v>78.580753259058639</v>
      </c>
      <c r="T64">
        <f>GDS_Monthly!X181</f>
        <v>67.603595916554568</v>
      </c>
      <c r="U64">
        <f>GDS_Monthly!AA181</f>
        <v>67.076417962690925</v>
      </c>
      <c r="V64">
        <f>GDS_Monthly!AC181</f>
        <v>87.764425933480155</v>
      </c>
      <c r="W64">
        <f>GDS_Monthly!AE181</f>
        <v>74.057951781961677</v>
      </c>
      <c r="X64">
        <f>GDS_Monthly!AF181</f>
        <v>85.334697969394838</v>
      </c>
      <c r="Y64">
        <f>OECD!B64</f>
        <v>100.5782</v>
      </c>
      <c r="Z64">
        <f>'Monthly Haver'!K67</f>
        <v>105.79752999999999</v>
      </c>
      <c r="AA64" s="8">
        <f>OECD!C64</f>
        <v>104.3</v>
      </c>
    </row>
    <row r="65" spans="1:27">
      <c r="A65" t="str">
        <f>'Monthly Haver'!A68</f>
        <v>Apr-2004</v>
      </c>
      <c r="B65">
        <f>'Monthly Haver'!C68</f>
        <v>60.214500000000001</v>
      </c>
      <c r="C65">
        <f>'Monthly Haver'!D68</f>
        <v>66.679599999999994</v>
      </c>
      <c r="D65" t="e">
        <f>'Monthly Haver'!E68</f>
        <v>#N/A</v>
      </c>
      <c r="E65">
        <f>'Monthly Haver'!G68</f>
        <v>54.384799999999998</v>
      </c>
      <c r="F65">
        <f>'Monthly Haver'!H68</f>
        <v>57.512999999999998</v>
      </c>
      <c r="G65" t="e">
        <f>'Monthly Haver'!I68</f>
        <v>#N/A</v>
      </c>
      <c r="H65">
        <f>'Monthly Haver'!J68</f>
        <v>60.573700000000002</v>
      </c>
      <c r="I65">
        <f>GDS_Monthly!O182</f>
        <v>65.579687678335958</v>
      </c>
      <c r="J65">
        <f>GDS_Monthly!D182</f>
        <v>81.354819189441514</v>
      </c>
      <c r="K65">
        <f>GDS_Monthly!AH182</f>
        <v>579.93779480000001</v>
      </c>
      <c r="L65">
        <f>GDS_Monthly!AI182</f>
        <v>553.83428279999998</v>
      </c>
      <c r="M65">
        <f>GDS_Monthly!N182</f>
        <v>6.6718597623538836</v>
      </c>
      <c r="N65">
        <f>GDS_Monthly!C182</f>
        <v>109.05559910078587</v>
      </c>
      <c r="O65">
        <f>GDS_Monthly!F182</f>
        <v>4.1680704136124254</v>
      </c>
      <c r="P65">
        <f>GDS_Monthly!G182</f>
        <v>2.4990941572530678</v>
      </c>
      <c r="Q65">
        <f>GDS_Monthly!T182</f>
        <v>84.919668030718512</v>
      </c>
      <c r="R65">
        <f>GDS_Monthly!V182</f>
        <v>88.601294748616482</v>
      </c>
      <c r="S65">
        <f>GDS_Monthly!W182</f>
        <v>80.111032102864087</v>
      </c>
      <c r="T65">
        <f>GDS_Monthly!X182</f>
        <v>66.239980268057664</v>
      </c>
      <c r="U65">
        <f>GDS_Monthly!AA182</f>
        <v>67.345175338863214</v>
      </c>
      <c r="V65">
        <f>GDS_Monthly!AC182</f>
        <v>89.681737345375382</v>
      </c>
      <c r="W65">
        <f>GDS_Monthly!AE182</f>
        <v>74.826290443547407</v>
      </c>
      <c r="X65">
        <f>GDS_Monthly!AF182</f>
        <v>85.070455291217883</v>
      </c>
      <c r="Y65">
        <f>OECD!B65</f>
        <v>100.58</v>
      </c>
      <c r="Z65">
        <f>'Monthly Haver'!K68</f>
        <v>106.78036</v>
      </c>
      <c r="AA65" s="8">
        <f>OECD!C65</f>
        <v>104.5</v>
      </c>
    </row>
    <row r="66" spans="1:27">
      <c r="A66" t="str">
        <f>'Monthly Haver'!A69</f>
        <v>May-2004</v>
      </c>
      <c r="B66">
        <f>'Monthly Haver'!C69</f>
        <v>59.546199999999999</v>
      </c>
      <c r="C66">
        <f>'Monthly Haver'!D69</f>
        <v>67.973200000000006</v>
      </c>
      <c r="D66" t="e">
        <f>'Monthly Haver'!E69</f>
        <v>#N/A</v>
      </c>
      <c r="E66">
        <f>'Monthly Haver'!G69</f>
        <v>54.740900000000003</v>
      </c>
      <c r="F66">
        <f>'Monthly Haver'!H69</f>
        <v>57.651400000000002</v>
      </c>
      <c r="G66" t="e">
        <f>'Monthly Haver'!I69</f>
        <v>#N/A</v>
      </c>
      <c r="H66">
        <f>'Monthly Haver'!J69</f>
        <v>59.920999999999999</v>
      </c>
      <c r="I66">
        <f>GDS_Monthly!O183</f>
        <v>65.763962891270012</v>
      </c>
      <c r="J66">
        <f>GDS_Monthly!D183</f>
        <v>81.642336682188883</v>
      </c>
      <c r="K66">
        <f>GDS_Monthly!AH183</f>
        <v>579.98875450000003</v>
      </c>
      <c r="L66">
        <f>GDS_Monthly!AI183</f>
        <v>559.22950990000004</v>
      </c>
      <c r="M66">
        <f>GDS_Monthly!N183</f>
        <v>6.6040132694770612</v>
      </c>
      <c r="N66">
        <f>GDS_Monthly!C183</f>
        <v>109.30793869652135</v>
      </c>
      <c r="O66">
        <f>GDS_Monthly!F183</f>
        <v>4.400323784301551</v>
      </c>
      <c r="P66">
        <f>GDS_Monthly!G183</f>
        <v>2.5298567752572856</v>
      </c>
      <c r="Q66">
        <f>GDS_Monthly!T183</f>
        <v>85.18824021220162</v>
      </c>
      <c r="R66">
        <f>GDS_Monthly!V183</f>
        <v>88.723375437497936</v>
      </c>
      <c r="S66">
        <f>GDS_Monthly!W183</f>
        <v>81.19071912552451</v>
      </c>
      <c r="T66">
        <f>GDS_Monthly!X183</f>
        <v>62.2859872371398</v>
      </c>
      <c r="U66">
        <f>GDS_Monthly!AA183</f>
        <v>66.853905406129698</v>
      </c>
      <c r="V66">
        <f>GDS_Monthly!AC183</f>
        <v>98.390901531375775</v>
      </c>
      <c r="W66">
        <f>GDS_Monthly!AE183</f>
        <v>83.738408552012132</v>
      </c>
      <c r="X66">
        <f>GDS_Monthly!AF183</f>
        <v>87.956892930219013</v>
      </c>
      <c r="Y66">
        <f>OECD!B66</f>
        <v>100.55759999999999</v>
      </c>
      <c r="Z66">
        <f>'Monthly Haver'!K69</f>
        <v>109.33734</v>
      </c>
      <c r="AA66" s="8">
        <f>OECD!C66</f>
        <v>104.98</v>
      </c>
    </row>
    <row r="67" spans="1:27">
      <c r="A67" t="str">
        <f>'Monthly Haver'!A70</f>
        <v>Jun-2004</v>
      </c>
      <c r="B67">
        <f>'Monthly Haver'!C70</f>
        <v>59.136400000000002</v>
      </c>
      <c r="C67">
        <f>'Monthly Haver'!D70</f>
        <v>67.902299999999997</v>
      </c>
      <c r="D67" t="e">
        <f>'Monthly Haver'!E70</f>
        <v>#N/A</v>
      </c>
      <c r="E67">
        <f>'Monthly Haver'!G70</f>
        <v>54.735999999999997</v>
      </c>
      <c r="F67">
        <f>'Monthly Haver'!H70</f>
        <v>56.119</v>
      </c>
      <c r="G67" t="e">
        <f>'Monthly Haver'!I70</f>
        <v>#N/A</v>
      </c>
      <c r="H67">
        <f>'Monthly Haver'!J70</f>
        <v>57.687100000000001</v>
      </c>
      <c r="I67">
        <f>GDS_Monthly!O184</f>
        <v>66.448612716957598</v>
      </c>
      <c r="J67">
        <f>GDS_Monthly!D184</f>
        <v>81.680104824829854</v>
      </c>
      <c r="K67">
        <f>GDS_Monthly!AH184</f>
        <v>601.13048839999999</v>
      </c>
      <c r="L67">
        <f>GDS_Monthly!AI184</f>
        <v>567.04014289999998</v>
      </c>
      <c r="M67">
        <f>GDS_Monthly!N184</f>
        <v>6.6010787504154091</v>
      </c>
      <c r="N67">
        <f>GDS_Monthly!C184</f>
        <v>111.29110168273782</v>
      </c>
      <c r="O67">
        <f>GDS_Monthly!F184</f>
        <v>4.4815777731473867</v>
      </c>
      <c r="P67">
        <f>GDS_Monthly!G184</f>
        <v>2.6302938345928961</v>
      </c>
      <c r="Q67">
        <f>GDS_Monthly!T184</f>
        <v>85.441374406195052</v>
      </c>
      <c r="R67">
        <f>GDS_Monthly!V184</f>
        <v>88.886479595050261</v>
      </c>
      <c r="S67">
        <f>GDS_Monthly!W184</f>
        <v>77.782201829543808</v>
      </c>
      <c r="T67">
        <f>GDS_Monthly!X184</f>
        <v>65.540190553020039</v>
      </c>
      <c r="U67">
        <f>GDS_Monthly!AA184</f>
        <v>66.133504016251521</v>
      </c>
      <c r="V67">
        <f>GDS_Monthly!AC184</f>
        <v>96.114392814821798</v>
      </c>
      <c r="W67">
        <f>GDS_Monthly!AE184</f>
        <v>78.64642038631996</v>
      </c>
      <c r="X67">
        <f>GDS_Monthly!AF184</f>
        <v>87.237329132767485</v>
      </c>
      <c r="Y67">
        <f>OECD!B67</f>
        <v>100.52079999999999</v>
      </c>
      <c r="Z67">
        <f>'Monthly Haver'!K70</f>
        <v>108.60608999999999</v>
      </c>
      <c r="AA67" s="8">
        <f>OECD!C67</f>
        <v>104.79</v>
      </c>
    </row>
    <row r="68" spans="1:27">
      <c r="A68" t="str">
        <f>'Monthly Haver'!A71</f>
        <v>Jul-2004</v>
      </c>
      <c r="B68">
        <f>'Monthly Haver'!C71</f>
        <v>59.822299999999998</v>
      </c>
      <c r="C68">
        <f>'Monthly Haver'!D71</f>
        <v>66.598699999999994</v>
      </c>
      <c r="D68" t="e">
        <f>'Monthly Haver'!E71</f>
        <v>#N/A</v>
      </c>
      <c r="E68">
        <f>'Monthly Haver'!G71</f>
        <v>52.395899999999997</v>
      </c>
      <c r="F68">
        <f>'Monthly Haver'!H71</f>
        <v>56.314599999999999</v>
      </c>
      <c r="G68" t="e">
        <f>'Monthly Haver'!I71</f>
        <v>#N/A</v>
      </c>
      <c r="H68">
        <f>'Monthly Haver'!J71</f>
        <v>60.108600000000003</v>
      </c>
      <c r="I68">
        <f>GDS_Monthly!O185</f>
        <v>66.88224780253708</v>
      </c>
      <c r="J68">
        <f>GDS_Monthly!D185</f>
        <v>82.248128528842983</v>
      </c>
      <c r="K68">
        <f>GDS_Monthly!AH185</f>
        <v>599.48073890000001</v>
      </c>
      <c r="L68">
        <f>GDS_Monthly!AI185</f>
        <v>573.25742700000001</v>
      </c>
      <c r="M68">
        <f>GDS_Monthly!N185</f>
        <v>6.4840604033251301</v>
      </c>
      <c r="N68">
        <f>GDS_Monthly!C185</f>
        <v>112.17234644346128</v>
      </c>
      <c r="O68">
        <f>GDS_Monthly!F185</f>
        <v>4.3463580699257971</v>
      </c>
      <c r="P68">
        <f>GDS_Monthly!G185</f>
        <v>2.6378063292411484</v>
      </c>
      <c r="Q68">
        <f>GDS_Monthly!T185</f>
        <v>85.567782176495442</v>
      </c>
      <c r="R68">
        <f>GDS_Monthly!V185</f>
        <v>89.028991982167483</v>
      </c>
      <c r="S68">
        <f>GDS_Monthly!W185</f>
        <v>75.185296091583126</v>
      </c>
      <c r="T68">
        <f>GDS_Monthly!X185</f>
        <v>68.331077174839933</v>
      </c>
      <c r="U68">
        <f>GDS_Monthly!AA185</f>
        <v>65.488511890324943</v>
      </c>
      <c r="V68">
        <f>GDS_Monthly!AC185</f>
        <v>100.31400910035929</v>
      </c>
      <c r="W68">
        <f>GDS_Monthly!AE185</f>
        <v>83.295592001322049</v>
      </c>
      <c r="X68">
        <f>GDS_Monthly!AF185</f>
        <v>84.760641294366124</v>
      </c>
      <c r="Y68">
        <f>OECD!B68</f>
        <v>100.47410000000001</v>
      </c>
      <c r="Z68">
        <f>'Monthly Haver'!K71</f>
        <v>107.48626</v>
      </c>
      <c r="AA68" s="8">
        <f>OECD!C68</f>
        <v>105.31</v>
      </c>
    </row>
    <row r="69" spans="1:27">
      <c r="A69" t="str">
        <f>'Monthly Haver'!A72</f>
        <v>Aug-2004</v>
      </c>
      <c r="B69">
        <f>'Monthly Haver'!C72</f>
        <v>57.629800000000003</v>
      </c>
      <c r="C69">
        <f>'Monthly Haver'!D72</f>
        <v>67.493399999999994</v>
      </c>
      <c r="D69" t="e">
        <f>'Monthly Haver'!E72</f>
        <v>#N/A</v>
      </c>
      <c r="E69">
        <f>'Monthly Haver'!G72</f>
        <v>53.717599999999997</v>
      </c>
      <c r="F69">
        <f>'Monthly Haver'!H72</f>
        <v>55.240600000000001</v>
      </c>
      <c r="G69" t="e">
        <f>'Monthly Haver'!I72</f>
        <v>#N/A</v>
      </c>
      <c r="H69">
        <f>'Monthly Haver'!J72</f>
        <v>57.751800000000003</v>
      </c>
      <c r="I69">
        <f>GDS_Monthly!O186</f>
        <v>66.939638241341697</v>
      </c>
      <c r="J69">
        <f>GDS_Monthly!D186</f>
        <v>82.170191325861154</v>
      </c>
      <c r="K69">
        <f>GDS_Monthly!AH186</f>
        <v>598.75324509999996</v>
      </c>
      <c r="L69">
        <f>GDS_Monthly!AI186</f>
        <v>568.10878249999996</v>
      </c>
      <c r="M69">
        <f>GDS_Monthly!N186</f>
        <v>6.4795048296983397</v>
      </c>
      <c r="N69">
        <f>GDS_Monthly!C186</f>
        <v>110.5645070024697</v>
      </c>
      <c r="O69">
        <f>GDS_Monthly!F186</f>
        <v>4.1801418068631522</v>
      </c>
      <c r="P69">
        <f>GDS_Monthly!G186</f>
        <v>2.7386543932006746</v>
      </c>
      <c r="Q69">
        <f>GDS_Monthly!T186</f>
        <v>85.704448737966061</v>
      </c>
      <c r="R69">
        <f>GDS_Monthly!V186</f>
        <v>89.13270662549769</v>
      </c>
      <c r="S69">
        <f>GDS_Monthly!W186</f>
        <v>71.099113218796077</v>
      </c>
      <c r="T69">
        <f>GDS_Monthly!X186</f>
        <v>66.553173028464926</v>
      </c>
      <c r="U69">
        <f>GDS_Monthly!AA186</f>
        <v>63.43834884710202</v>
      </c>
      <c r="V69">
        <f>GDS_Monthly!AC186</f>
        <v>106.30566382946945</v>
      </c>
      <c r="W69">
        <f>GDS_Monthly!AE186</f>
        <v>93.069201621583659</v>
      </c>
      <c r="X69">
        <f>GDS_Monthly!AF186</f>
        <v>84.270620016570646</v>
      </c>
      <c r="Y69">
        <f>OECD!B69</f>
        <v>100.4233</v>
      </c>
      <c r="Z69">
        <f>'Monthly Haver'!K72</f>
        <v>107.68641</v>
      </c>
      <c r="AA69" s="8">
        <f>OECD!C69</f>
        <v>105.7</v>
      </c>
    </row>
    <row r="70" spans="1:27">
      <c r="A70" t="str">
        <f>'Monthly Haver'!A73</f>
        <v>Sep-2004</v>
      </c>
      <c r="B70">
        <f>'Monthly Haver'!C73</f>
        <v>57.201700000000002</v>
      </c>
      <c r="C70">
        <f>'Monthly Haver'!D73</f>
        <v>65.602699999999999</v>
      </c>
      <c r="D70" t="e">
        <f>'Monthly Haver'!E73</f>
        <v>#N/A</v>
      </c>
      <c r="E70">
        <f>'Monthly Haver'!G73</f>
        <v>54.54</v>
      </c>
      <c r="F70">
        <f>'Monthly Haver'!H73</f>
        <v>54.354100000000003</v>
      </c>
      <c r="G70" t="e">
        <f>'Monthly Haver'!I73</f>
        <v>#N/A</v>
      </c>
      <c r="H70">
        <f>'Monthly Haver'!J73</f>
        <v>57.474400000000003</v>
      </c>
      <c r="I70">
        <f>GDS_Monthly!O187</f>
        <v>67.624959386718643</v>
      </c>
      <c r="J70">
        <f>GDS_Monthly!D187</f>
        <v>82.791261008001413</v>
      </c>
      <c r="K70">
        <f>GDS_Monthly!AH187</f>
        <v>609.484196</v>
      </c>
      <c r="L70">
        <f>GDS_Monthly!AI187</f>
        <v>577.57553159999998</v>
      </c>
      <c r="M70">
        <f>GDS_Monthly!N187</f>
        <v>6.4636463119368814</v>
      </c>
      <c r="N70">
        <f>GDS_Monthly!C187</f>
        <v>110.01978635576923</v>
      </c>
      <c r="O70">
        <f>GDS_Monthly!F187</f>
        <v>4.07293974327537</v>
      </c>
      <c r="P70">
        <f>GDS_Monthly!G187</f>
        <v>2.8340000396094305</v>
      </c>
      <c r="Q70">
        <f>GDS_Monthly!T187</f>
        <v>85.901034430316201</v>
      </c>
      <c r="R70">
        <f>GDS_Monthly!V187</f>
        <v>89.288762329777825</v>
      </c>
      <c r="S70">
        <f>GDS_Monthly!W187</f>
        <v>71.82913203891016</v>
      </c>
      <c r="T70">
        <f>GDS_Monthly!X187</f>
        <v>67.110515687760511</v>
      </c>
      <c r="U70">
        <f>GDS_Monthly!AA187</f>
        <v>63.978670666836891</v>
      </c>
      <c r="V70">
        <f>GDS_Monthly!AC187</f>
        <v>104.6243232845581</v>
      </c>
      <c r="W70">
        <f>GDS_Monthly!AE187</f>
        <v>91.875716794818985</v>
      </c>
      <c r="X70">
        <f>GDS_Monthly!AF187</f>
        <v>84.150219584643011</v>
      </c>
      <c r="Y70">
        <f>OECD!B70</f>
        <v>100.3836</v>
      </c>
      <c r="Z70">
        <f>'Monthly Haver'!K73</f>
        <v>106.54895999999999</v>
      </c>
      <c r="AA70" s="8">
        <f>OECD!C70</f>
        <v>106.32</v>
      </c>
    </row>
    <row r="71" spans="1:27">
      <c r="A71" t="str">
        <f>'Monthly Haver'!A74</f>
        <v>Oct-2004</v>
      </c>
      <c r="B71">
        <f>'Monthly Haver'!C74</f>
        <v>57.398099999999999</v>
      </c>
      <c r="C71">
        <f>'Monthly Haver'!D74</f>
        <v>69.356399999999994</v>
      </c>
      <c r="D71" t="e">
        <f>'Monthly Haver'!E74</f>
        <v>#N/A</v>
      </c>
      <c r="E71">
        <f>'Monthly Haver'!G74</f>
        <v>54.573500000000003</v>
      </c>
      <c r="F71">
        <f>'Monthly Haver'!H74</f>
        <v>53.626100000000001</v>
      </c>
      <c r="G71" t="e">
        <f>'Monthly Haver'!I74</f>
        <v>#N/A</v>
      </c>
      <c r="H71">
        <f>'Monthly Haver'!J74</f>
        <v>58.235999999999997</v>
      </c>
      <c r="I71">
        <f>GDS_Monthly!O188</f>
        <v>68.122169258784396</v>
      </c>
      <c r="J71">
        <f>GDS_Monthly!D188</f>
        <v>83.156852050475251</v>
      </c>
      <c r="K71">
        <f>GDS_Monthly!AH188</f>
        <v>625.09084970000004</v>
      </c>
      <c r="L71">
        <f>GDS_Monthly!AI188</f>
        <v>591.81190649999996</v>
      </c>
      <c r="M71">
        <f>GDS_Monthly!N188</f>
        <v>6.4089354457929923</v>
      </c>
      <c r="N71">
        <f>GDS_Monthly!C188</f>
        <v>109.45420063962725</v>
      </c>
      <c r="O71">
        <f>GDS_Monthly!F188</f>
        <v>4.0041491372143607</v>
      </c>
      <c r="P71">
        <f>GDS_Monthly!G188</f>
        <v>2.8528384196307148</v>
      </c>
      <c r="Q71">
        <f>GDS_Monthly!T188</f>
        <v>86.233767926296622</v>
      </c>
      <c r="R71">
        <f>GDS_Monthly!V188</f>
        <v>89.449798726949908</v>
      </c>
      <c r="S71">
        <f>GDS_Monthly!W188</f>
        <v>71.211963321607783</v>
      </c>
      <c r="T71">
        <f>GDS_Monthly!X188</f>
        <v>70.176892067962427</v>
      </c>
      <c r="U71">
        <f>GDS_Monthly!AA188</f>
        <v>64.519740727869987</v>
      </c>
      <c r="V71">
        <f>GDS_Monthly!AC188</f>
        <v>118.03433760668921</v>
      </c>
      <c r="W71">
        <f>GDS_Monthly!AE188</f>
        <v>102.44018853164299</v>
      </c>
      <c r="X71">
        <f>GDS_Monthly!AF188</f>
        <v>83.675185642965459</v>
      </c>
      <c r="Y71">
        <f>OECD!B71</f>
        <v>100.355</v>
      </c>
      <c r="Z71">
        <f>'Monthly Haver'!K74</f>
        <v>106.16631</v>
      </c>
      <c r="AA71" s="8">
        <f>OECD!C71</f>
        <v>106.82</v>
      </c>
    </row>
    <row r="72" spans="1:27">
      <c r="A72" t="str">
        <f>'Monthly Haver'!A75</f>
        <v>Nov-2004</v>
      </c>
      <c r="B72">
        <f>'Monthly Haver'!C75</f>
        <v>56.637</v>
      </c>
      <c r="C72">
        <f>'Monthly Haver'!D75</f>
        <v>67.041700000000006</v>
      </c>
      <c r="D72" t="e">
        <f>'Monthly Haver'!E75</f>
        <v>#N/A</v>
      </c>
      <c r="E72">
        <f>'Monthly Haver'!G75</f>
        <v>54.190600000000003</v>
      </c>
      <c r="F72">
        <f>'Monthly Haver'!H75</f>
        <v>52.976900000000001</v>
      </c>
      <c r="G72" t="e">
        <f>'Monthly Haver'!I75</f>
        <v>#N/A</v>
      </c>
      <c r="H72">
        <f>'Monthly Haver'!J75</f>
        <v>59.106900000000003</v>
      </c>
      <c r="I72">
        <f>GDS_Monthly!O189</f>
        <v>68.621727956246346</v>
      </c>
      <c r="J72">
        <f>GDS_Monthly!D189</f>
        <v>83.091468670248545</v>
      </c>
      <c r="K72">
        <f>GDS_Monthly!AH189</f>
        <v>647.91124960000002</v>
      </c>
      <c r="L72">
        <f>GDS_Monthly!AI189</f>
        <v>611.56279730000006</v>
      </c>
      <c r="M72">
        <f>GDS_Monthly!N189</f>
        <v>6.4127900184072129</v>
      </c>
      <c r="N72">
        <f>GDS_Monthly!C189</f>
        <v>109.56091748425645</v>
      </c>
      <c r="O72">
        <f>GDS_Monthly!F189</f>
        <v>4.0104794544586255</v>
      </c>
      <c r="P72">
        <f>GDS_Monthly!G189</f>
        <v>2.9626941059211567</v>
      </c>
      <c r="Q72">
        <f>GDS_Monthly!T189</f>
        <v>86.476384554712197</v>
      </c>
      <c r="R72">
        <f>GDS_Monthly!V189</f>
        <v>89.575481685654069</v>
      </c>
      <c r="S72">
        <f>GDS_Monthly!W189</f>
        <v>73.097471418185108</v>
      </c>
      <c r="T72">
        <f>GDS_Monthly!X189</f>
        <v>70.338653457472773</v>
      </c>
      <c r="U72">
        <f>GDS_Monthly!AA189</f>
        <v>65.819458734134912</v>
      </c>
      <c r="V72">
        <f>GDS_Monthly!AC189</f>
        <v>109.62584344233912</v>
      </c>
      <c r="W72">
        <f>GDS_Monthly!AE189</f>
        <v>90.040382936279443</v>
      </c>
      <c r="X72">
        <f>GDS_Monthly!AF189</f>
        <v>81.35109235425135</v>
      </c>
      <c r="Y72">
        <f>OECD!B72</f>
        <v>100.3344</v>
      </c>
      <c r="Z72">
        <f>'Monthly Haver'!K75</f>
        <v>104.8777</v>
      </c>
      <c r="AA72" s="8">
        <f>OECD!C72</f>
        <v>107.57</v>
      </c>
    </row>
    <row r="73" spans="1:27">
      <c r="A73" t="str">
        <f>'Monthly Haver'!A76</f>
        <v>Dec-2004</v>
      </c>
      <c r="B73">
        <f>'Monthly Haver'!C76</f>
        <v>58.363900000000001</v>
      </c>
      <c r="C73">
        <f>'Monthly Haver'!D76</f>
        <v>65.609899999999996</v>
      </c>
      <c r="D73" t="e">
        <f>'Monthly Haver'!E76</f>
        <v>#N/A</v>
      </c>
      <c r="E73">
        <f>'Monthly Haver'!G76</f>
        <v>53.579300000000003</v>
      </c>
      <c r="F73">
        <f>'Monthly Haver'!H76</f>
        <v>53.354999999999997</v>
      </c>
      <c r="G73" t="e">
        <f>'Monthly Haver'!I76</f>
        <v>#N/A</v>
      </c>
      <c r="H73">
        <f>'Monthly Haver'!J76</f>
        <v>60.305500000000002</v>
      </c>
      <c r="I73">
        <f>GDS_Monthly!O190</f>
        <v>68.939466665059683</v>
      </c>
      <c r="J73">
        <f>GDS_Monthly!D190</f>
        <v>83.817561719417682</v>
      </c>
      <c r="K73">
        <f>GDS_Monthly!AH190</f>
        <v>652.76203350000003</v>
      </c>
      <c r="L73">
        <f>GDS_Monthly!AI190</f>
        <v>622.27772860000005</v>
      </c>
      <c r="M73">
        <f>GDS_Monthly!N190</f>
        <v>6.39502690683873</v>
      </c>
      <c r="N73">
        <f>GDS_Monthly!C190</f>
        <v>111.66788804912412</v>
      </c>
      <c r="O73">
        <f>GDS_Monthly!F190</f>
        <v>3.9089788597830206</v>
      </c>
      <c r="P73">
        <f>GDS_Monthly!G190</f>
        <v>3.0551802554895331</v>
      </c>
      <c r="Q73">
        <f>GDS_Monthly!T190</f>
        <v>86.519834849649499</v>
      </c>
      <c r="R73">
        <f>GDS_Monthly!V190</f>
        <v>89.739693961936823</v>
      </c>
      <c r="S73">
        <f>GDS_Monthly!W190</f>
        <v>76.94867231844853</v>
      </c>
      <c r="T73">
        <f>GDS_Monthly!X190</f>
        <v>70.563798387445971</v>
      </c>
      <c r="U73">
        <f>GDS_Monthly!AA190</f>
        <v>67.551273045864519</v>
      </c>
      <c r="V73">
        <f>GDS_Monthly!AC190</f>
        <v>104.28916668372923</v>
      </c>
      <c r="W73">
        <f>GDS_Monthly!AE190</f>
        <v>82.105591508168587</v>
      </c>
      <c r="X73">
        <f>GDS_Monthly!AF190</f>
        <v>78.404359418996265</v>
      </c>
      <c r="Y73">
        <f>OECD!B73</f>
        <v>100.3081</v>
      </c>
      <c r="Z73">
        <f>'Monthly Haver'!K76</f>
        <v>103.0774</v>
      </c>
      <c r="AA73" s="8">
        <f>OECD!C73</f>
        <v>108.74</v>
      </c>
    </row>
    <row r="74" spans="1:27">
      <c r="A74" t="str">
        <f>'Monthly Haver'!A77</f>
        <v>Jan-2005</v>
      </c>
      <c r="B74">
        <f>'Monthly Haver'!C77</f>
        <v>58.572499999999998</v>
      </c>
      <c r="C74">
        <f>'Monthly Haver'!D77</f>
        <v>64.247</v>
      </c>
      <c r="D74" t="e">
        <f>'Monthly Haver'!E77</f>
        <v>#N/A</v>
      </c>
      <c r="E74">
        <f>'Monthly Haver'!G77</f>
        <v>54.872999999999998</v>
      </c>
      <c r="F74">
        <f>'Monthly Haver'!H77</f>
        <v>53.3401</v>
      </c>
      <c r="G74" t="e">
        <f>'Monthly Haver'!I77</f>
        <v>#N/A</v>
      </c>
      <c r="H74">
        <f>'Monthly Haver'!J77</f>
        <v>59.092599999999997</v>
      </c>
      <c r="I74">
        <f>GDS_Monthly!O191</f>
        <v>69.46661185762062</v>
      </c>
      <c r="J74">
        <f>GDS_Monthly!D191</f>
        <v>84.468953106467225</v>
      </c>
      <c r="K74">
        <f>GDS_Monthly!AH191</f>
        <v>648.37892290000002</v>
      </c>
      <c r="L74">
        <f>GDS_Monthly!AI191</f>
        <v>614.8726729</v>
      </c>
      <c r="M74">
        <f>GDS_Monthly!N191</f>
        <v>6.4111335063052453</v>
      </c>
      <c r="N74">
        <f>GDS_Monthly!C191</f>
        <v>111.99981433720613</v>
      </c>
      <c r="O74">
        <f>GDS_Monthly!F191</f>
        <v>3.9139885161144283</v>
      </c>
      <c r="P74">
        <f>GDS_Monthly!G191</f>
        <v>3.0905098230579737</v>
      </c>
      <c r="Q74">
        <f>GDS_Monthly!T191</f>
        <v>86.552537879481292</v>
      </c>
      <c r="R74">
        <f>GDS_Monthly!V191</f>
        <v>89.878782558183559</v>
      </c>
      <c r="S74">
        <f>GDS_Monthly!W191</f>
        <v>76.506190259974034</v>
      </c>
      <c r="T74">
        <f>GDS_Monthly!X191</f>
        <v>77.734824823539384</v>
      </c>
      <c r="U74">
        <f>GDS_Monthly!AA191</f>
        <v>68.654652074359134</v>
      </c>
      <c r="V74">
        <f>GDS_Monthly!AC191</f>
        <v>109.68673388272489</v>
      </c>
      <c r="W74">
        <f>GDS_Monthly!AE191</f>
        <v>91.388983715134017</v>
      </c>
      <c r="X74">
        <f>GDS_Monthly!AF191</f>
        <v>82.135661650512347</v>
      </c>
      <c r="Y74">
        <f>OECD!B74</f>
        <v>100.26309999999999</v>
      </c>
      <c r="Z74">
        <f>'Monthly Haver'!K77</f>
        <v>103.63824</v>
      </c>
      <c r="AA74" s="8">
        <f>OECD!C74</f>
        <v>108.18</v>
      </c>
    </row>
    <row r="75" spans="1:27">
      <c r="A75" t="str">
        <f>'Monthly Haver'!A78</f>
        <v>Feb-2005</v>
      </c>
      <c r="B75">
        <f>'Monthly Haver'!C78</f>
        <v>58.837899999999998</v>
      </c>
      <c r="C75">
        <f>'Monthly Haver'!D78</f>
        <v>63.870600000000003</v>
      </c>
      <c r="D75" t="e">
        <f>'Monthly Haver'!E78</f>
        <v>#N/A</v>
      </c>
      <c r="E75">
        <f>'Monthly Haver'!G78</f>
        <v>57.141800000000003</v>
      </c>
      <c r="F75">
        <f>'Monthly Haver'!H78</f>
        <v>53.167400000000001</v>
      </c>
      <c r="G75" t="e">
        <f>'Monthly Haver'!I78</f>
        <v>#N/A</v>
      </c>
      <c r="H75">
        <f>'Monthly Haver'!J78</f>
        <v>58.6751</v>
      </c>
      <c r="I75">
        <f>GDS_Monthly!O192</f>
        <v>69.8738662893373</v>
      </c>
      <c r="J75">
        <f>GDS_Monthly!D192</f>
        <v>84.768413461236548</v>
      </c>
      <c r="K75">
        <f>GDS_Monthly!AH192</f>
        <v>651.98332949999997</v>
      </c>
      <c r="L75">
        <f>GDS_Monthly!AI192</f>
        <v>618.3542721</v>
      </c>
      <c r="M75">
        <f>GDS_Monthly!N192</f>
        <v>6.3989687850501262</v>
      </c>
      <c r="N75">
        <f>GDS_Monthly!C192</f>
        <v>111.87134043276016</v>
      </c>
      <c r="O75">
        <f>GDS_Monthly!F192</f>
        <v>3.8884357300725867</v>
      </c>
      <c r="P75">
        <f>GDS_Monthly!G192</f>
        <v>3.1783180438991088</v>
      </c>
      <c r="Q75">
        <f>GDS_Monthly!T192</f>
        <v>86.831187611835119</v>
      </c>
      <c r="R75">
        <f>GDS_Monthly!V192</f>
        <v>89.996065175313319</v>
      </c>
      <c r="S75">
        <f>GDS_Monthly!W192</f>
        <v>79.020403355956915</v>
      </c>
      <c r="T75">
        <f>GDS_Monthly!X192</f>
        <v>80.009993630377096</v>
      </c>
      <c r="U75">
        <f>GDS_Monthly!AA192</f>
        <v>70.580590048256298</v>
      </c>
      <c r="V75">
        <f>GDS_Monthly!AC192</f>
        <v>111.83720101547975</v>
      </c>
      <c r="W75">
        <f>GDS_Monthly!AE192</f>
        <v>94.726472066989984</v>
      </c>
      <c r="X75">
        <f>GDS_Monthly!AF192</f>
        <v>82.210297892133539</v>
      </c>
      <c r="Y75">
        <f>OECD!B75</f>
        <v>100.19410000000001</v>
      </c>
      <c r="Z75">
        <f>'Monthly Haver'!K78</f>
        <v>103.90049</v>
      </c>
      <c r="AA75" s="8">
        <f>OECD!C75</f>
        <v>109.29</v>
      </c>
    </row>
    <row r="76" spans="1:27">
      <c r="A76" t="str">
        <f>'Monthly Haver'!A79</f>
        <v>Mar-2005</v>
      </c>
      <c r="B76">
        <f>'Monthly Haver'!C79</f>
        <v>57.655900000000003</v>
      </c>
      <c r="C76">
        <f>'Monthly Haver'!D79</f>
        <v>62.497599999999998</v>
      </c>
      <c r="D76" t="e">
        <f>'Monthly Haver'!E79</f>
        <v>#N/A</v>
      </c>
      <c r="E76">
        <f>'Monthly Haver'!G79</f>
        <v>55.992699999999999</v>
      </c>
      <c r="F76">
        <f>'Monthly Haver'!H79</f>
        <v>53.370399999999997</v>
      </c>
      <c r="G76" t="e">
        <f>'Monthly Haver'!I79</f>
        <v>#N/A</v>
      </c>
      <c r="H76">
        <f>'Monthly Haver'!J79</f>
        <v>58.365400000000001</v>
      </c>
      <c r="I76">
        <f>GDS_Monthly!O193</f>
        <v>70.23095288517186</v>
      </c>
      <c r="J76">
        <f>GDS_Monthly!D193</f>
        <v>84.905408529029145</v>
      </c>
      <c r="K76">
        <f>GDS_Monthly!AH193</f>
        <v>670.93817899999999</v>
      </c>
      <c r="L76">
        <f>GDS_Monthly!AI193</f>
        <v>634.94309369999996</v>
      </c>
      <c r="M76">
        <f>GDS_Monthly!N193</f>
        <v>6.3615157507923223</v>
      </c>
      <c r="N76">
        <f>GDS_Monthly!C193</f>
        <v>111.32292461580107</v>
      </c>
      <c r="O76">
        <f>GDS_Monthly!F193</f>
        <v>4.0967632563923733</v>
      </c>
      <c r="P76">
        <f>GDS_Monthly!G193</f>
        <v>3.2633766970366644</v>
      </c>
      <c r="Q76">
        <f>GDS_Monthly!T193</f>
        <v>87.06758970981798</v>
      </c>
      <c r="R76">
        <f>GDS_Monthly!V193</f>
        <v>90.102570317171725</v>
      </c>
      <c r="S76">
        <f>GDS_Monthly!W193</f>
        <v>80.939394567975015</v>
      </c>
      <c r="T76">
        <f>GDS_Monthly!X193</f>
        <v>82.993805218833756</v>
      </c>
      <c r="U76">
        <f>GDS_Monthly!AA193</f>
        <v>72.904786662524529</v>
      </c>
      <c r="V76">
        <f>GDS_Monthly!AC193</f>
        <v>125.78819474672711</v>
      </c>
      <c r="W76">
        <f>GDS_Monthly!AE193</f>
        <v>108.13513779349258</v>
      </c>
      <c r="X76">
        <f>GDS_Monthly!AF193</f>
        <v>86.861559556885851</v>
      </c>
      <c r="Y76">
        <f>OECD!B76</f>
        <v>100.1153</v>
      </c>
      <c r="Z76">
        <f>'Monthly Haver'!K79</f>
        <v>103.84204</v>
      </c>
      <c r="AA76" s="8">
        <f>OECD!C76</f>
        <v>109.48</v>
      </c>
    </row>
    <row r="77" spans="1:27">
      <c r="A77" t="str">
        <f>'Monthly Haver'!A80</f>
        <v>Apr-2005</v>
      </c>
      <c r="B77">
        <f>'Monthly Haver'!C80</f>
        <v>55.893500000000003</v>
      </c>
      <c r="C77">
        <f>'Monthly Haver'!D80</f>
        <v>60.696599999999997</v>
      </c>
      <c r="D77" t="e">
        <f>'Monthly Haver'!E80</f>
        <v>#N/A</v>
      </c>
      <c r="E77">
        <f>'Monthly Haver'!G80</f>
        <v>54.148400000000002</v>
      </c>
      <c r="F77">
        <f>'Monthly Haver'!H80</f>
        <v>51.906199999999998</v>
      </c>
      <c r="G77" t="e">
        <f>'Monthly Haver'!I80</f>
        <v>#N/A</v>
      </c>
      <c r="H77">
        <f>'Monthly Haver'!J80</f>
        <v>56.568300000000001</v>
      </c>
      <c r="I77">
        <f>GDS_Monthly!O194</f>
        <v>71.056720442033537</v>
      </c>
      <c r="J77">
        <f>GDS_Monthly!D194</f>
        <v>85.626803143127034</v>
      </c>
      <c r="K77">
        <f>GDS_Monthly!AH194</f>
        <v>680.82754139999997</v>
      </c>
      <c r="L77">
        <f>GDS_Monthly!AI194</f>
        <v>643.64432569999997</v>
      </c>
      <c r="M77">
        <f>GDS_Monthly!N194</f>
        <v>6.3224483579326165</v>
      </c>
      <c r="N77">
        <f>GDS_Monthly!C194</f>
        <v>110.08609818762601</v>
      </c>
      <c r="O77">
        <f>GDS_Monthly!F194</f>
        <v>3.956520269217159</v>
      </c>
      <c r="P77">
        <f>GDS_Monthly!G194</f>
        <v>3.2610104694319046</v>
      </c>
      <c r="Q77">
        <f>GDS_Monthly!T194</f>
        <v>87.280540860219645</v>
      </c>
      <c r="R77">
        <f>GDS_Monthly!V194</f>
        <v>90.239179363970024</v>
      </c>
      <c r="S77">
        <f>GDS_Monthly!W194</f>
        <v>78.496379464833609</v>
      </c>
      <c r="T77">
        <f>GDS_Monthly!X194</f>
        <v>82.036843376659817</v>
      </c>
      <c r="U77">
        <f>GDS_Monthly!AA194</f>
        <v>71.307323357900344</v>
      </c>
      <c r="V77">
        <f>GDS_Monthly!AC194</f>
        <v>127.00292288128084</v>
      </c>
      <c r="W77">
        <f>GDS_Monthly!AE194</f>
        <v>108.67103453013205</v>
      </c>
      <c r="X77">
        <f>GDS_Monthly!AF194</f>
        <v>84.983677198416174</v>
      </c>
      <c r="Y77">
        <f>OECD!B77</f>
        <v>100.04859999999999</v>
      </c>
      <c r="Z77">
        <f>'Monthly Haver'!K80</f>
        <v>104.70048</v>
      </c>
      <c r="AA77" s="8">
        <f>OECD!C77</f>
        <v>109.43</v>
      </c>
    </row>
    <row r="78" spans="1:27">
      <c r="A78" t="str">
        <f>'Monthly Haver'!A81</f>
        <v>May-2005</v>
      </c>
      <c r="B78">
        <f>'Monthly Haver'!C81</f>
        <v>56.012599999999999</v>
      </c>
      <c r="C78">
        <f>'Monthly Haver'!D81</f>
        <v>56.062199999999997</v>
      </c>
      <c r="D78" t="e">
        <f>'Monthly Haver'!E81</f>
        <v>#N/A</v>
      </c>
      <c r="E78">
        <f>'Monthly Haver'!G81</f>
        <v>53.049900000000001</v>
      </c>
      <c r="F78">
        <f>'Monthly Haver'!H81</f>
        <v>51.395200000000003</v>
      </c>
      <c r="G78" t="e">
        <f>'Monthly Haver'!I81</f>
        <v>#N/A</v>
      </c>
      <c r="H78">
        <f>'Monthly Haver'!J81</f>
        <v>55.968000000000004</v>
      </c>
      <c r="I78">
        <f>GDS_Monthly!O195</f>
        <v>70.981939617207274</v>
      </c>
      <c r="J78">
        <f>GDS_Monthly!D195</f>
        <v>85.42296129396658</v>
      </c>
      <c r="K78">
        <f>GDS_Monthly!AH195</f>
        <v>678.61413589999995</v>
      </c>
      <c r="L78">
        <f>GDS_Monthly!AI195</f>
        <v>641.33880550000003</v>
      </c>
      <c r="M78">
        <f>GDS_Monthly!N195</f>
        <v>6.3311656790840942</v>
      </c>
      <c r="N78">
        <f>GDS_Monthly!C195</f>
        <v>111.22183499775798</v>
      </c>
      <c r="O78">
        <f>GDS_Monthly!F195</f>
        <v>3.7838179664795719</v>
      </c>
      <c r="P78">
        <f>GDS_Monthly!G195</f>
        <v>3.3412634197986772</v>
      </c>
      <c r="Q78">
        <f>GDS_Monthly!T195</f>
        <v>87.315932318422426</v>
      </c>
      <c r="R78">
        <f>GDS_Monthly!V195</f>
        <v>90.383910323239377</v>
      </c>
      <c r="S78">
        <f>GDS_Monthly!W195</f>
        <v>79.541590275141886</v>
      </c>
      <c r="T78">
        <f>GDS_Monthly!X195</f>
        <v>81.234577715781427</v>
      </c>
      <c r="U78">
        <f>GDS_Monthly!AA195</f>
        <v>71.677672435343737</v>
      </c>
      <c r="V78">
        <f>GDS_Monthly!AC195</f>
        <v>120.42760203248572</v>
      </c>
      <c r="W78">
        <f>GDS_Monthly!AE195</f>
        <v>103.67401323834542</v>
      </c>
      <c r="X78">
        <f>GDS_Monthly!AF195</f>
        <v>85.685352778214551</v>
      </c>
      <c r="Y78">
        <f>OECD!B78</f>
        <v>100.0159</v>
      </c>
      <c r="Z78">
        <f>'Monthly Haver'!K81</f>
        <v>104.99907</v>
      </c>
      <c r="AA78" s="8">
        <f>OECD!C78</f>
        <v>108.73</v>
      </c>
    </row>
    <row r="79" spans="1:27">
      <c r="A79" t="str">
        <f>'Monthly Haver'!A82</f>
        <v>Jun-2005</v>
      </c>
      <c r="B79">
        <f>'Monthly Haver'!C82</f>
        <v>56.794800000000002</v>
      </c>
      <c r="C79">
        <f>'Monthly Haver'!D82</f>
        <v>55.474499999999999</v>
      </c>
      <c r="D79" t="e">
        <f>'Monthly Haver'!E82</f>
        <v>#N/A</v>
      </c>
      <c r="E79">
        <f>'Monthly Haver'!G82</f>
        <v>54.9758</v>
      </c>
      <c r="F79">
        <f>'Monthly Haver'!H82</f>
        <v>52.188699999999997</v>
      </c>
      <c r="G79" t="e">
        <f>'Monthly Haver'!I82</f>
        <v>#N/A</v>
      </c>
      <c r="H79">
        <f>'Monthly Haver'!J82</f>
        <v>57.888100000000001</v>
      </c>
      <c r="I79">
        <f>GDS_Monthly!O196</f>
        <v>71.750086084101909</v>
      </c>
      <c r="J79">
        <f>GDS_Monthly!D196</f>
        <v>85.920737831741562</v>
      </c>
      <c r="K79">
        <f>GDS_Monthly!AH196</f>
        <v>676.67591970000001</v>
      </c>
      <c r="L79">
        <f>GDS_Monthly!AI196</f>
        <v>638.12897020000003</v>
      </c>
      <c r="M79">
        <f>GDS_Monthly!N196</f>
        <v>6.3020182157051261</v>
      </c>
      <c r="N79">
        <f>GDS_Monthly!C196</f>
        <v>111.97485354866242</v>
      </c>
      <c r="O79">
        <f>GDS_Monthly!F196</f>
        <v>3.6474670723406213</v>
      </c>
      <c r="P79">
        <f>GDS_Monthly!G196</f>
        <v>3.4216594234211808</v>
      </c>
      <c r="Q79">
        <f>GDS_Monthly!T196</f>
        <v>87.400780842708429</v>
      </c>
      <c r="R79">
        <f>GDS_Monthly!V196</f>
        <v>90.427819326916577</v>
      </c>
      <c r="S79">
        <f>GDS_Monthly!W196</f>
        <v>75.929298518109107</v>
      </c>
      <c r="T79">
        <f>GDS_Monthly!X196</f>
        <v>81.884273650921571</v>
      </c>
      <c r="U79">
        <f>GDS_Monthly!AA196</f>
        <v>70.344488355579387</v>
      </c>
      <c r="V79">
        <f>GDS_Monthly!AC196</f>
        <v>131.81269783603381</v>
      </c>
      <c r="W79">
        <f>GDS_Monthly!AE196</f>
        <v>119.08150241143208</v>
      </c>
      <c r="X79">
        <f>GDS_Monthly!AF196</f>
        <v>85.869720434981915</v>
      </c>
      <c r="Y79">
        <f>OECD!B79</f>
        <v>100.0334</v>
      </c>
      <c r="Z79">
        <f>'Monthly Haver'!K82</f>
        <v>106.18849</v>
      </c>
      <c r="AA79" s="8">
        <f>OECD!C79</f>
        <v>109.08</v>
      </c>
    </row>
    <row r="80" spans="1:27">
      <c r="A80" t="str">
        <f>'Monthly Haver'!A83</f>
        <v>Jul-2005</v>
      </c>
      <c r="B80">
        <f>'Monthly Haver'!C83</f>
        <v>59.623800000000003</v>
      </c>
      <c r="C80">
        <f>'Monthly Haver'!D83</f>
        <v>59.529899999999998</v>
      </c>
      <c r="D80" t="e">
        <f>'Monthly Haver'!E83</f>
        <v>#N/A</v>
      </c>
      <c r="E80">
        <f>'Monthly Haver'!G83</f>
        <v>54.833399999999997</v>
      </c>
      <c r="F80">
        <f>'Monthly Haver'!H83</f>
        <v>52.614600000000003</v>
      </c>
      <c r="G80" t="e">
        <f>'Monthly Haver'!I83</f>
        <v>#N/A</v>
      </c>
      <c r="H80">
        <f>'Monthly Haver'!J83</f>
        <v>58.331299999999999</v>
      </c>
      <c r="I80">
        <f>GDS_Monthly!O197</f>
        <v>72.047885856946962</v>
      </c>
      <c r="J80">
        <f>GDS_Monthly!D197</f>
        <v>85.897369101947277</v>
      </c>
      <c r="K80">
        <f>GDS_Monthly!AH197</f>
        <v>671.41286860000002</v>
      </c>
      <c r="L80">
        <f>GDS_Monthly!AI197</f>
        <v>634.7498799</v>
      </c>
      <c r="M80">
        <f>GDS_Monthly!N197</f>
        <v>6.2960833330036667</v>
      </c>
      <c r="N80">
        <f>GDS_Monthly!C197</f>
        <v>111.32812386663636</v>
      </c>
      <c r="O80">
        <f>GDS_Monthly!F197</f>
        <v>3.7422365608583297</v>
      </c>
      <c r="P80">
        <f>GDS_Monthly!G197</f>
        <v>3.4227567989045911</v>
      </c>
      <c r="Q80">
        <f>GDS_Monthly!T197</f>
        <v>87.750645003344346</v>
      </c>
      <c r="R80">
        <f>GDS_Monthly!V197</f>
        <v>90.55537479473648</v>
      </c>
      <c r="S80">
        <f>GDS_Monthly!W197</f>
        <v>75.522063823273399</v>
      </c>
      <c r="T80">
        <f>GDS_Monthly!X197</f>
        <v>80.498180901679561</v>
      </c>
      <c r="U80">
        <f>GDS_Monthly!AA197</f>
        <v>69.663031290673587</v>
      </c>
      <c r="V80">
        <f>GDS_Monthly!AC197</f>
        <v>138.61651863113232</v>
      </c>
      <c r="W80">
        <f>GDS_Monthly!AE197</f>
        <v>126.04444353415886</v>
      </c>
      <c r="X80">
        <f>GDS_Monthly!AF197</f>
        <v>87.013777374439684</v>
      </c>
      <c r="Y80">
        <f>OECD!B80</f>
        <v>100.09269999999999</v>
      </c>
      <c r="Z80">
        <f>'Monthly Haver'!K83</f>
        <v>107.33878</v>
      </c>
      <c r="AA80" s="8">
        <f>OECD!C80</f>
        <v>109.7</v>
      </c>
    </row>
    <row r="81" spans="1:27">
      <c r="A81" t="str">
        <f>'Monthly Haver'!A84</f>
        <v>Aug-2005</v>
      </c>
      <c r="B81">
        <f>'Monthly Haver'!C84</f>
        <v>59.931399999999996</v>
      </c>
      <c r="C81">
        <f>'Monthly Haver'!D84</f>
        <v>61.508499999999998</v>
      </c>
      <c r="D81" t="e">
        <f>'Monthly Haver'!E84</f>
        <v>#N/A</v>
      </c>
      <c r="E81">
        <f>'Monthly Haver'!G84</f>
        <v>57.1614</v>
      </c>
      <c r="F81">
        <f>'Monthly Haver'!H84</f>
        <v>52.304900000000004</v>
      </c>
      <c r="G81" t="e">
        <f>'Monthly Haver'!I84</f>
        <v>#N/A</v>
      </c>
      <c r="H81">
        <f>'Monthly Haver'!J84</f>
        <v>60.354399999999998</v>
      </c>
      <c r="I81">
        <f>GDS_Monthly!O198</f>
        <v>72.711628277576949</v>
      </c>
      <c r="J81">
        <f>GDS_Monthly!D198</f>
        <v>86.418974905104989</v>
      </c>
      <c r="K81">
        <f>GDS_Monthly!AH198</f>
        <v>701.11287860000004</v>
      </c>
      <c r="L81">
        <f>GDS_Monthly!AI198</f>
        <v>655.97647359999996</v>
      </c>
      <c r="M81">
        <f>GDS_Monthly!N198</f>
        <v>6.267287830504797</v>
      </c>
      <c r="N81">
        <f>GDS_Monthly!C198</f>
        <v>111.9476032355567</v>
      </c>
      <c r="O81">
        <f>GDS_Monthly!F198</f>
        <v>3.8049059935127012</v>
      </c>
      <c r="P81">
        <f>GDS_Monthly!G198</f>
        <v>3.4836677821029176</v>
      </c>
      <c r="Q81">
        <f>GDS_Monthly!T198</f>
        <v>88.01120726150296</v>
      </c>
      <c r="R81">
        <f>GDS_Monthly!V198</f>
        <v>90.664973182008737</v>
      </c>
      <c r="S81">
        <f>GDS_Monthly!W198</f>
        <v>74.045845755367637</v>
      </c>
      <c r="T81">
        <f>GDS_Monthly!X198</f>
        <v>83.37168385703626</v>
      </c>
      <c r="U81">
        <f>GDS_Monthly!AA198</f>
        <v>69.840404399603685</v>
      </c>
      <c r="V81">
        <f>GDS_Monthly!AC198</f>
        <v>152.93287248888237</v>
      </c>
      <c r="W81">
        <f>GDS_Monthly!AE198</f>
        <v>136.69755842222108</v>
      </c>
      <c r="X81">
        <f>GDS_Monthly!AF198</f>
        <v>88.776039674917129</v>
      </c>
      <c r="Y81">
        <f>OECD!B81</f>
        <v>100.18389999999999</v>
      </c>
      <c r="Z81">
        <f>'Monthly Haver'!K84</f>
        <v>106.68134000000001</v>
      </c>
      <c r="AA81" s="8">
        <f>OECD!C81</f>
        <v>109.84</v>
      </c>
    </row>
    <row r="82" spans="1:27">
      <c r="A82" t="str">
        <f>'Monthly Haver'!A85</f>
        <v>Sep-2005</v>
      </c>
      <c r="B82">
        <f>'Monthly Haver'!C85</f>
        <v>56.322400000000002</v>
      </c>
      <c r="C82">
        <f>'Monthly Haver'!D85</f>
        <v>71.510900000000007</v>
      </c>
      <c r="D82" t="e">
        <f>'Monthly Haver'!E85</f>
        <v>#N/A</v>
      </c>
      <c r="E82">
        <f>'Monthly Haver'!G85</f>
        <v>55.145400000000002</v>
      </c>
      <c r="F82">
        <f>'Monthly Haver'!H85</f>
        <v>54.4253</v>
      </c>
      <c r="G82" t="e">
        <f>'Monthly Haver'!I85</f>
        <v>#N/A</v>
      </c>
      <c r="H82">
        <f>'Monthly Haver'!J85</f>
        <v>54.813400000000001</v>
      </c>
      <c r="I82">
        <f>GDS_Monthly!O199</f>
        <v>73.407019530841552</v>
      </c>
      <c r="J82">
        <f>GDS_Monthly!D199</f>
        <v>86.58037336365534</v>
      </c>
      <c r="K82">
        <f>GDS_Monthly!AH199</f>
        <v>711.80048599999998</v>
      </c>
      <c r="L82">
        <f>GDS_Monthly!AI199</f>
        <v>663.99636239999995</v>
      </c>
      <c r="M82">
        <f>GDS_Monthly!N199</f>
        <v>6.2707976470000188</v>
      </c>
      <c r="N82">
        <f>GDS_Monthly!C199</f>
        <v>107.41975221047274</v>
      </c>
      <c r="O82">
        <f>GDS_Monthly!F199</f>
        <v>3.7032844718279518</v>
      </c>
      <c r="P82">
        <f>GDS_Monthly!G199</f>
        <v>3.5663128984850654</v>
      </c>
      <c r="Q82">
        <f>GDS_Monthly!T199</f>
        <v>88.612529301802212</v>
      </c>
      <c r="R82">
        <f>GDS_Monthly!V199</f>
        <v>90.762760795379222</v>
      </c>
      <c r="S82">
        <f>GDS_Monthly!W199</f>
        <v>74.155410894360372</v>
      </c>
      <c r="T82">
        <f>GDS_Monthly!X199</f>
        <v>82.816648607019943</v>
      </c>
      <c r="U82">
        <f>GDS_Monthly!AA199</f>
        <v>70.129918669150541</v>
      </c>
      <c r="V82">
        <f>GDS_Monthly!AC199</f>
        <v>162.0129129099268</v>
      </c>
      <c r="W82">
        <f>GDS_Monthly!AE199</f>
        <v>136.43303689020101</v>
      </c>
      <c r="X82">
        <f>GDS_Monthly!AF199</f>
        <v>89.843606844628184</v>
      </c>
      <c r="Y82">
        <f>OECD!B82</f>
        <v>100.30070000000001</v>
      </c>
      <c r="Z82">
        <f>'Monthly Haver'!K85</f>
        <v>108.82196999999999</v>
      </c>
      <c r="AA82" s="8">
        <f>OECD!C82</f>
        <v>106.5</v>
      </c>
    </row>
    <row r="83" spans="1:27">
      <c r="A83" t="str">
        <f>'Monthly Haver'!A86</f>
        <v>Oct-2005</v>
      </c>
      <c r="B83">
        <f>'Monthly Haver'!C86</f>
        <v>57.105699999999999</v>
      </c>
      <c r="C83">
        <f>'Monthly Haver'!D86</f>
        <v>69.954700000000003</v>
      </c>
      <c r="D83" t="e">
        <f>'Monthly Haver'!E86</f>
        <v>#N/A</v>
      </c>
      <c r="E83">
        <f>'Monthly Haver'!G86</f>
        <v>54.780999999999999</v>
      </c>
      <c r="F83">
        <f>'Monthly Haver'!H86</f>
        <v>54.6586</v>
      </c>
      <c r="G83" t="e">
        <f>'Monthly Haver'!I86</f>
        <v>#N/A</v>
      </c>
      <c r="H83">
        <f>'Monthly Haver'!J86</f>
        <v>57.512099999999997</v>
      </c>
      <c r="I83">
        <f>GDS_Monthly!O200</f>
        <v>73.995075777014151</v>
      </c>
      <c r="J83">
        <f>GDS_Monthly!D200</f>
        <v>87.200257738363618</v>
      </c>
      <c r="K83">
        <f>GDS_Monthly!AH200</f>
        <v>709.25418490000004</v>
      </c>
      <c r="L83">
        <f>GDS_Monthly!AI200</f>
        <v>661.58511209999995</v>
      </c>
      <c r="M83">
        <f>GDS_Monthly!N200</f>
        <v>6.2726038180160044</v>
      </c>
      <c r="N83">
        <f>GDS_Monthly!C200</f>
        <v>107.08964690643927</v>
      </c>
      <c r="O83">
        <f>GDS_Monthly!F200</f>
        <v>3.9050794534486051</v>
      </c>
      <c r="P83">
        <f>GDS_Monthly!G200</f>
        <v>3.5775029219969414</v>
      </c>
      <c r="Q83">
        <f>GDS_Monthly!T200</f>
        <v>88.809902284471207</v>
      </c>
      <c r="R83">
        <f>GDS_Monthly!V200</f>
        <v>90.938043091442424</v>
      </c>
      <c r="S83">
        <f>GDS_Monthly!W200</f>
        <v>73.964461306429257</v>
      </c>
      <c r="T83">
        <f>GDS_Monthly!X200</f>
        <v>83.315716448907281</v>
      </c>
      <c r="U83">
        <f>GDS_Monthly!AA200</f>
        <v>70.539510117202553</v>
      </c>
      <c r="V83">
        <f>GDS_Monthly!AC200</f>
        <v>160.17587228321588</v>
      </c>
      <c r="W83">
        <f>GDS_Monthly!AE200</f>
        <v>130.47763182146909</v>
      </c>
      <c r="X83">
        <f>GDS_Monthly!AF200</f>
        <v>90.459230505733771</v>
      </c>
      <c r="Y83">
        <f>OECD!B83</f>
        <v>100.43940000000001</v>
      </c>
      <c r="Z83">
        <f>'Monthly Haver'!K86</f>
        <v>112.26128</v>
      </c>
      <c r="AA83" s="8">
        <f>OECD!C83</f>
        <v>107.37</v>
      </c>
    </row>
    <row r="84" spans="1:27">
      <c r="A84" t="str">
        <f>'Monthly Haver'!A87</f>
        <v>Nov-2005</v>
      </c>
      <c r="B84">
        <f>'Monthly Haver'!C87</f>
        <v>58.044499999999999</v>
      </c>
      <c r="C84">
        <f>'Monthly Haver'!D87</f>
        <v>65.015600000000006</v>
      </c>
      <c r="D84" t="e">
        <f>'Monthly Haver'!E87</f>
        <v>#N/A</v>
      </c>
      <c r="E84">
        <f>'Monthly Haver'!G87</f>
        <v>55.958399999999997</v>
      </c>
      <c r="F84">
        <f>'Monthly Haver'!H87</f>
        <v>54.629199999999997</v>
      </c>
      <c r="G84" t="e">
        <f>'Monthly Haver'!I87</f>
        <v>#N/A</v>
      </c>
      <c r="H84">
        <f>'Monthly Haver'!J87</f>
        <v>57.778500000000001</v>
      </c>
      <c r="I84">
        <f>GDS_Monthly!O201</f>
        <v>74.403723304231633</v>
      </c>
      <c r="J84">
        <f>GDS_Monthly!D201</f>
        <v>87.872905767825969</v>
      </c>
      <c r="K84">
        <f>GDS_Monthly!AH201</f>
        <v>716.57337050000001</v>
      </c>
      <c r="L84">
        <f>GDS_Monthly!AI201</f>
        <v>665.99952159999998</v>
      </c>
      <c r="M84">
        <f>GDS_Monthly!N201</f>
        <v>6.2597402928864128</v>
      </c>
      <c r="N84">
        <f>GDS_Monthly!C201</f>
        <v>110.09966457879865</v>
      </c>
      <c r="O84">
        <f>GDS_Monthly!F201</f>
        <v>4.0016238279309579</v>
      </c>
      <c r="P84">
        <f>GDS_Monthly!G201</f>
        <v>3.6589051548195188</v>
      </c>
      <c r="Q84">
        <f>GDS_Monthly!T201</f>
        <v>88.728669916341147</v>
      </c>
      <c r="R84">
        <f>GDS_Monthly!V201</f>
        <v>91.033923276424972</v>
      </c>
      <c r="S84">
        <f>GDS_Monthly!W201</f>
        <v>73.187725597903764</v>
      </c>
      <c r="T84">
        <f>GDS_Monthly!X201</f>
        <v>85.990768306950827</v>
      </c>
      <c r="U84">
        <f>GDS_Monthly!AA201</f>
        <v>70.762048349028674</v>
      </c>
      <c r="V84">
        <f>GDS_Monthly!AC201</f>
        <v>145.21824396232358</v>
      </c>
      <c r="W84">
        <f>GDS_Monthly!AE201</f>
        <v>125.08677818486501</v>
      </c>
      <c r="X84">
        <f>GDS_Monthly!AF201</f>
        <v>89.173622117648932</v>
      </c>
      <c r="Y84">
        <f>OECD!B84</f>
        <v>100.5869</v>
      </c>
      <c r="Z84">
        <f>'Monthly Haver'!K87</f>
        <v>111.85851</v>
      </c>
      <c r="AA84" s="8">
        <f>OECD!C84</f>
        <v>109.05</v>
      </c>
    </row>
    <row r="85" spans="1:27">
      <c r="A85" t="str">
        <f>'Monthly Haver'!A88</f>
        <v>Dec-2005</v>
      </c>
      <c r="B85">
        <f>'Monthly Haver'!C88</f>
        <v>60.001199999999997</v>
      </c>
      <c r="C85">
        <f>'Monthly Haver'!D88</f>
        <v>62.872700000000002</v>
      </c>
      <c r="D85" t="e">
        <f>'Monthly Haver'!E88</f>
        <v>#N/A</v>
      </c>
      <c r="E85">
        <f>'Monthly Haver'!G88</f>
        <v>55.804000000000002</v>
      </c>
      <c r="F85">
        <f>'Monthly Haver'!H88</f>
        <v>54.621099999999998</v>
      </c>
      <c r="G85" t="e">
        <f>'Monthly Haver'!I88</f>
        <v>#N/A</v>
      </c>
      <c r="H85">
        <f>'Monthly Haver'!J88</f>
        <v>58.873699999999999</v>
      </c>
      <c r="I85">
        <f>GDS_Monthly!O202</f>
        <v>75.022914049688737</v>
      </c>
      <c r="J85">
        <f>GDS_Monthly!D202</f>
        <v>88.502277969886322</v>
      </c>
      <c r="K85">
        <f>GDS_Monthly!AH202</f>
        <v>732.94417050000004</v>
      </c>
      <c r="L85">
        <f>GDS_Monthly!AI202</f>
        <v>687.14817749999997</v>
      </c>
      <c r="M85">
        <f>GDS_Monthly!N202</f>
        <v>6.2351930874866355</v>
      </c>
      <c r="N85">
        <f>GDS_Monthly!C202</f>
        <v>111.53412798132489</v>
      </c>
      <c r="O85">
        <f>GDS_Monthly!F202</f>
        <v>3.915145762306643</v>
      </c>
      <c r="P85">
        <f>GDS_Monthly!G202</f>
        <v>3.8026788264691262</v>
      </c>
      <c r="Q85">
        <f>GDS_Monthly!T202</f>
        <v>88.841270669430642</v>
      </c>
      <c r="R85">
        <f>GDS_Monthly!V202</f>
        <v>91.189175747819348</v>
      </c>
      <c r="S85">
        <f>GDS_Monthly!W202</f>
        <v>74.39966144861252</v>
      </c>
      <c r="T85">
        <f>GDS_Monthly!X202</f>
        <v>92.202780532274176</v>
      </c>
      <c r="U85">
        <f>GDS_Monthly!AA202</f>
        <v>73.02697705653209</v>
      </c>
      <c r="V85">
        <f>GDS_Monthly!AC202</f>
        <v>154.13989467306311</v>
      </c>
      <c r="W85">
        <f>GDS_Monthly!AE202</f>
        <v>127.72162618809112</v>
      </c>
      <c r="X85">
        <f>GDS_Monthly!AF202</f>
        <v>89.320916638049383</v>
      </c>
      <c r="Y85">
        <f>OECD!B85</f>
        <v>100.72490000000001</v>
      </c>
      <c r="Z85">
        <f>'Monthly Haver'!K88</f>
        <v>110.58374999999999</v>
      </c>
      <c r="AA85" s="8">
        <f>OECD!C85</f>
        <v>109.63</v>
      </c>
    </row>
    <row r="86" spans="1:27">
      <c r="A86" t="str">
        <f>'Monthly Haver'!A89</f>
        <v>Jan-2006</v>
      </c>
      <c r="B86">
        <f>'Monthly Haver'!C89</f>
        <v>57.405000000000001</v>
      </c>
      <c r="C86">
        <f>'Monthly Haver'!D89</f>
        <v>62.7712</v>
      </c>
      <c r="D86" t="e">
        <f>'Monthly Haver'!E89</f>
        <v>#N/A</v>
      </c>
      <c r="E86">
        <f>'Monthly Haver'!G89</f>
        <v>54.592500000000001</v>
      </c>
      <c r="F86">
        <f>'Monthly Haver'!H89</f>
        <v>54.451000000000001</v>
      </c>
      <c r="G86" t="e">
        <f>'Monthly Haver'!I89</f>
        <v>#N/A</v>
      </c>
      <c r="H86">
        <f>'Monthly Haver'!J89</f>
        <v>57.941000000000003</v>
      </c>
      <c r="I86">
        <f>GDS_Monthly!O203</f>
        <v>75.909168850677986</v>
      </c>
      <c r="J86">
        <f>GDS_Monthly!D203</f>
        <v>88.861463531033991</v>
      </c>
      <c r="K86">
        <f>GDS_Monthly!AH203</f>
        <v>749.33566659999997</v>
      </c>
      <c r="L86">
        <f>GDS_Monthly!AI203</f>
        <v>697.65244380000001</v>
      </c>
      <c r="M86">
        <f>GDS_Monthly!N203</f>
        <v>6.0687791144736138</v>
      </c>
      <c r="N86">
        <f>GDS_Monthly!C203</f>
        <v>112.00494846907806</v>
      </c>
      <c r="O86">
        <f>GDS_Monthly!F203</f>
        <v>3.875234360639074</v>
      </c>
      <c r="P86">
        <f>GDS_Monthly!G203</f>
        <v>3.9345948962202084</v>
      </c>
      <c r="Q86">
        <f>GDS_Monthly!T203</f>
        <v>89.17619977704318</v>
      </c>
      <c r="R86">
        <f>GDS_Monthly!V203</f>
        <v>91.311756074307425</v>
      </c>
      <c r="S86">
        <f>GDS_Monthly!W203</f>
        <v>75.85260958051235</v>
      </c>
      <c r="T86">
        <f>GDS_Monthly!X203</f>
        <v>99.69905222386997</v>
      </c>
      <c r="U86">
        <f>GDS_Monthly!AA203</f>
        <v>76.296476160414585</v>
      </c>
      <c r="V86">
        <f>GDS_Monthly!AC203</f>
        <v>153.62777908542816</v>
      </c>
      <c r="W86">
        <f>GDS_Monthly!AE203</f>
        <v>139.47578217656761</v>
      </c>
      <c r="X86">
        <f>GDS_Monthly!AF203</f>
        <v>92.819599151487481</v>
      </c>
      <c r="Y86">
        <f>OECD!B86</f>
        <v>100.8428</v>
      </c>
      <c r="Z86">
        <f>'Monthly Haver'!K89</f>
        <v>109.20908</v>
      </c>
      <c r="AA86" s="8">
        <f>OECD!C86</f>
        <v>110.9</v>
      </c>
    </row>
    <row r="87" spans="1:27">
      <c r="A87" t="str">
        <f>'Monthly Haver'!A90</f>
        <v>Feb-2006</v>
      </c>
      <c r="B87">
        <f>'Monthly Haver'!C90</f>
        <v>58.016100000000002</v>
      </c>
      <c r="C87">
        <f>'Monthly Haver'!D90</f>
        <v>62.207000000000001</v>
      </c>
      <c r="D87" t="e">
        <f>'Monthly Haver'!E90</f>
        <v>#N/A</v>
      </c>
      <c r="E87">
        <f>'Monthly Haver'!G90</f>
        <v>56.2883</v>
      </c>
      <c r="F87">
        <f>'Monthly Haver'!H90</f>
        <v>55.058399999999999</v>
      </c>
      <c r="G87" t="e">
        <f>'Monthly Haver'!I90</f>
        <v>#N/A</v>
      </c>
      <c r="H87">
        <f>'Monthly Haver'!J90</f>
        <v>60.1402</v>
      </c>
      <c r="I87">
        <f>GDS_Monthly!O204</f>
        <v>76.32217298245223</v>
      </c>
      <c r="J87">
        <f>GDS_Monthly!D204</f>
        <v>89.133831419415841</v>
      </c>
      <c r="K87">
        <f>GDS_Monthly!AH204</f>
        <v>750.5324008</v>
      </c>
      <c r="L87">
        <f>GDS_Monthly!AI204</f>
        <v>704.48685639999997</v>
      </c>
      <c r="M87">
        <f>GDS_Monthly!N204</f>
        <v>6.0735276739246773</v>
      </c>
      <c r="N87">
        <f>GDS_Monthly!C204</f>
        <v>111.16425975992735</v>
      </c>
      <c r="O87">
        <f>GDS_Monthly!F204</f>
        <v>3.9902297754287512</v>
      </c>
      <c r="P87">
        <f>GDS_Monthly!G204</f>
        <v>3.9353435658689273</v>
      </c>
      <c r="Q87">
        <f>GDS_Monthly!T204</f>
        <v>89.319094440154387</v>
      </c>
      <c r="R87">
        <f>GDS_Monthly!V204</f>
        <v>91.451185280851305</v>
      </c>
      <c r="S87">
        <f>GDS_Monthly!W204</f>
        <v>77.400624853796714</v>
      </c>
      <c r="T87">
        <f>GDS_Monthly!X204</f>
        <v>102.61365190869364</v>
      </c>
      <c r="U87">
        <f>GDS_Monthly!AA204</f>
        <v>77.824931175457777</v>
      </c>
      <c r="V87">
        <f>GDS_Monthly!AC204</f>
        <v>147.023767648236</v>
      </c>
      <c r="W87">
        <f>GDS_Monthly!AE204</f>
        <v>134.82587667303213</v>
      </c>
      <c r="X87">
        <f>GDS_Monthly!AF204</f>
        <v>96.292815429840957</v>
      </c>
      <c r="Y87">
        <f>OECD!B87</f>
        <v>100.93559999999999</v>
      </c>
      <c r="Z87">
        <f>'Monthly Haver'!K90</f>
        <v>107.60973</v>
      </c>
      <c r="AA87" s="8">
        <f>OECD!C87</f>
        <v>110.82</v>
      </c>
    </row>
    <row r="88" spans="1:27">
      <c r="A88" t="str">
        <f>'Monthly Haver'!A91</f>
        <v>Mar-2006</v>
      </c>
      <c r="B88">
        <f>'Monthly Haver'!C91</f>
        <v>58.010399999999997</v>
      </c>
      <c r="C88">
        <f>'Monthly Haver'!D91</f>
        <v>59.131</v>
      </c>
      <c r="D88" t="e">
        <f>'Monthly Haver'!E91</f>
        <v>#N/A</v>
      </c>
      <c r="E88">
        <f>'Monthly Haver'!G91</f>
        <v>55.280900000000003</v>
      </c>
      <c r="F88">
        <f>'Monthly Haver'!H91</f>
        <v>54.301499999999997</v>
      </c>
      <c r="G88" t="e">
        <f>'Monthly Haver'!I91</f>
        <v>#N/A</v>
      </c>
      <c r="H88">
        <f>'Monthly Haver'!J91</f>
        <v>59.124400000000001</v>
      </c>
      <c r="I88">
        <f>GDS_Monthly!O205</f>
        <v>76.561148243299641</v>
      </c>
      <c r="J88">
        <f>GDS_Monthly!D205</f>
        <v>89.800585058054878</v>
      </c>
      <c r="K88">
        <f>GDS_Monthly!AH205</f>
        <v>761.02550819999999</v>
      </c>
      <c r="L88">
        <f>GDS_Monthly!AI205</f>
        <v>721.51902389999998</v>
      </c>
      <c r="M88">
        <f>GDS_Monthly!N205</f>
        <v>6.0352379668255116</v>
      </c>
      <c r="N88">
        <f>GDS_Monthly!C205</f>
        <v>112.31293826353615</v>
      </c>
      <c r="O88">
        <f>GDS_Monthly!F205</f>
        <v>4.1310968321905142</v>
      </c>
      <c r="P88">
        <f>GDS_Monthly!G205</f>
        <v>4.0661922970060154</v>
      </c>
      <c r="Q88">
        <f>GDS_Monthly!T205</f>
        <v>89.424113390719825</v>
      </c>
      <c r="R88">
        <f>GDS_Monthly!V205</f>
        <v>91.625805538398723</v>
      </c>
      <c r="S88">
        <f>GDS_Monthly!W205</f>
        <v>78.342903926310228</v>
      </c>
      <c r="T88">
        <f>GDS_Monthly!X205</f>
        <v>103.99812855756804</v>
      </c>
      <c r="U88">
        <f>GDS_Monthly!AA205</f>
        <v>78.448970528522722</v>
      </c>
      <c r="V88">
        <f>GDS_Monthly!AC205</f>
        <v>147.87370247732105</v>
      </c>
      <c r="W88">
        <f>GDS_Monthly!AE205</f>
        <v>137.27364813097677</v>
      </c>
      <c r="X88">
        <f>GDS_Monthly!AF205</f>
        <v>95.842489550761599</v>
      </c>
      <c r="Y88">
        <f>OECD!B88</f>
        <v>101</v>
      </c>
      <c r="Z88">
        <f>'Monthly Haver'!K91</f>
        <v>107.45659999999999</v>
      </c>
      <c r="AA88" s="8">
        <f>OECD!C88</f>
        <v>110.77</v>
      </c>
    </row>
    <row r="89" spans="1:27">
      <c r="A89" t="str">
        <f>'Monthly Haver'!A92</f>
        <v>Apr-2006</v>
      </c>
      <c r="B89">
        <f>'Monthly Haver'!C92</f>
        <v>59.488799999999998</v>
      </c>
      <c r="C89">
        <f>'Monthly Haver'!D92</f>
        <v>63.932899999999997</v>
      </c>
      <c r="D89" t="e">
        <f>'Monthly Haver'!E92</f>
        <v>#N/A</v>
      </c>
      <c r="E89">
        <f>'Monthly Haver'!G92</f>
        <v>56.216999999999999</v>
      </c>
      <c r="F89">
        <f>'Monthly Haver'!H92</f>
        <v>55.127499999999998</v>
      </c>
      <c r="G89" t="e">
        <f>'Monthly Haver'!I92</f>
        <v>#N/A</v>
      </c>
      <c r="H89">
        <f>'Monthly Haver'!J92</f>
        <v>60.131700000000002</v>
      </c>
      <c r="I89">
        <f>GDS_Monthly!O206</f>
        <v>77.38783863116933</v>
      </c>
      <c r="J89">
        <f>GDS_Monthly!D206</f>
        <v>89.949388997599883</v>
      </c>
      <c r="K89">
        <f>GDS_Monthly!AH206</f>
        <v>766.1584689</v>
      </c>
      <c r="L89">
        <f>GDS_Monthly!AI206</f>
        <v>726.45179510000003</v>
      </c>
      <c r="M89">
        <f>GDS_Monthly!N206</f>
        <v>6.031539477965346</v>
      </c>
      <c r="N89">
        <f>GDS_Monthly!C206</f>
        <v>112.82980041680774</v>
      </c>
      <c r="O89">
        <f>GDS_Monthly!F206</f>
        <v>4.368796276039622</v>
      </c>
      <c r="P89">
        <f>GDS_Monthly!G206</f>
        <v>4.0591852696174415</v>
      </c>
      <c r="Q89">
        <f>GDS_Monthly!T206</f>
        <v>89.727577126926519</v>
      </c>
      <c r="R89">
        <f>GDS_Monthly!V206</f>
        <v>91.769292271273912</v>
      </c>
      <c r="S89">
        <f>GDS_Monthly!W206</f>
        <v>81.640633356424686</v>
      </c>
      <c r="T89">
        <f>GDS_Monthly!X206</f>
        <v>119.39113510505508</v>
      </c>
      <c r="U89">
        <f>GDS_Monthly!AA206</f>
        <v>83.943434950728943</v>
      </c>
      <c r="V89">
        <f>GDS_Monthly!AC206</f>
        <v>161.63154633322785</v>
      </c>
      <c r="W89">
        <f>GDS_Monthly!AE206</f>
        <v>151.88975402371662</v>
      </c>
      <c r="X89">
        <f>GDS_Monthly!AF206</f>
        <v>96.346150719734695</v>
      </c>
      <c r="Y89">
        <f>OECD!B89</f>
        <v>101.0325</v>
      </c>
      <c r="Z89">
        <f>'Monthly Haver'!K92</f>
        <v>107.00127000000001</v>
      </c>
      <c r="AA89" s="8">
        <f>OECD!C89</f>
        <v>110.63</v>
      </c>
    </row>
    <row r="90" spans="1:27">
      <c r="A90" t="str">
        <f>'Monthly Haver'!A93</f>
        <v>May-2006</v>
      </c>
      <c r="B90">
        <f>'Monthly Haver'!C93</f>
        <v>58.271700000000003</v>
      </c>
      <c r="C90">
        <f>'Monthly Haver'!D93</f>
        <v>66.438000000000002</v>
      </c>
      <c r="D90" t="e">
        <f>'Monthly Haver'!E93</f>
        <v>#N/A</v>
      </c>
      <c r="E90">
        <f>'Monthly Haver'!G93</f>
        <v>55.411499999999997</v>
      </c>
      <c r="F90">
        <f>'Monthly Haver'!H93</f>
        <v>54.5623</v>
      </c>
      <c r="G90" t="e">
        <f>'Monthly Haver'!I93</f>
        <v>#N/A</v>
      </c>
      <c r="H90">
        <f>'Monthly Haver'!J93</f>
        <v>58.555999999999997</v>
      </c>
      <c r="I90">
        <f>GDS_Monthly!O207</f>
        <v>77.897484839157542</v>
      </c>
      <c r="J90">
        <f>GDS_Monthly!D207</f>
        <v>90.779612353454581</v>
      </c>
      <c r="K90">
        <f>GDS_Monthly!AH207</f>
        <v>803.37086120000004</v>
      </c>
      <c r="L90">
        <f>GDS_Monthly!AI207</f>
        <v>749.28417109999998</v>
      </c>
      <c r="M90">
        <f>GDS_Monthly!N207</f>
        <v>5.9921860070992752</v>
      </c>
      <c r="N90">
        <f>GDS_Monthly!C207</f>
        <v>111.70608238773218</v>
      </c>
      <c r="O90">
        <f>GDS_Monthly!F207</f>
        <v>4.4489847540558092</v>
      </c>
      <c r="P90">
        <f>GDS_Monthly!G207</f>
        <v>4.1561648616752906</v>
      </c>
      <c r="Q90">
        <f>GDS_Monthly!T207</f>
        <v>89.984771586579299</v>
      </c>
      <c r="R90">
        <f>GDS_Monthly!V207</f>
        <v>91.965643414997018</v>
      </c>
      <c r="S90">
        <f>GDS_Monthly!W207</f>
        <v>87.815434514714383</v>
      </c>
      <c r="T90">
        <f>GDS_Monthly!X207</f>
        <v>136.89720323672498</v>
      </c>
      <c r="U90">
        <f>GDS_Monthly!AA207</f>
        <v>91.521168214946144</v>
      </c>
      <c r="V90">
        <f>GDS_Monthly!AC207</f>
        <v>160.93013882180313</v>
      </c>
      <c r="W90">
        <f>GDS_Monthly!AE207</f>
        <v>149.62574726861851</v>
      </c>
      <c r="X90">
        <f>GDS_Monthly!AF207</f>
        <v>101.3203287467954</v>
      </c>
      <c r="Y90">
        <f>OECD!B90</f>
        <v>101.03660000000001</v>
      </c>
      <c r="Z90">
        <f>'Monthly Haver'!K93</f>
        <v>105.40491</v>
      </c>
      <c r="AA90" s="8">
        <f>OECD!C90</f>
        <v>110.54</v>
      </c>
    </row>
    <row r="91" spans="1:27">
      <c r="A91" t="str">
        <f>'Monthly Haver'!A94</f>
        <v>Jun-2006</v>
      </c>
      <c r="B91">
        <f>'Monthly Haver'!C94</f>
        <v>57.615600000000001</v>
      </c>
      <c r="C91">
        <f>'Monthly Haver'!D94</f>
        <v>65.6798</v>
      </c>
      <c r="D91" t="e">
        <f>'Monthly Haver'!E94</f>
        <v>#N/A</v>
      </c>
      <c r="E91">
        <f>'Monthly Haver'!G94</f>
        <v>54.0717</v>
      </c>
      <c r="F91">
        <f>'Monthly Haver'!H94</f>
        <v>54.085700000000003</v>
      </c>
      <c r="G91" t="e">
        <f>'Monthly Haver'!I94</f>
        <v>#N/A</v>
      </c>
      <c r="H91">
        <f>'Monthly Haver'!J94</f>
        <v>57.770499999999998</v>
      </c>
      <c r="I91">
        <f>GDS_Monthly!O208</f>
        <v>78.090609540373933</v>
      </c>
      <c r="J91">
        <f>GDS_Monthly!D208</f>
        <v>91.07898959329421</v>
      </c>
      <c r="K91">
        <f>GDS_Monthly!AH208</f>
        <v>797.41643260000001</v>
      </c>
      <c r="L91">
        <f>GDS_Monthly!AI208</f>
        <v>751.02514889999998</v>
      </c>
      <c r="M91">
        <f>GDS_Monthly!N208</f>
        <v>6.0028811511042184</v>
      </c>
      <c r="N91">
        <f>GDS_Monthly!C208</f>
        <v>111.66696429279853</v>
      </c>
      <c r="O91">
        <f>GDS_Monthly!F208</f>
        <v>4.4887242704200512</v>
      </c>
      <c r="P91">
        <f>GDS_Monthly!G208</f>
        <v>4.323488124750531</v>
      </c>
      <c r="Q91">
        <f>GDS_Monthly!T208</f>
        <v>90.175829375727091</v>
      </c>
      <c r="R91">
        <f>GDS_Monthly!V208</f>
        <v>92.131108835885684</v>
      </c>
      <c r="S91">
        <f>GDS_Monthly!W208</f>
        <v>85.465886180206738</v>
      </c>
      <c r="T91">
        <f>GDS_Monthly!X208</f>
        <v>126.64113259911414</v>
      </c>
      <c r="U91">
        <f>GDS_Monthly!AA208</f>
        <v>87.15954611477396</v>
      </c>
      <c r="V91">
        <f>GDS_Monthly!AC208</f>
        <v>160.72023798890962</v>
      </c>
      <c r="W91">
        <f>GDS_Monthly!AE208</f>
        <v>149.83175949608747</v>
      </c>
      <c r="X91">
        <f>GDS_Monthly!AF208</f>
        <v>105.02575859857761</v>
      </c>
      <c r="Y91">
        <f>OECD!B91</f>
        <v>101.03360000000001</v>
      </c>
      <c r="Z91">
        <f>'Monthly Haver'!K94</f>
        <v>106.69431</v>
      </c>
      <c r="AA91" s="8">
        <f>OECD!C91</f>
        <v>110.31</v>
      </c>
    </row>
    <row r="92" spans="1:27">
      <c r="A92" t="str">
        <f>'Monthly Haver'!A95</f>
        <v>Jul-2006</v>
      </c>
      <c r="B92">
        <f>'Monthly Haver'!C95</f>
        <v>57.651699999999998</v>
      </c>
      <c r="C92">
        <f>'Monthly Haver'!D95</f>
        <v>66.354900000000001</v>
      </c>
      <c r="D92" t="e">
        <f>'Monthly Haver'!E95</f>
        <v>#N/A</v>
      </c>
      <c r="E92">
        <f>'Monthly Haver'!G95</f>
        <v>54.584200000000003</v>
      </c>
      <c r="F92">
        <f>'Monthly Haver'!H95</f>
        <v>54.371899999999997</v>
      </c>
      <c r="G92" t="e">
        <f>'Monthly Haver'!I95</f>
        <v>#N/A</v>
      </c>
      <c r="H92">
        <f>'Monthly Haver'!J95</f>
        <v>56.784799999999997</v>
      </c>
      <c r="I92">
        <f>GDS_Monthly!O209</f>
        <v>78.337828215458089</v>
      </c>
      <c r="J92">
        <f>GDS_Monthly!D209</f>
        <v>91.148260790209576</v>
      </c>
      <c r="K92">
        <f>GDS_Monthly!AH209</f>
        <v>786.69535900000005</v>
      </c>
      <c r="L92">
        <f>GDS_Monthly!AI209</f>
        <v>737.31958629999997</v>
      </c>
      <c r="M92">
        <f>GDS_Monthly!N209</f>
        <v>5.9920866074896564</v>
      </c>
      <c r="N92">
        <f>GDS_Monthly!C209</f>
        <v>111.96664850554266</v>
      </c>
      <c r="O92">
        <f>GDS_Monthly!F209</f>
        <v>4.4729231988161295</v>
      </c>
      <c r="P92">
        <f>GDS_Monthly!G209</f>
        <v>4.3577553815700973</v>
      </c>
      <c r="Q92">
        <f>GDS_Monthly!T209</f>
        <v>90.444004211693681</v>
      </c>
      <c r="R92">
        <f>GDS_Monthly!V209</f>
        <v>92.296621897728386</v>
      </c>
      <c r="S92">
        <f>GDS_Monthly!W209</f>
        <v>84.690373610626409</v>
      </c>
      <c r="T92">
        <f>GDS_Monthly!X209</f>
        <v>137.66057780502422</v>
      </c>
      <c r="U92">
        <f>GDS_Monthly!AA209</f>
        <v>89.51849251975861</v>
      </c>
      <c r="V92">
        <f>GDS_Monthly!AC209</f>
        <v>168.28208677937462</v>
      </c>
      <c r="W92">
        <f>GDS_Monthly!AE209</f>
        <v>158.94880584121358</v>
      </c>
      <c r="X92">
        <f>GDS_Monthly!AF209</f>
        <v>103.63375668394843</v>
      </c>
      <c r="Y92">
        <f>OECD!B92</f>
        <v>101.0407</v>
      </c>
      <c r="Z92">
        <f>'Monthly Haver'!K95</f>
        <v>105.96725000000001</v>
      </c>
      <c r="AA92" s="8">
        <f>OECD!C92</f>
        <v>110.13</v>
      </c>
    </row>
    <row r="93" spans="1:27">
      <c r="A93" t="str">
        <f>'Monthly Haver'!A96</f>
        <v>Aug-2006</v>
      </c>
      <c r="B93">
        <f>'Monthly Haver'!C96</f>
        <v>55.270099999999999</v>
      </c>
      <c r="C93">
        <f>'Monthly Haver'!D96</f>
        <v>66.085300000000004</v>
      </c>
      <c r="D93" t="e">
        <f>'Monthly Haver'!E96</f>
        <v>#N/A</v>
      </c>
      <c r="E93">
        <f>'Monthly Haver'!G96</f>
        <v>53.977800000000002</v>
      </c>
      <c r="F93">
        <f>'Monthly Haver'!H96</f>
        <v>54.136499999999998</v>
      </c>
      <c r="G93" t="e">
        <f>'Monthly Haver'!I96</f>
        <v>#N/A</v>
      </c>
      <c r="H93">
        <f>'Monthly Haver'!J96</f>
        <v>56.775500000000001</v>
      </c>
      <c r="I93">
        <f>GDS_Monthly!O210</f>
        <v>78.858105294178699</v>
      </c>
      <c r="J93">
        <f>GDS_Monthly!D210</f>
        <v>91.702684514751155</v>
      </c>
      <c r="K93">
        <f>GDS_Monthly!AH210</f>
        <v>816.97565210000005</v>
      </c>
      <c r="L93">
        <f>GDS_Monthly!AI210</f>
        <v>763.55200960000002</v>
      </c>
      <c r="M93">
        <f>GDS_Monthly!N210</f>
        <v>5.9685865368606086</v>
      </c>
      <c r="N93">
        <f>GDS_Monthly!C210</f>
        <v>110.32633496197658</v>
      </c>
      <c r="O93">
        <f>GDS_Monthly!F210</f>
        <v>4.312755871656849</v>
      </c>
      <c r="P93">
        <f>GDS_Monthly!G210</f>
        <v>4.4525837902440077</v>
      </c>
      <c r="Q93">
        <f>GDS_Monthly!T210</f>
        <v>90.715155027679984</v>
      </c>
      <c r="R93">
        <f>GDS_Monthly!V210</f>
        <v>92.418791445812445</v>
      </c>
      <c r="S93">
        <f>GDS_Monthly!W210</f>
        <v>82.955519940882326</v>
      </c>
      <c r="T93">
        <f>GDS_Monthly!X210</f>
        <v>142.82250972243324</v>
      </c>
      <c r="U93">
        <f>GDS_Monthly!AA210</f>
        <v>89.899213741681038</v>
      </c>
      <c r="V93">
        <f>GDS_Monthly!AC210</f>
        <v>169.43854955719667</v>
      </c>
      <c r="W93">
        <f>GDS_Monthly!AE210</f>
        <v>156.59733201037022</v>
      </c>
      <c r="X93">
        <f>GDS_Monthly!AF210</f>
        <v>102.69386219127591</v>
      </c>
      <c r="Y93">
        <f>OECD!B93</f>
        <v>101.0753</v>
      </c>
      <c r="Z93">
        <f>'Monthly Haver'!K96</f>
        <v>106.00157</v>
      </c>
      <c r="AA93" s="8">
        <f>OECD!C93</f>
        <v>110.17</v>
      </c>
    </row>
    <row r="94" spans="1:27">
      <c r="A94" t="str">
        <f>'Monthly Haver'!A97</f>
        <v>Sep-2006</v>
      </c>
      <c r="B94">
        <f>'Monthly Haver'!C97</f>
        <v>56.921900000000001</v>
      </c>
      <c r="C94">
        <f>'Monthly Haver'!D97</f>
        <v>60.032899999999998</v>
      </c>
      <c r="D94" t="e">
        <f>'Monthly Haver'!E97</f>
        <v>#N/A</v>
      </c>
      <c r="E94">
        <f>'Monthly Haver'!G97</f>
        <v>54.264000000000003</v>
      </c>
      <c r="F94">
        <f>'Monthly Haver'!H97</f>
        <v>54.1785</v>
      </c>
      <c r="G94" t="e">
        <f>'Monthly Haver'!I97</f>
        <v>#N/A</v>
      </c>
      <c r="H94">
        <f>'Monthly Haver'!J97</f>
        <v>55.558100000000003</v>
      </c>
      <c r="I94">
        <f>GDS_Monthly!O211</f>
        <v>79.003168226832898</v>
      </c>
      <c r="J94">
        <f>GDS_Monthly!D211</f>
        <v>92.044322746594091</v>
      </c>
      <c r="K94">
        <f>GDS_Monthly!AH211</f>
        <v>808.88876970000001</v>
      </c>
      <c r="L94">
        <f>GDS_Monthly!AI211</f>
        <v>763.33547150000004</v>
      </c>
      <c r="M94">
        <f>GDS_Monthly!N211</f>
        <v>5.9030035049622738</v>
      </c>
      <c r="N94">
        <f>GDS_Monthly!C211</f>
        <v>111.61295479318073</v>
      </c>
      <c r="O94">
        <f>GDS_Monthly!F211</f>
        <v>4.1824914125193313</v>
      </c>
      <c r="P94">
        <f>GDS_Monthly!G211</f>
        <v>4.4694209919716377</v>
      </c>
      <c r="Q94">
        <f>GDS_Monthly!T211</f>
        <v>90.640078415241177</v>
      </c>
      <c r="R94">
        <f>GDS_Monthly!V211</f>
        <v>92.597062243727663</v>
      </c>
      <c r="S94">
        <f>GDS_Monthly!W211</f>
        <v>82.457066262930198</v>
      </c>
      <c r="T94">
        <f>GDS_Monthly!X211</f>
        <v>142.87717833457043</v>
      </c>
      <c r="U94">
        <f>GDS_Monthly!AA211</f>
        <v>88.822463748178919</v>
      </c>
      <c r="V94">
        <f>GDS_Monthly!AC211</f>
        <v>147.02507377222975</v>
      </c>
      <c r="W94">
        <f>GDS_Monthly!AE211</f>
        <v>136.16801565983798</v>
      </c>
      <c r="X94">
        <f>GDS_Monthly!AF211</f>
        <v>98.825603788526777</v>
      </c>
      <c r="Y94">
        <f>OECD!B94</f>
        <v>101.1386</v>
      </c>
      <c r="Z94">
        <f>'Monthly Haver'!K97</f>
        <v>104.8729</v>
      </c>
      <c r="AA94" s="8">
        <f>OECD!C94</f>
        <v>110.29</v>
      </c>
    </row>
    <row r="95" spans="1:27">
      <c r="A95" t="str">
        <f>'Monthly Haver'!A98</f>
        <v>Oct-2006</v>
      </c>
      <c r="B95">
        <f>'Monthly Haver'!C98</f>
        <v>56.423999999999999</v>
      </c>
      <c r="C95">
        <f>'Monthly Haver'!D98</f>
        <v>56.077500000000001</v>
      </c>
      <c r="D95" t="e">
        <f>'Monthly Haver'!E98</f>
        <v>#N/A</v>
      </c>
      <c r="E95">
        <f>'Monthly Haver'!G98</f>
        <v>54.265999999999998</v>
      </c>
      <c r="F95">
        <f>'Monthly Haver'!H98</f>
        <v>53.720199999999998</v>
      </c>
      <c r="G95" t="e">
        <f>'Monthly Haver'!I98</f>
        <v>#N/A</v>
      </c>
      <c r="H95">
        <f>'Monthly Haver'!J98</f>
        <v>57.181899999999999</v>
      </c>
      <c r="I95">
        <f>GDS_Monthly!O212</f>
        <v>79.278788559890074</v>
      </c>
      <c r="J95">
        <f>GDS_Monthly!D212</f>
        <v>92.159554519152294</v>
      </c>
      <c r="K95">
        <f>GDS_Monthly!AH212</f>
        <v>802.92208029999995</v>
      </c>
      <c r="L95">
        <f>GDS_Monthly!AI212</f>
        <v>762.23532790000002</v>
      </c>
      <c r="M95">
        <f>GDS_Monthly!N212</f>
        <v>5.8406603428808355</v>
      </c>
      <c r="N95">
        <f>GDS_Monthly!C212</f>
        <v>111.80254145475816</v>
      </c>
      <c r="O95">
        <f>GDS_Monthly!F212</f>
        <v>4.2120134279926171</v>
      </c>
      <c r="P95">
        <f>GDS_Monthly!G212</f>
        <v>4.5293487041817002</v>
      </c>
      <c r="Q95">
        <f>GDS_Monthly!T212</f>
        <v>90.552802711540465</v>
      </c>
      <c r="R95">
        <f>GDS_Monthly!V212</f>
        <v>92.756291286048082</v>
      </c>
      <c r="S95">
        <f>GDS_Monthly!W212</f>
        <v>82.737142223318713</v>
      </c>
      <c r="T95">
        <f>GDS_Monthly!X212</f>
        <v>149.07831363486818</v>
      </c>
      <c r="U95">
        <f>GDS_Monthly!AA212</f>
        <v>89.71032767029314</v>
      </c>
      <c r="V95">
        <f>GDS_Monthly!AC212</f>
        <v>141.31174975202637</v>
      </c>
      <c r="W95">
        <f>GDS_Monthly!AE212</f>
        <v>127.43752864998127</v>
      </c>
      <c r="X95">
        <f>GDS_Monthly!AF212</f>
        <v>98.884914129939332</v>
      </c>
      <c r="Y95">
        <f>OECD!B95</f>
        <v>101.221</v>
      </c>
      <c r="Z95">
        <f>'Monthly Haver'!K98</f>
        <v>103.38598</v>
      </c>
      <c r="AA95" s="8">
        <f>OECD!C95</f>
        <v>110.32</v>
      </c>
    </row>
    <row r="96" spans="1:27">
      <c r="A96" t="str">
        <f>'Monthly Haver'!A99</f>
        <v>Nov-2006</v>
      </c>
      <c r="B96">
        <f>'Monthly Haver'!C99</f>
        <v>56.9358</v>
      </c>
      <c r="C96">
        <f>'Monthly Haver'!D99</f>
        <v>56.641399999999997</v>
      </c>
      <c r="D96" t="e">
        <f>'Monthly Haver'!E99</f>
        <v>#N/A</v>
      </c>
      <c r="E96">
        <f>'Monthly Haver'!G99</f>
        <v>54.183500000000002</v>
      </c>
      <c r="F96">
        <f>'Monthly Haver'!H99</f>
        <v>53.106900000000003</v>
      </c>
      <c r="G96" t="e">
        <f>'Monthly Haver'!I99</f>
        <v>#N/A</v>
      </c>
      <c r="H96">
        <f>'Monthly Haver'!J99</f>
        <v>58.709200000000003</v>
      </c>
      <c r="I96">
        <f>GDS_Monthly!O213</f>
        <v>79.836184902491979</v>
      </c>
      <c r="J96">
        <f>GDS_Monthly!D213</f>
        <v>93.32984582449491</v>
      </c>
      <c r="K96">
        <f>GDS_Monthly!AH213</f>
        <v>822.12701330000004</v>
      </c>
      <c r="L96">
        <f>GDS_Monthly!AI213</f>
        <v>789.28366240000003</v>
      </c>
      <c r="M96">
        <f>GDS_Monthly!N213</f>
        <v>5.8290689599958627</v>
      </c>
      <c r="N96">
        <f>GDS_Monthly!C213</f>
        <v>111.89269161202684</v>
      </c>
      <c r="O96">
        <f>GDS_Monthly!F213</f>
        <v>4.1075657037116686</v>
      </c>
      <c r="P96">
        <f>GDS_Monthly!G213</f>
        <v>4.5403101802340133</v>
      </c>
      <c r="Q96">
        <f>GDS_Monthly!T213</f>
        <v>90.704606985074051</v>
      </c>
      <c r="R96">
        <f>GDS_Monthly!V213</f>
        <v>92.866006757446598</v>
      </c>
      <c r="S96">
        <f>GDS_Monthly!W213</f>
        <v>84.741731896900802</v>
      </c>
      <c r="T96">
        <f>GDS_Monthly!X213</f>
        <v>148.02296125685803</v>
      </c>
      <c r="U96">
        <f>GDS_Monthly!AA213</f>
        <v>91.339024895438584</v>
      </c>
      <c r="V96">
        <f>GDS_Monthly!AC213</f>
        <v>145.41041427397141</v>
      </c>
      <c r="W96">
        <f>GDS_Monthly!AE213</f>
        <v>126.57530869948765</v>
      </c>
      <c r="X96">
        <f>GDS_Monthly!AF213</f>
        <v>96.442394729063238</v>
      </c>
      <c r="Y96">
        <f>OECD!B96</f>
        <v>101.3107</v>
      </c>
      <c r="Z96">
        <f>'Monthly Haver'!K99</f>
        <v>104.26607</v>
      </c>
      <c r="AA96" s="8">
        <f>OECD!C96</f>
        <v>110.62</v>
      </c>
    </row>
    <row r="97" spans="1:27">
      <c r="A97" t="str">
        <f>'Monthly Haver'!A100</f>
        <v>Dec-2006</v>
      </c>
      <c r="B97">
        <f>'Monthly Haver'!C100</f>
        <v>55.922400000000003</v>
      </c>
      <c r="C97">
        <f>'Monthly Haver'!D100</f>
        <v>57.667200000000001</v>
      </c>
      <c r="D97" t="e">
        <f>'Monthly Haver'!E100</f>
        <v>#N/A</v>
      </c>
      <c r="E97">
        <f>'Monthly Haver'!G100</f>
        <v>54.383000000000003</v>
      </c>
      <c r="F97">
        <f>'Monthly Haver'!H100</f>
        <v>53.331000000000003</v>
      </c>
      <c r="G97" t="e">
        <f>'Monthly Haver'!I100</f>
        <v>#N/A</v>
      </c>
      <c r="H97">
        <f>'Monthly Haver'!J100</f>
        <v>56.877299999999998</v>
      </c>
      <c r="I97">
        <f>GDS_Monthly!O214</f>
        <v>80.467355673331042</v>
      </c>
      <c r="J97">
        <f>GDS_Monthly!D214</f>
        <v>94.033125524163651</v>
      </c>
      <c r="K97">
        <f>GDS_Monthly!AH214</f>
        <v>841.74168940000004</v>
      </c>
      <c r="L97">
        <f>GDS_Monthly!AI214</f>
        <v>804.34018270000001</v>
      </c>
      <c r="M97">
        <f>GDS_Monthly!N214</f>
        <v>5.7833464027678385</v>
      </c>
      <c r="N97">
        <f>GDS_Monthly!C214</f>
        <v>113.03326362223861</v>
      </c>
      <c r="O97">
        <f>GDS_Monthly!F214</f>
        <v>4.1165199651838531</v>
      </c>
      <c r="P97">
        <f>GDS_Monthly!G214</f>
        <v>4.6084022966453126</v>
      </c>
      <c r="Q97">
        <f>GDS_Monthly!T214</f>
        <v>91.053313090154859</v>
      </c>
      <c r="R97">
        <f>GDS_Monthly!V214</f>
        <v>93.01689173788364</v>
      </c>
      <c r="S97">
        <f>GDS_Monthly!W214</f>
        <v>84.915473349133563</v>
      </c>
      <c r="T97">
        <f>GDS_Monthly!X214</f>
        <v>151.44388105203524</v>
      </c>
      <c r="U97">
        <f>GDS_Monthly!AA214</f>
        <v>92.649420084345167</v>
      </c>
      <c r="V97">
        <f>GDS_Monthly!AC214</f>
        <v>148.67678199130953</v>
      </c>
      <c r="W97">
        <f>GDS_Monthly!AE214</f>
        <v>131.14668269137567</v>
      </c>
      <c r="X97">
        <f>GDS_Monthly!AF214</f>
        <v>100.08070635496365</v>
      </c>
      <c r="Y97">
        <f>OECD!B97</f>
        <v>101.3967</v>
      </c>
      <c r="Z97">
        <f>'Monthly Haver'!K100</f>
        <v>103.74003999999999</v>
      </c>
      <c r="AA97" s="8">
        <f>OECD!C97</f>
        <v>111.76</v>
      </c>
    </row>
    <row r="98" spans="1:27">
      <c r="A98" t="str">
        <f>'Monthly Haver'!A101</f>
        <v>Jan-2007</v>
      </c>
      <c r="B98">
        <f>'Monthly Haver'!C101</f>
        <v>56.165399999999998</v>
      </c>
      <c r="C98">
        <f>'Monthly Haver'!D101</f>
        <v>57.178899999999999</v>
      </c>
      <c r="D98" t="e">
        <f>'Monthly Haver'!E101</f>
        <v>#N/A</v>
      </c>
      <c r="E98">
        <f>'Monthly Haver'!G101</f>
        <v>55.315800000000003</v>
      </c>
      <c r="F98">
        <f>'Monthly Haver'!H101</f>
        <v>52.658499999999997</v>
      </c>
      <c r="G98" t="e">
        <f>'Monthly Haver'!I101</f>
        <v>#N/A</v>
      </c>
      <c r="H98">
        <f>'Monthly Haver'!J101</f>
        <v>58.1188</v>
      </c>
      <c r="I98">
        <f>GDS_Monthly!O215</f>
        <v>80.922460747878688</v>
      </c>
      <c r="J98">
        <f>GDS_Monthly!D215</f>
        <v>94.411667516343329</v>
      </c>
      <c r="K98">
        <f>GDS_Monthly!AH215</f>
        <v>830.96596409999995</v>
      </c>
      <c r="L98">
        <f>GDS_Monthly!AI215</f>
        <v>797.91783120000002</v>
      </c>
      <c r="M98">
        <f>GDS_Monthly!N215</f>
        <v>5.7566493794228393</v>
      </c>
      <c r="N98">
        <f>GDS_Monthly!C215</f>
        <v>112.68682872985217</v>
      </c>
      <c r="O98">
        <f>GDS_Monthly!F215</f>
        <v>4.3140535022003714</v>
      </c>
      <c r="P98">
        <f>GDS_Monthly!G215</f>
        <v>4.7230360304663801</v>
      </c>
      <c r="Q98">
        <f>GDS_Monthly!T215</f>
        <v>91.179548790436812</v>
      </c>
      <c r="R98">
        <f>GDS_Monthly!V215</f>
        <v>93.179541929468286</v>
      </c>
      <c r="S98">
        <f>GDS_Monthly!W215</f>
        <v>86.566511310100225</v>
      </c>
      <c r="T98">
        <f>GDS_Monthly!X215</f>
        <v>148.67777809474364</v>
      </c>
      <c r="U98">
        <f>GDS_Monthly!AA215</f>
        <v>93.550058234778064</v>
      </c>
      <c r="V98">
        <f>GDS_Monthly!AC215</f>
        <v>136.11746036849371</v>
      </c>
      <c r="W98">
        <f>GDS_Monthly!AE215</f>
        <v>116.85388827608448</v>
      </c>
      <c r="X98">
        <f>GDS_Monthly!AF215</f>
        <v>103.56778629439589</v>
      </c>
      <c r="Y98">
        <f>OECD!B98</f>
        <v>101.4687</v>
      </c>
      <c r="Z98">
        <f>'Monthly Haver'!K101</f>
        <v>103.47403</v>
      </c>
      <c r="AA98" s="8">
        <f>OECD!C98</f>
        <v>112</v>
      </c>
    </row>
    <row r="99" spans="1:27">
      <c r="A99" t="str">
        <f>'Monthly Haver'!A102</f>
        <v>Feb-2007</v>
      </c>
      <c r="B99">
        <f>'Monthly Haver'!C102</f>
        <v>56.223599999999998</v>
      </c>
      <c r="C99">
        <f>'Monthly Haver'!D102</f>
        <v>56.434100000000001</v>
      </c>
      <c r="D99" t="e">
        <f>'Monthly Haver'!E102</f>
        <v>#N/A</v>
      </c>
      <c r="E99">
        <f>'Monthly Haver'!G102</f>
        <v>54.390300000000003</v>
      </c>
      <c r="F99">
        <f>'Monthly Haver'!H102</f>
        <v>53.294199999999996</v>
      </c>
      <c r="G99" t="e">
        <f>'Monthly Haver'!I102</f>
        <v>#N/A</v>
      </c>
      <c r="H99">
        <f>'Monthly Haver'!J102</f>
        <v>56.645800000000001</v>
      </c>
      <c r="I99">
        <f>GDS_Monthly!O216</f>
        <v>81.435754076259087</v>
      </c>
      <c r="J99">
        <f>GDS_Monthly!D216</f>
        <v>94.853839673481161</v>
      </c>
      <c r="K99">
        <f>GDS_Monthly!AH216</f>
        <v>845.92062039999996</v>
      </c>
      <c r="L99">
        <f>GDS_Monthly!AI216</f>
        <v>806.64122190000001</v>
      </c>
      <c r="M99">
        <f>GDS_Monthly!N216</f>
        <v>5.7382390091368265</v>
      </c>
      <c r="N99">
        <f>GDS_Monthly!C216</f>
        <v>112.94602678616796</v>
      </c>
      <c r="O99">
        <f>GDS_Monthly!F216</f>
        <v>4.3181235821644428</v>
      </c>
      <c r="P99">
        <f>GDS_Monthly!G216</f>
        <v>4.732566993987966</v>
      </c>
      <c r="Q99">
        <f>GDS_Monthly!T216</f>
        <v>91.408704313356182</v>
      </c>
      <c r="R99">
        <f>GDS_Monthly!V216</f>
        <v>93.346842616813674</v>
      </c>
      <c r="S99">
        <f>GDS_Monthly!W216</f>
        <v>88.488039675689009</v>
      </c>
      <c r="T99">
        <f>GDS_Monthly!X216</f>
        <v>154.1996192039862</v>
      </c>
      <c r="U99">
        <f>GDS_Monthly!AA216</f>
        <v>96.503997096689574</v>
      </c>
      <c r="V99">
        <f>GDS_Monthly!AC216</f>
        <v>146.09713553485093</v>
      </c>
      <c r="W99">
        <f>GDS_Monthly!AE216</f>
        <v>124.71766602636986</v>
      </c>
      <c r="X99">
        <f>GDS_Monthly!AF216</f>
        <v>106.02663515136942</v>
      </c>
      <c r="Y99">
        <f>OECD!B99</f>
        <v>101.5292</v>
      </c>
      <c r="Z99">
        <f>'Monthly Haver'!K102</f>
        <v>104.72768000000001</v>
      </c>
      <c r="AA99" s="8">
        <f>OECD!C99</f>
        <v>112.16</v>
      </c>
    </row>
    <row r="100" spans="1:27">
      <c r="A100" t="str">
        <f>'Monthly Haver'!A103</f>
        <v>Mar-2007</v>
      </c>
      <c r="B100">
        <f>'Monthly Haver'!C103</f>
        <v>54.829799999999999</v>
      </c>
      <c r="C100">
        <f>'Monthly Haver'!D103</f>
        <v>59.674100000000003</v>
      </c>
      <c r="D100" t="e">
        <f>'Monthly Haver'!E103</f>
        <v>#N/A</v>
      </c>
      <c r="E100">
        <f>'Monthly Haver'!G103</f>
        <v>53.894100000000002</v>
      </c>
      <c r="F100">
        <f>'Monthly Haver'!H103</f>
        <v>52.425800000000002</v>
      </c>
      <c r="G100" t="e">
        <f>'Monthly Haver'!I103</f>
        <v>#N/A</v>
      </c>
      <c r="H100">
        <f>'Monthly Haver'!J103</f>
        <v>54.803400000000003</v>
      </c>
      <c r="I100">
        <f>GDS_Monthly!O217</f>
        <v>82.721577144040808</v>
      </c>
      <c r="J100">
        <f>GDS_Monthly!D217</f>
        <v>95.520222312340962</v>
      </c>
      <c r="K100">
        <f>GDS_Monthly!AH217</f>
        <v>858.16954429999998</v>
      </c>
      <c r="L100">
        <f>GDS_Monthly!AI217</f>
        <v>819.22537620000003</v>
      </c>
      <c r="M100">
        <f>GDS_Monthly!N217</f>
        <v>5.6971737092394319</v>
      </c>
      <c r="N100">
        <f>GDS_Monthly!C217</f>
        <v>112.30165892729816</v>
      </c>
      <c r="O100">
        <f>GDS_Monthly!F217</f>
        <v>4.2076149486794279</v>
      </c>
      <c r="P100">
        <f>GDS_Monthly!G217</f>
        <v>4.8119901464473465</v>
      </c>
      <c r="Q100">
        <f>GDS_Monthly!T217</f>
        <v>91.694105841841662</v>
      </c>
      <c r="R100">
        <f>GDS_Monthly!V217</f>
        <v>93.46603078436128</v>
      </c>
      <c r="S100">
        <f>GDS_Monthly!W217</f>
        <v>88.275689522163901</v>
      </c>
      <c r="T100">
        <f>GDS_Monthly!X217</f>
        <v>166.32276122034966</v>
      </c>
      <c r="U100">
        <f>GDS_Monthly!AA217</f>
        <v>98.737041810782529</v>
      </c>
      <c r="V100">
        <f>GDS_Monthly!AC217</f>
        <v>149.53734374422177</v>
      </c>
      <c r="W100">
        <f>GDS_Monthly!AE217</f>
        <v>130.38163877977058</v>
      </c>
      <c r="X100">
        <f>GDS_Monthly!AF217</f>
        <v>103.82292650801969</v>
      </c>
      <c r="Y100">
        <f>OECD!B100</f>
        <v>101.57940000000001</v>
      </c>
      <c r="Z100">
        <f>'Monthly Haver'!K103</f>
        <v>104.97774</v>
      </c>
      <c r="AA100" s="8">
        <f>OECD!C100</f>
        <v>112.98</v>
      </c>
    </row>
    <row r="101" spans="1:27">
      <c r="A101" t="str">
        <f>'Monthly Haver'!A104</f>
        <v>Apr-2007</v>
      </c>
      <c r="B101">
        <f>'Monthly Haver'!C104</f>
        <v>56.213799999999999</v>
      </c>
      <c r="C101">
        <f>'Monthly Haver'!D104</f>
        <v>60.459899999999998</v>
      </c>
      <c r="D101" t="e">
        <f>'Monthly Haver'!E104</f>
        <v>#N/A</v>
      </c>
      <c r="E101">
        <f>'Monthly Haver'!G104</f>
        <v>53.610900000000001</v>
      </c>
      <c r="F101">
        <f>'Monthly Haver'!H104</f>
        <v>53.520299999999999</v>
      </c>
      <c r="G101" t="e">
        <f>'Monthly Haver'!I104</f>
        <v>#N/A</v>
      </c>
      <c r="H101">
        <f>'Monthly Haver'!J104</f>
        <v>56.607199999999999</v>
      </c>
      <c r="I101">
        <f>GDS_Monthly!O218</f>
        <v>82.92492233169807</v>
      </c>
      <c r="J101">
        <f>GDS_Monthly!D218</f>
        <v>95.695600517472528</v>
      </c>
      <c r="K101">
        <f>GDS_Monthly!AH218</f>
        <v>868.29302529999995</v>
      </c>
      <c r="L101">
        <f>GDS_Monthly!AI218</f>
        <v>832.17644080000002</v>
      </c>
      <c r="M101">
        <f>GDS_Monthly!N218</f>
        <v>5.6350994322068804</v>
      </c>
      <c r="N101">
        <f>GDS_Monthly!C218</f>
        <v>111.90078614304518</v>
      </c>
      <c r="O101">
        <f>GDS_Monthly!F218</f>
        <v>4.3493775825083709</v>
      </c>
      <c r="P101">
        <f>GDS_Monthly!G218</f>
        <v>4.8210472048682123</v>
      </c>
      <c r="Q101">
        <f>GDS_Monthly!T218</f>
        <v>91.927032138729686</v>
      </c>
      <c r="R101">
        <f>GDS_Monthly!V218</f>
        <v>93.647945683650789</v>
      </c>
      <c r="S101">
        <f>GDS_Monthly!W218</f>
        <v>92.066142544042066</v>
      </c>
      <c r="T101">
        <f>GDS_Monthly!X218</f>
        <v>183.18135595868421</v>
      </c>
      <c r="U101">
        <f>GDS_Monthly!AA218</f>
        <v>104.3465836174254</v>
      </c>
      <c r="V101">
        <f>GDS_Monthly!AC218</f>
        <v>158.15230786359257</v>
      </c>
      <c r="W101">
        <f>GDS_Monthly!AE218</f>
        <v>138.95886089691314</v>
      </c>
      <c r="X101">
        <f>GDS_Monthly!AF218</f>
        <v>105.82757954181426</v>
      </c>
      <c r="Y101">
        <f>OECD!B101</f>
        <v>101.6194</v>
      </c>
      <c r="Z101">
        <f>'Monthly Haver'!K104</f>
        <v>103.9773</v>
      </c>
      <c r="AA101" s="8">
        <f>OECD!C101</f>
        <v>113.25</v>
      </c>
    </row>
    <row r="102" spans="1:27">
      <c r="A102" t="str">
        <f>'Monthly Haver'!A105</f>
        <v>May-2007</v>
      </c>
      <c r="B102">
        <f>'Monthly Haver'!C105</f>
        <v>57.25</v>
      </c>
      <c r="C102">
        <f>'Monthly Haver'!D105</f>
        <v>60.989699999999999</v>
      </c>
      <c r="D102" t="e">
        <f>'Monthly Haver'!E105</f>
        <v>#N/A</v>
      </c>
      <c r="E102">
        <f>'Monthly Haver'!G105</f>
        <v>54.502000000000002</v>
      </c>
      <c r="F102">
        <f>'Monthly Haver'!H105</f>
        <v>53.325800000000001</v>
      </c>
      <c r="G102">
        <f>'Monthly Haver'!I105</f>
        <v>49.158999999999999</v>
      </c>
      <c r="H102">
        <f>'Monthly Haver'!J105</f>
        <v>57.7971</v>
      </c>
      <c r="I102">
        <f>GDS_Monthly!O219</f>
        <v>83.45078329538886</v>
      </c>
      <c r="J102">
        <f>GDS_Monthly!D219</f>
        <v>96.712043510502838</v>
      </c>
      <c r="K102">
        <f>GDS_Monthly!AH219</f>
        <v>880.52975530000003</v>
      </c>
      <c r="L102">
        <f>GDS_Monthly!AI219</f>
        <v>840.40802269999995</v>
      </c>
      <c r="M102">
        <f>GDS_Monthly!N219</f>
        <v>5.5955361943297559</v>
      </c>
      <c r="N102">
        <f>GDS_Monthly!C219</f>
        <v>112.44904237509469</v>
      </c>
      <c r="O102">
        <f>GDS_Monthly!F219</f>
        <v>4.4271388756416075</v>
      </c>
      <c r="P102">
        <f>GDS_Monthly!G219</f>
        <v>4.8432578045498031</v>
      </c>
      <c r="Q102">
        <f>GDS_Monthly!T219</f>
        <v>92.20255431345339</v>
      </c>
      <c r="R102">
        <f>GDS_Monthly!V219</f>
        <v>93.794848301871141</v>
      </c>
      <c r="S102">
        <f>GDS_Monthly!W219</f>
        <v>91.341058902596771</v>
      </c>
      <c r="T102">
        <f>GDS_Monthly!X219</f>
        <v>186.78185060478498</v>
      </c>
      <c r="U102">
        <f>GDS_Monthly!AA219</f>
        <v>104.43034082278045</v>
      </c>
      <c r="V102">
        <f>GDS_Monthly!AC219</f>
        <v>159.03435636698887</v>
      </c>
      <c r="W102">
        <f>GDS_Monthly!AE219</f>
        <v>139.33258266016099</v>
      </c>
      <c r="X102">
        <f>GDS_Monthly!AF219</f>
        <v>107.01553348262834</v>
      </c>
      <c r="Y102">
        <f>OECD!B102</f>
        <v>101.6468</v>
      </c>
      <c r="Z102">
        <f>'Monthly Haver'!K105</f>
        <v>104.00438</v>
      </c>
      <c r="AA102" s="8">
        <f>OECD!C102</f>
        <v>113.72</v>
      </c>
    </row>
    <row r="103" spans="1:27">
      <c r="A103" t="str">
        <f>'Monthly Haver'!A106</f>
        <v>Jun-2007</v>
      </c>
      <c r="B103">
        <f>'Monthly Haver'!C106</f>
        <v>57.8048</v>
      </c>
      <c r="C103">
        <f>'Monthly Haver'!D106</f>
        <v>61.021799999999999</v>
      </c>
      <c r="D103" t="e">
        <f>'Monthly Haver'!E106</f>
        <v>#N/A</v>
      </c>
      <c r="E103">
        <f>'Monthly Haver'!G106</f>
        <v>55.1342</v>
      </c>
      <c r="F103">
        <f>'Monthly Haver'!H106</f>
        <v>53.708199999999998</v>
      </c>
      <c r="G103">
        <f>'Monthly Haver'!I106</f>
        <v>49.289099999999998</v>
      </c>
      <c r="H103">
        <f>'Monthly Haver'!J106</f>
        <v>59.122900000000001</v>
      </c>
      <c r="I103">
        <f>GDS_Monthly!O220</f>
        <v>83.916823551209262</v>
      </c>
      <c r="J103">
        <f>GDS_Monthly!D220</f>
        <v>96.893285057471573</v>
      </c>
      <c r="K103">
        <f>GDS_Monthly!AH220</f>
        <v>882.78914320000001</v>
      </c>
      <c r="L103">
        <f>GDS_Monthly!AI220</f>
        <v>843.00170990000004</v>
      </c>
      <c r="M103">
        <f>GDS_Monthly!N220</f>
        <v>5.5932030021650396</v>
      </c>
      <c r="N103">
        <f>GDS_Monthly!C220</f>
        <v>111.69664441683354</v>
      </c>
      <c r="O103">
        <f>GDS_Monthly!F220</f>
        <v>4.7109483536603269</v>
      </c>
      <c r="P103">
        <f>GDS_Monthly!G220</f>
        <v>4.9083379489207601</v>
      </c>
      <c r="Q103">
        <f>GDS_Monthly!T220</f>
        <v>92.399636222100455</v>
      </c>
      <c r="R103">
        <f>GDS_Monthly!V220</f>
        <v>93.927504542136191</v>
      </c>
      <c r="S103">
        <f>GDS_Monthly!W220</f>
        <v>91.487109167393157</v>
      </c>
      <c r="T103">
        <f>GDS_Monthly!X220</f>
        <v>174.08028732330342</v>
      </c>
      <c r="U103">
        <f>GDS_Monthly!AA220</f>
        <v>101.82614234448695</v>
      </c>
      <c r="V103">
        <f>GDS_Monthly!AC220</f>
        <v>163.88545525698464</v>
      </c>
      <c r="W103">
        <f>GDS_Monthly!AE220</f>
        <v>146.30062105204723</v>
      </c>
      <c r="X103">
        <f>GDS_Monthly!AF220</f>
        <v>103.69822436084831</v>
      </c>
      <c r="Y103">
        <f>OECD!B103</f>
        <v>101.6514</v>
      </c>
      <c r="Z103">
        <f>'Monthly Haver'!K106</f>
        <v>104.24436</v>
      </c>
      <c r="AA103" s="8">
        <f>OECD!C103</f>
        <v>113.7</v>
      </c>
    </row>
    <row r="104" spans="1:27">
      <c r="A104" t="str">
        <f>'Monthly Haver'!A107</f>
        <v>Jul-2007</v>
      </c>
      <c r="B104">
        <f>'Monthly Haver'!C107</f>
        <v>56.453200000000002</v>
      </c>
      <c r="C104">
        <f>'Monthly Haver'!D107</f>
        <v>59.846499999999999</v>
      </c>
      <c r="D104" t="e">
        <f>'Monthly Haver'!E107</f>
        <v>#N/A</v>
      </c>
      <c r="E104">
        <f>'Monthly Haver'!G107</f>
        <v>54.000700000000002</v>
      </c>
      <c r="F104">
        <f>'Monthly Haver'!H107</f>
        <v>52.924799999999998</v>
      </c>
      <c r="G104">
        <f>'Monthly Haver'!I107</f>
        <v>49.281100000000002</v>
      </c>
      <c r="H104">
        <f>'Monthly Haver'!J107</f>
        <v>57.350999999999999</v>
      </c>
      <c r="I104">
        <f>GDS_Monthly!O221</f>
        <v>84.192095552774433</v>
      </c>
      <c r="J104">
        <f>GDS_Monthly!D221</f>
        <v>97.229658741521121</v>
      </c>
      <c r="K104">
        <f>GDS_Monthly!AH221</f>
        <v>906.20332770000005</v>
      </c>
      <c r="L104">
        <f>GDS_Monthly!AI221</f>
        <v>854.4625671</v>
      </c>
      <c r="M104">
        <f>GDS_Monthly!N221</f>
        <v>5.5398856263261171</v>
      </c>
      <c r="N104">
        <f>GDS_Monthly!C221</f>
        <v>112.90419884748414</v>
      </c>
      <c r="O104">
        <f>GDS_Monthly!F221</f>
        <v>4.6692745295833742</v>
      </c>
      <c r="P104">
        <f>GDS_Monthly!G221</f>
        <v>4.9281399056103012</v>
      </c>
      <c r="Q104">
        <f>GDS_Monthly!T221</f>
        <v>92.621819546631073</v>
      </c>
      <c r="R104">
        <f>GDS_Monthly!V221</f>
        <v>94.063951774223611</v>
      </c>
      <c r="S104">
        <f>GDS_Monthly!W221</f>
        <v>93.301805424902824</v>
      </c>
      <c r="T104">
        <f>GDS_Monthly!X221</f>
        <v>167.72079292029107</v>
      </c>
      <c r="U104">
        <f>GDS_Monthly!AA221</f>
        <v>101.55973331560905</v>
      </c>
      <c r="V104">
        <f>GDS_Monthly!AC221</f>
        <v>170.44185299585908</v>
      </c>
      <c r="W104">
        <f>GDS_Monthly!AE221</f>
        <v>155.93769856499785</v>
      </c>
      <c r="X104">
        <f>GDS_Monthly!AF221</f>
        <v>102.02420684882102</v>
      </c>
      <c r="Y104">
        <f>OECD!B104</f>
        <v>101.6263</v>
      </c>
      <c r="Z104">
        <f>'Monthly Haver'!K107</f>
        <v>103.2842</v>
      </c>
      <c r="AA104" s="8">
        <f>OECD!C104</f>
        <v>113.58</v>
      </c>
    </row>
    <row r="105" spans="1:27">
      <c r="A105" t="str">
        <f>'Monthly Haver'!A108</f>
        <v>Aug-2007</v>
      </c>
      <c r="B105">
        <f>'Monthly Haver'!C108</f>
        <v>56.924999999999997</v>
      </c>
      <c r="C105">
        <f>'Monthly Haver'!D108</f>
        <v>59.626199999999997</v>
      </c>
      <c r="D105" t="e">
        <f>'Monthly Haver'!E108</f>
        <v>#N/A</v>
      </c>
      <c r="E105">
        <f>'Monthly Haver'!G108</f>
        <v>52.851100000000002</v>
      </c>
      <c r="F105">
        <f>'Monthly Haver'!H108</f>
        <v>52.603900000000003</v>
      </c>
      <c r="G105">
        <f>'Monthly Haver'!I108</f>
        <v>47.933500000000002</v>
      </c>
      <c r="H105">
        <f>'Monthly Haver'!J108</f>
        <v>56.527200000000001</v>
      </c>
      <c r="I105">
        <f>GDS_Monthly!O222</f>
        <v>84.801623614202512</v>
      </c>
      <c r="J105">
        <f>GDS_Monthly!D222</f>
        <v>97.987320199794354</v>
      </c>
      <c r="K105">
        <f>GDS_Monthly!AH222</f>
        <v>908.30417120000004</v>
      </c>
      <c r="L105">
        <f>GDS_Monthly!AI222</f>
        <v>869.16313300000002</v>
      </c>
      <c r="M105">
        <f>GDS_Monthly!N222</f>
        <v>5.5183025484653081</v>
      </c>
      <c r="N105">
        <f>GDS_Monthly!C222</f>
        <v>111.42202170440189</v>
      </c>
      <c r="O105">
        <f>GDS_Monthly!F222</f>
        <v>4.4442537782409293</v>
      </c>
      <c r="P105">
        <f>GDS_Monthly!G222</f>
        <v>4.9597585967434217</v>
      </c>
      <c r="Q105">
        <f>GDS_Monthly!T222</f>
        <v>92.80911470524012</v>
      </c>
      <c r="R105">
        <f>GDS_Monthly!V222</f>
        <v>94.230705085767184</v>
      </c>
      <c r="S105">
        <f>GDS_Monthly!W222</f>
        <v>92.760099418417028</v>
      </c>
      <c r="T105">
        <f>GDS_Monthly!X222</f>
        <v>152.09913826163279</v>
      </c>
      <c r="U105">
        <f>GDS_Monthly!AA222</f>
        <v>97.828270610738812</v>
      </c>
      <c r="V105">
        <f>GDS_Monthly!AC222</f>
        <v>165.40121925094897</v>
      </c>
      <c r="W105">
        <f>GDS_Monthly!AE222</f>
        <v>148.69930330750398</v>
      </c>
      <c r="X105">
        <f>GDS_Monthly!AF222</f>
        <v>97.650054098002215</v>
      </c>
      <c r="Y105">
        <f>OECD!B105</f>
        <v>101.5697</v>
      </c>
      <c r="Z105">
        <f>'Monthly Haver'!K108</f>
        <v>102.35413</v>
      </c>
      <c r="AA105" s="8">
        <f>OECD!C105</f>
        <v>112.5</v>
      </c>
    </row>
    <row r="106" spans="1:27">
      <c r="A106" t="str">
        <f>'Monthly Haver'!A109</f>
        <v>Sep-2007</v>
      </c>
      <c r="B106">
        <f>'Monthly Haver'!C109</f>
        <v>53.939900000000002</v>
      </c>
      <c r="C106">
        <f>'Monthly Haver'!D109</f>
        <v>61.680799999999998</v>
      </c>
      <c r="D106" t="e">
        <f>'Monthly Haver'!E109</f>
        <v>#N/A</v>
      </c>
      <c r="E106">
        <f>'Monthly Haver'!G109</f>
        <v>54.261899999999997</v>
      </c>
      <c r="F106">
        <f>'Monthly Haver'!H109</f>
        <v>52.684100000000001</v>
      </c>
      <c r="G106">
        <f>'Monthly Haver'!I109</f>
        <v>48.400399999999998</v>
      </c>
      <c r="H106">
        <f>'Monthly Haver'!J109</f>
        <v>53.949599999999997</v>
      </c>
      <c r="I106">
        <f>GDS_Monthly!O223</f>
        <v>85.519675494318108</v>
      </c>
      <c r="J106">
        <f>GDS_Monthly!D223</f>
        <v>97.795183129428693</v>
      </c>
      <c r="K106">
        <f>GDS_Monthly!AH223</f>
        <v>909.16404809999995</v>
      </c>
      <c r="L106">
        <f>GDS_Monthly!AI223</f>
        <v>873.24408600000004</v>
      </c>
      <c r="M106">
        <f>GDS_Monthly!N223</f>
        <v>5.4972939310032851</v>
      </c>
      <c r="N106">
        <f>GDS_Monthly!C223</f>
        <v>110.09079670766531</v>
      </c>
      <c r="O106">
        <f>GDS_Monthly!F223</f>
        <v>4.356434146753509</v>
      </c>
      <c r="P106">
        <f>GDS_Monthly!G223</f>
        <v>4.8307419394878144</v>
      </c>
      <c r="Q106">
        <f>GDS_Monthly!T223</f>
        <v>93.119824634198139</v>
      </c>
      <c r="R106">
        <f>GDS_Monthly!V223</f>
        <v>94.389163235103808</v>
      </c>
      <c r="S106">
        <f>GDS_Monthly!W223</f>
        <v>96.640299665692027</v>
      </c>
      <c r="T106">
        <f>GDS_Monthly!X223</f>
        <v>150.84393579745043</v>
      </c>
      <c r="U106">
        <f>GDS_Monthly!AA223</f>
        <v>100.89315342409172</v>
      </c>
      <c r="V106">
        <f>GDS_Monthly!AC223</f>
        <v>176.46862695554546</v>
      </c>
      <c r="W106">
        <f>GDS_Monthly!AE223</f>
        <v>161.05692296456365</v>
      </c>
      <c r="X106">
        <f>GDS_Monthly!AF223</f>
        <v>103.79787513809367</v>
      </c>
      <c r="Y106">
        <f>OECD!B106</f>
        <v>101.49250000000001</v>
      </c>
      <c r="Z106">
        <f>'Monthly Haver'!K109</f>
        <v>101.04508</v>
      </c>
      <c r="AA106" s="8">
        <f>OECD!C106</f>
        <v>112.47</v>
      </c>
    </row>
    <row r="107" spans="1:27">
      <c r="A107" t="str">
        <f>'Monthly Haver'!A110</f>
        <v>Oct-2007</v>
      </c>
      <c r="B107">
        <f>'Monthly Haver'!C110</f>
        <v>55.133000000000003</v>
      </c>
      <c r="C107">
        <f>'Monthly Haver'!D110</f>
        <v>62.557000000000002</v>
      </c>
      <c r="D107" t="e">
        <f>'Monthly Haver'!E110</f>
        <v>#N/A</v>
      </c>
      <c r="E107">
        <f>'Monthly Haver'!G110</f>
        <v>54.343200000000003</v>
      </c>
      <c r="F107">
        <f>'Monthly Haver'!H110</f>
        <v>52.340200000000003</v>
      </c>
      <c r="G107">
        <f>'Monthly Haver'!I110</f>
        <v>48.161499999999997</v>
      </c>
      <c r="H107">
        <f>'Monthly Haver'!J110</f>
        <v>54.342300000000002</v>
      </c>
      <c r="I107">
        <f>GDS_Monthly!O224</f>
        <v>86.325316859920491</v>
      </c>
      <c r="J107">
        <f>GDS_Monthly!D224</f>
        <v>98.766980725624222</v>
      </c>
      <c r="K107">
        <f>GDS_Monthly!AH224</f>
        <v>956.27516149999997</v>
      </c>
      <c r="L107">
        <f>GDS_Monthly!AI224</f>
        <v>913.4647344</v>
      </c>
      <c r="M107">
        <f>GDS_Monthly!N224</f>
        <v>5.4546201096861529</v>
      </c>
      <c r="N107">
        <f>GDS_Monthly!C224</f>
        <v>109.1926029813896</v>
      </c>
      <c r="O107">
        <f>GDS_Monthly!F224</f>
        <v>4.2960386686097154</v>
      </c>
      <c r="P107">
        <f>GDS_Monthly!G224</f>
        <v>4.7677201007736825</v>
      </c>
      <c r="Q107">
        <f>GDS_Monthly!T224</f>
        <v>93.503434863683239</v>
      </c>
      <c r="R107">
        <f>GDS_Monthly!V224</f>
        <v>94.598275848585985</v>
      </c>
      <c r="S107">
        <f>GDS_Monthly!W224</f>
        <v>99.50507120497798</v>
      </c>
      <c r="T107">
        <f>GDS_Monthly!X224</f>
        <v>155.76006856199734</v>
      </c>
      <c r="U107">
        <f>GDS_Monthly!AA224</f>
        <v>104.18451079937019</v>
      </c>
      <c r="V107">
        <f>GDS_Monthly!AC224</f>
        <v>190.30981856727198</v>
      </c>
      <c r="W107">
        <f>GDS_Monthly!AE224</f>
        <v>170.5095510315692</v>
      </c>
      <c r="X107">
        <f>GDS_Monthly!AF224</f>
        <v>103.91533407050261</v>
      </c>
      <c r="Y107">
        <f>OECD!B107</f>
        <v>101.4054</v>
      </c>
      <c r="Z107">
        <f>'Monthly Haver'!K110</f>
        <v>99.582790000000003</v>
      </c>
      <c r="AA107" s="8">
        <f>OECD!C107</f>
        <v>112</v>
      </c>
    </row>
    <row r="108" spans="1:27">
      <c r="A108" t="str">
        <f>'Monthly Haver'!A111</f>
        <v>Nov-2007</v>
      </c>
      <c r="B108">
        <f>'Monthly Haver'!C111</f>
        <v>53.542499999999997</v>
      </c>
      <c r="C108">
        <f>'Monthly Haver'!D111</f>
        <v>66.3279</v>
      </c>
      <c r="D108" t="e">
        <f>'Monthly Haver'!E111</f>
        <v>#N/A</v>
      </c>
      <c r="E108">
        <f>'Monthly Haver'!G111</f>
        <v>53.545999999999999</v>
      </c>
      <c r="F108">
        <f>'Monthly Haver'!H111</f>
        <v>52.352899999999998</v>
      </c>
      <c r="G108">
        <f>'Monthly Haver'!I111</f>
        <v>48.488999999999997</v>
      </c>
      <c r="H108">
        <f>'Monthly Haver'!J111</f>
        <v>54.428100000000001</v>
      </c>
      <c r="I108">
        <f>GDS_Monthly!O225</f>
        <v>87.834192341331757</v>
      </c>
      <c r="J108">
        <f>GDS_Monthly!D225</f>
        <v>99.239978571893474</v>
      </c>
      <c r="K108">
        <f>GDS_Monthly!AH225</f>
        <v>988.2862781</v>
      </c>
      <c r="L108">
        <f>GDS_Monthly!AI225</f>
        <v>944.1957281</v>
      </c>
      <c r="M108">
        <f>GDS_Monthly!N225</f>
        <v>5.3997822480705198</v>
      </c>
      <c r="N108">
        <f>GDS_Monthly!C225</f>
        <v>107.16528663605659</v>
      </c>
      <c r="O108">
        <f>GDS_Monthly!F225</f>
        <v>4.1676548391699226</v>
      </c>
      <c r="P108">
        <f>GDS_Monthly!G225</f>
        <v>4.7719541329355915</v>
      </c>
      <c r="Q108">
        <f>GDS_Monthly!T225</f>
        <v>94.108312319552226</v>
      </c>
      <c r="R108">
        <f>GDS_Monthly!V225</f>
        <v>94.826780805017194</v>
      </c>
      <c r="S108">
        <f>GDS_Monthly!W225</f>
        <v>100.73945632078933</v>
      </c>
      <c r="T108">
        <f>GDS_Monthly!X225</f>
        <v>149.16057138867961</v>
      </c>
      <c r="U108">
        <f>GDS_Monthly!AA225</f>
        <v>104.92802678075215</v>
      </c>
      <c r="V108">
        <f>GDS_Monthly!AC225</f>
        <v>209.49830155318338</v>
      </c>
      <c r="W108">
        <f>GDS_Monthly!AE225</f>
        <v>186.78790244265022</v>
      </c>
      <c r="X108">
        <f>GDS_Monthly!AF225</f>
        <v>106.93441211700718</v>
      </c>
      <c r="Y108">
        <f>OECD!B108</f>
        <v>101.30840000000001</v>
      </c>
      <c r="Z108">
        <f>'Monthly Haver'!K111</f>
        <v>99.743589999999998</v>
      </c>
      <c r="AA108" s="8">
        <f>OECD!C108</f>
        <v>111.49</v>
      </c>
    </row>
    <row r="109" spans="1:27">
      <c r="A109" t="str">
        <f>'Monthly Haver'!A112</f>
        <v>Dec-2007</v>
      </c>
      <c r="B109">
        <f>'Monthly Haver'!C112</f>
        <v>52.851700000000001</v>
      </c>
      <c r="C109">
        <f>'Monthly Haver'!D112</f>
        <v>66.031199999999998</v>
      </c>
      <c r="D109" t="e">
        <f>'Monthly Haver'!E112</f>
        <v>#N/A</v>
      </c>
      <c r="E109">
        <f>'Monthly Haver'!G112</f>
        <v>53.4801</v>
      </c>
      <c r="F109">
        <f>'Monthly Haver'!H112</f>
        <v>51.967100000000002</v>
      </c>
      <c r="G109">
        <f>'Monthly Haver'!I112</f>
        <v>48.086100000000002</v>
      </c>
      <c r="H109">
        <f>'Monthly Haver'!J112</f>
        <v>53.190300000000001</v>
      </c>
      <c r="I109">
        <f>GDS_Monthly!O226</f>
        <v>87.832924337337943</v>
      </c>
      <c r="J109">
        <f>GDS_Monthly!D226</f>
        <v>99.592958052380126</v>
      </c>
      <c r="K109">
        <f>GDS_Monthly!AH226</f>
        <v>984.94349509999995</v>
      </c>
      <c r="L109">
        <f>GDS_Monthly!AI226</f>
        <v>930.08431859999996</v>
      </c>
      <c r="M109">
        <f>GDS_Monthly!N226</f>
        <v>5.4050026232396053</v>
      </c>
      <c r="N109">
        <f>GDS_Monthly!C226</f>
        <v>107.80136352689595</v>
      </c>
      <c r="O109">
        <f>GDS_Monthly!F226</f>
        <v>4.1949543557866695</v>
      </c>
      <c r="P109">
        <f>GDS_Monthly!G226</f>
        <v>4.6805401332924736</v>
      </c>
      <c r="Q109">
        <f>GDS_Monthly!T226</f>
        <v>94.434255995035727</v>
      </c>
      <c r="R109">
        <f>GDS_Monthly!V226</f>
        <v>95.057042507754886</v>
      </c>
      <c r="S109">
        <f>GDS_Monthly!W226</f>
        <v>105.86602389084958</v>
      </c>
      <c r="T109">
        <f>GDS_Monthly!X226</f>
        <v>139.15181692825504</v>
      </c>
      <c r="U109">
        <f>GDS_Monthly!AA226</f>
        <v>105.86023120465512</v>
      </c>
      <c r="V109">
        <f>GDS_Monthly!AC226</f>
        <v>208.06905036631323</v>
      </c>
      <c r="W109">
        <f>GDS_Monthly!AE226</f>
        <v>184.76266474672263</v>
      </c>
      <c r="X109">
        <f>GDS_Monthly!AF226</f>
        <v>106.23043932972784</v>
      </c>
      <c r="Y109">
        <f>OECD!B109</f>
        <v>101.2028</v>
      </c>
      <c r="Z109">
        <f>'Monthly Haver'!K112</f>
        <v>99.654210000000006</v>
      </c>
      <c r="AA109" s="8">
        <f>OECD!C109</f>
        <v>110.37</v>
      </c>
    </row>
    <row r="110" spans="1:27">
      <c r="A110" t="str">
        <f>'Monthly Haver'!A113</f>
        <v>Jan-2008</v>
      </c>
      <c r="B110">
        <f>'Monthly Haver'!C113</f>
        <v>49.251300000000001</v>
      </c>
      <c r="C110">
        <f>'Monthly Haver'!D113</f>
        <v>65.897499999999994</v>
      </c>
      <c r="D110" t="e">
        <f>'Monthly Haver'!E113</f>
        <v>#N/A</v>
      </c>
      <c r="E110">
        <f>'Monthly Haver'!G113</f>
        <v>50.909100000000002</v>
      </c>
      <c r="F110">
        <f>'Monthly Haver'!H113</f>
        <v>52.1113</v>
      </c>
      <c r="G110">
        <f>'Monthly Haver'!I113</f>
        <v>47.884999999999998</v>
      </c>
      <c r="H110">
        <f>'Monthly Haver'!J113</f>
        <v>47.07</v>
      </c>
      <c r="I110">
        <f>GDS_Monthly!O227</f>
        <v>89.025729961806746</v>
      </c>
      <c r="J110">
        <f>GDS_Monthly!D227</f>
        <v>100.48185180047575</v>
      </c>
      <c r="K110">
        <f>GDS_Monthly!AH227</f>
        <v>1041.7425522000001</v>
      </c>
      <c r="L110">
        <f>GDS_Monthly!AI227</f>
        <v>986.69502829999999</v>
      </c>
      <c r="M110">
        <f>GDS_Monthly!N227</f>
        <v>5.4245431417496466</v>
      </c>
      <c r="N110">
        <f>GDS_Monthly!C227</f>
        <v>106.5484008361869</v>
      </c>
      <c r="O110">
        <f>GDS_Monthly!F227</f>
        <v>4.0050805767857822</v>
      </c>
      <c r="P110">
        <f>GDS_Monthly!G227</f>
        <v>4.4453917025044865</v>
      </c>
      <c r="Q110">
        <f>GDS_Monthly!T227</f>
        <v>94.76407019421498</v>
      </c>
      <c r="R110">
        <f>GDS_Monthly!V227</f>
        <v>95.270565286858442</v>
      </c>
      <c r="S110">
        <f>GDS_Monthly!W227</f>
        <v>108.70679203024839</v>
      </c>
      <c r="T110">
        <f>GDS_Monthly!X227</f>
        <v>156.90459660640425</v>
      </c>
      <c r="U110">
        <f>GDS_Monthly!AA227</f>
        <v>112.77809454887336</v>
      </c>
      <c r="V110">
        <f>GDS_Monthly!AC227</f>
        <v>214.72114713596352</v>
      </c>
      <c r="W110">
        <f>GDS_Monthly!AE227</f>
        <v>185.81828713855029</v>
      </c>
      <c r="X110">
        <f>GDS_Monthly!AF227</f>
        <v>110.46637390068403</v>
      </c>
      <c r="Y110">
        <f>OECD!B110</f>
        <v>101.0804</v>
      </c>
      <c r="Z110">
        <f>'Monthly Haver'!K113</f>
        <v>99.137500000000003</v>
      </c>
      <c r="AA110" s="8">
        <f>OECD!C110</f>
        <v>108.92</v>
      </c>
    </row>
    <row r="111" spans="1:27">
      <c r="A111" t="str">
        <f>'Monthly Haver'!A114</f>
        <v>Feb-2008</v>
      </c>
      <c r="B111">
        <f>'Monthly Haver'!C114</f>
        <v>51.509599999999999</v>
      </c>
      <c r="C111">
        <f>'Monthly Haver'!D114</f>
        <v>64.615600000000001</v>
      </c>
      <c r="D111" t="e">
        <f>'Monthly Haver'!E114</f>
        <v>#N/A</v>
      </c>
      <c r="E111">
        <f>'Monthly Haver'!G114</f>
        <v>51.020499999999998</v>
      </c>
      <c r="F111">
        <f>'Monthly Haver'!H114</f>
        <v>50.7361</v>
      </c>
      <c r="G111">
        <f>'Monthly Haver'!I114</f>
        <v>49.334099999999999</v>
      </c>
      <c r="H111">
        <f>'Monthly Haver'!J114</f>
        <v>51.912999999999997</v>
      </c>
      <c r="I111">
        <f>GDS_Monthly!O228</f>
        <v>89.80217597368366</v>
      </c>
      <c r="J111">
        <f>GDS_Monthly!D228</f>
        <v>100.77826420401507</v>
      </c>
      <c r="K111">
        <f>GDS_Monthly!AH228</f>
        <v>1057.5434415</v>
      </c>
      <c r="L111">
        <f>GDS_Monthly!AI228</f>
        <v>999.61042750000001</v>
      </c>
      <c r="M111">
        <f>GDS_Monthly!N228</f>
        <v>5.4436853793266105</v>
      </c>
      <c r="N111">
        <f>GDS_Monthly!C228</f>
        <v>103.87594523232305</v>
      </c>
      <c r="O111">
        <f>GDS_Monthly!F228</f>
        <v>3.9020767063189514</v>
      </c>
      <c r="P111">
        <f>GDS_Monthly!G228</f>
        <v>4.4468506729051471</v>
      </c>
      <c r="Q111">
        <f>GDS_Monthly!T228</f>
        <v>95.155008636149873</v>
      </c>
      <c r="R111">
        <f>GDS_Monthly!V228</f>
        <v>95.441502836701972</v>
      </c>
      <c r="S111">
        <f>GDS_Monthly!W228</f>
        <v>113.95282459371958</v>
      </c>
      <c r="T111">
        <f>GDS_Monthly!X228</f>
        <v>165.5143281829738</v>
      </c>
      <c r="U111">
        <f>GDS_Monthly!AA228</f>
        <v>119.00575175617878</v>
      </c>
      <c r="V111">
        <f>GDS_Monthly!AC228</f>
        <v>222.64527356096184</v>
      </c>
      <c r="W111">
        <f>GDS_Monthly!AE228</f>
        <v>190.64607823870915</v>
      </c>
      <c r="X111">
        <f>GDS_Monthly!AF228</f>
        <v>113.31529977771649</v>
      </c>
      <c r="Y111">
        <f>OECD!B111</f>
        <v>100.9211</v>
      </c>
      <c r="Z111">
        <f>'Monthly Haver'!K114</f>
        <v>98.845200000000006</v>
      </c>
      <c r="AA111" s="8">
        <f>OECD!C111</f>
        <v>107.63</v>
      </c>
    </row>
    <row r="112" spans="1:27">
      <c r="A112" t="str">
        <f>'Monthly Haver'!A115</f>
        <v>Mar-2008</v>
      </c>
      <c r="B112">
        <f>'Monthly Haver'!C115</f>
        <v>50.926400000000001</v>
      </c>
      <c r="C112">
        <f>'Monthly Haver'!D115</f>
        <v>66.756299999999996</v>
      </c>
      <c r="D112" t="e">
        <f>'Monthly Haver'!E115</f>
        <v>#N/A</v>
      </c>
      <c r="E112">
        <f>'Monthly Haver'!G115</f>
        <v>51.279000000000003</v>
      </c>
      <c r="F112">
        <f>'Monthly Haver'!H115</f>
        <v>50.621200000000002</v>
      </c>
      <c r="G112">
        <f>'Monthly Haver'!I115</f>
        <v>49.276400000000002</v>
      </c>
      <c r="H112">
        <f>'Monthly Haver'!J115</f>
        <v>51.481200000000001</v>
      </c>
      <c r="I112">
        <f>GDS_Monthly!O229</f>
        <v>89.713353161771465</v>
      </c>
      <c r="J112">
        <f>GDS_Monthly!D229</f>
        <v>100.20282407170266</v>
      </c>
      <c r="K112">
        <f>GDS_Monthly!AH229</f>
        <v>1056.0461558</v>
      </c>
      <c r="L112">
        <f>GDS_Monthly!AI229</f>
        <v>993.06371160000003</v>
      </c>
      <c r="M112">
        <f>GDS_Monthly!N229</f>
        <v>5.4091852774342479</v>
      </c>
      <c r="N112">
        <f>GDS_Monthly!C229</f>
        <v>101.68546419296588</v>
      </c>
      <c r="O112">
        <f>GDS_Monthly!F229</f>
        <v>3.8611127006893349</v>
      </c>
      <c r="P112">
        <f>GDS_Monthly!G229</f>
        <v>4.2338797479717085</v>
      </c>
      <c r="Q112">
        <f>GDS_Monthly!T229</f>
        <v>95.517600110023309</v>
      </c>
      <c r="R112">
        <f>GDS_Monthly!V229</f>
        <v>95.690418870744026</v>
      </c>
      <c r="S112">
        <f>GDS_Monthly!W229</f>
        <v>119.45768525581845</v>
      </c>
      <c r="T112">
        <f>GDS_Monthly!X229</f>
        <v>174.41412631365205</v>
      </c>
      <c r="U112">
        <f>GDS_Monthly!AA229</f>
        <v>124.71585537645734</v>
      </c>
      <c r="V112">
        <f>GDS_Monthly!AC229</f>
        <v>238.87929169366538</v>
      </c>
      <c r="W112">
        <f>GDS_Monthly!AE229</f>
        <v>202.0515107810248</v>
      </c>
      <c r="X112">
        <f>GDS_Monthly!AF229</f>
        <v>114.99088691549456</v>
      </c>
      <c r="Y112">
        <f>OECD!B112</f>
        <v>100.71810000000001</v>
      </c>
      <c r="Z112">
        <f>'Monthly Haver'!K115</f>
        <v>98.209339999999997</v>
      </c>
      <c r="AA112" s="8">
        <f>OECD!C112</f>
        <v>106.46</v>
      </c>
    </row>
    <row r="113" spans="1:27">
      <c r="A113" t="str">
        <f>'Monthly Haver'!A116</f>
        <v>Apr-2008</v>
      </c>
      <c r="B113">
        <f>'Monthly Haver'!C116</f>
        <v>50.9574</v>
      </c>
      <c r="C113">
        <f>'Monthly Haver'!D116</f>
        <v>67.160700000000006</v>
      </c>
      <c r="D113" t="e">
        <f>'Monthly Haver'!E116</f>
        <v>#N/A</v>
      </c>
      <c r="E113">
        <f>'Monthly Haver'!G116</f>
        <v>52.232100000000003</v>
      </c>
      <c r="F113">
        <f>'Monthly Haver'!H116</f>
        <v>50.121000000000002</v>
      </c>
      <c r="G113">
        <f>'Monthly Haver'!I116</f>
        <v>48.128</v>
      </c>
      <c r="H113">
        <f>'Monthly Haver'!J116</f>
        <v>51.211399999999998</v>
      </c>
      <c r="I113">
        <f>GDS_Monthly!O230</f>
        <v>90.689780699170612</v>
      </c>
      <c r="J113">
        <f>GDS_Monthly!D230</f>
        <v>100.73675432144013</v>
      </c>
      <c r="K113">
        <f>GDS_Monthly!AH230</f>
        <v>1097.7950883000001</v>
      </c>
      <c r="L113">
        <f>GDS_Monthly!AI230</f>
        <v>1037.6568539</v>
      </c>
      <c r="M113">
        <f>GDS_Monthly!N230</f>
        <v>5.3921916672269745</v>
      </c>
      <c r="N113">
        <f>GDS_Monthly!C230</f>
        <v>100.39988833093972</v>
      </c>
      <c r="O113">
        <f>GDS_Monthly!F230</f>
        <v>4.0227934066998055</v>
      </c>
      <c r="P113">
        <f>GDS_Monthly!G230</f>
        <v>4.1631361374892881</v>
      </c>
      <c r="Q113">
        <f>GDS_Monthly!T230</f>
        <v>95.818147300249052</v>
      </c>
      <c r="R113">
        <f>GDS_Monthly!V230</f>
        <v>95.904298904116331</v>
      </c>
      <c r="S113">
        <f>GDS_Monthly!W230</f>
        <v>119.81865853867414</v>
      </c>
      <c r="T113">
        <f>GDS_Monthly!X230</f>
        <v>171.54232437222663</v>
      </c>
      <c r="U113">
        <f>GDS_Monthly!AA230</f>
        <v>123.9777133281454</v>
      </c>
      <c r="V113">
        <f>GDS_Monthly!AC230</f>
        <v>255.73600215522015</v>
      </c>
      <c r="W113">
        <f>GDS_Monthly!AE230</f>
        <v>215.49662091567711</v>
      </c>
      <c r="X113">
        <f>GDS_Monthly!AF230</f>
        <v>114.39744973533264</v>
      </c>
      <c r="Y113">
        <f>OECD!B113</f>
        <v>100.4662</v>
      </c>
      <c r="Z113">
        <f>'Monthly Haver'!K116</f>
        <v>97.912700000000001</v>
      </c>
      <c r="AA113" s="8">
        <f>OECD!C113</f>
        <v>106.05</v>
      </c>
    </row>
    <row r="114" spans="1:27">
      <c r="A114" t="str">
        <f>'Monthly Haver'!A117</f>
        <v>May-2008</v>
      </c>
      <c r="B114">
        <f>'Monthly Haver'!C117</f>
        <v>51.768700000000003</v>
      </c>
      <c r="C114">
        <f>'Monthly Haver'!D117</f>
        <v>68.770099999999999</v>
      </c>
      <c r="D114" t="e">
        <f>'Monthly Haver'!E117</f>
        <v>#N/A</v>
      </c>
      <c r="E114">
        <f>'Monthly Haver'!G117</f>
        <v>50.6937</v>
      </c>
      <c r="F114">
        <f>'Monthly Haver'!H117</f>
        <v>49.976999999999997</v>
      </c>
      <c r="G114">
        <f>'Monthly Haver'!I117</f>
        <v>48.384399999999999</v>
      </c>
      <c r="H114">
        <f>'Monthly Haver'!J117</f>
        <v>51.762599999999999</v>
      </c>
      <c r="I114">
        <f>GDS_Monthly!O231</f>
        <v>91.616053048491182</v>
      </c>
      <c r="J114">
        <f>GDS_Monthly!D231</f>
        <v>99.996543687287982</v>
      </c>
      <c r="K114">
        <f>GDS_Monthly!AH231</f>
        <v>1101.3247885999999</v>
      </c>
      <c r="L114">
        <f>GDS_Monthly!AI231</f>
        <v>1042.0112773000001</v>
      </c>
      <c r="M114">
        <f>GDS_Monthly!N231</f>
        <v>5.4031302735557771</v>
      </c>
      <c r="N114">
        <f>GDS_Monthly!C231</f>
        <v>98.978805605568425</v>
      </c>
      <c r="O114">
        <f>GDS_Monthly!F231</f>
        <v>4.120459719514499</v>
      </c>
      <c r="P114">
        <f>GDS_Monthly!G231</f>
        <v>4.1820835423722347</v>
      </c>
      <c r="Q114">
        <f>GDS_Monthly!T231</f>
        <v>96.360438502041788</v>
      </c>
      <c r="R114">
        <f>GDS_Monthly!V231</f>
        <v>96.119524823824747</v>
      </c>
      <c r="S114">
        <f>GDS_Monthly!W231</f>
        <v>122.03133872741347</v>
      </c>
      <c r="T114">
        <f>GDS_Monthly!X231</f>
        <v>162.70378335905724</v>
      </c>
      <c r="U114">
        <f>GDS_Monthly!AA231</f>
        <v>124.87029972988084</v>
      </c>
      <c r="V114">
        <f>GDS_Monthly!AC231</f>
        <v>283.93702493243239</v>
      </c>
      <c r="W114">
        <f>GDS_Monthly!AE231</f>
        <v>245.10425777964733</v>
      </c>
      <c r="X114">
        <f>GDS_Monthly!AF231</f>
        <v>116.57964881105259</v>
      </c>
      <c r="Y114">
        <f>OECD!B114</f>
        <v>100.154</v>
      </c>
      <c r="Z114">
        <f>'Monthly Haver'!K117</f>
        <v>100.09099999999999</v>
      </c>
      <c r="AA114" s="8">
        <f>OECD!C114</f>
        <v>105.69</v>
      </c>
    </row>
    <row r="115" spans="1:27">
      <c r="A115" t="str">
        <f>'Monthly Haver'!A118</f>
        <v>Jun-2008</v>
      </c>
      <c r="B115">
        <f>'Monthly Haver'!C118</f>
        <v>49.1768</v>
      </c>
      <c r="C115">
        <f>'Monthly Haver'!D118</f>
        <v>71.985699999999994</v>
      </c>
      <c r="D115" t="e">
        <f>'Monthly Haver'!E118</f>
        <v>#N/A</v>
      </c>
      <c r="E115">
        <f>'Monthly Haver'!G118</f>
        <v>49.213200000000001</v>
      </c>
      <c r="F115">
        <f>'Monthly Haver'!H118</f>
        <v>49.219700000000003</v>
      </c>
      <c r="G115">
        <f>'Monthly Haver'!I118</f>
        <v>47.9955</v>
      </c>
      <c r="H115">
        <f>'Monthly Haver'!J118</f>
        <v>49.638100000000001</v>
      </c>
      <c r="I115">
        <f>GDS_Monthly!O232</f>
        <v>91.977315221223137</v>
      </c>
      <c r="J115">
        <f>GDS_Monthly!D232</f>
        <v>100.01020324381633</v>
      </c>
      <c r="K115">
        <f>GDS_Monthly!AH232</f>
        <v>1116.6078929</v>
      </c>
      <c r="L115">
        <f>GDS_Monthly!AI232</f>
        <v>1042.7170134</v>
      </c>
      <c r="M115">
        <f>GDS_Monthly!N232</f>
        <v>5.465108598490259</v>
      </c>
      <c r="N115">
        <f>GDS_Monthly!C232</f>
        <v>96.852971083777518</v>
      </c>
      <c r="O115">
        <f>GDS_Monthly!F232</f>
        <v>4.4899337467665701</v>
      </c>
      <c r="P115">
        <f>GDS_Monthly!G232</f>
        <v>4.2404291493831572</v>
      </c>
      <c r="Q115">
        <f>GDS_Monthly!T232</f>
        <v>97.040030194216172</v>
      </c>
      <c r="R115">
        <f>GDS_Monthly!V232</f>
        <v>96.402326505911134</v>
      </c>
      <c r="S115">
        <f>GDS_Monthly!W232</f>
        <v>124.85010634858104</v>
      </c>
      <c r="T115">
        <f>GDS_Monthly!X232</f>
        <v>157.12571848642389</v>
      </c>
      <c r="U115">
        <f>GDS_Monthly!AA232</f>
        <v>125.86841277874672</v>
      </c>
      <c r="V115">
        <f>GDS_Monthly!AC232</f>
        <v>306.17767521243525</v>
      </c>
      <c r="W115">
        <f>GDS_Monthly!AE232</f>
        <v>263.4862519225976</v>
      </c>
      <c r="X115">
        <f>GDS_Monthly!AF232</f>
        <v>118.31227892556521</v>
      </c>
      <c r="Y115">
        <f>OECD!B115</f>
        <v>99.768230000000003</v>
      </c>
      <c r="Z115">
        <f>'Monthly Haver'!K118</f>
        <v>101.09206</v>
      </c>
      <c r="AA115" s="8">
        <f>OECD!C115</f>
        <v>104.77</v>
      </c>
    </row>
    <row r="116" spans="1:27">
      <c r="A116" t="str">
        <f>'Monthly Haver'!A119</f>
        <v>Jul-2008</v>
      </c>
      <c r="B116">
        <f>'Monthly Haver'!C119</f>
        <v>48.3611</v>
      </c>
      <c r="C116">
        <f>'Monthly Haver'!D119</f>
        <v>71.462100000000007</v>
      </c>
      <c r="D116" t="e">
        <f>'Monthly Haver'!E119</f>
        <v>#N/A</v>
      </c>
      <c r="E116">
        <f>'Monthly Haver'!G119</f>
        <v>50.066699999999997</v>
      </c>
      <c r="F116">
        <f>'Monthly Haver'!H119</f>
        <v>49.071599999999997</v>
      </c>
      <c r="G116">
        <f>'Monthly Haver'!I119</f>
        <v>48.357900000000001</v>
      </c>
      <c r="H116">
        <f>'Monthly Haver'!J119</f>
        <v>49.075800000000001</v>
      </c>
      <c r="I116">
        <f>GDS_Monthly!O233</f>
        <v>92.586319534443675</v>
      </c>
      <c r="J116">
        <f>GDS_Monthly!D233</f>
        <v>99.581599811302297</v>
      </c>
      <c r="K116">
        <f>GDS_Monthly!AH233</f>
        <v>1161.1156352</v>
      </c>
      <c r="L116">
        <f>GDS_Monthly!AI233</f>
        <v>1078.8545856999999</v>
      </c>
      <c r="M116">
        <f>GDS_Monthly!N233</f>
        <v>5.5461752537809623</v>
      </c>
      <c r="N116">
        <f>GDS_Monthly!C233</f>
        <v>96.373957747298775</v>
      </c>
      <c r="O116">
        <f>GDS_Monthly!F233</f>
        <v>4.4631712467239577</v>
      </c>
      <c r="P116">
        <f>GDS_Monthly!G233</f>
        <v>4.3512044832699859</v>
      </c>
      <c r="Q116">
        <f>GDS_Monthly!T233</f>
        <v>97.560144108474361</v>
      </c>
      <c r="R116">
        <f>GDS_Monthly!V233</f>
        <v>96.642702172836906</v>
      </c>
      <c r="S116">
        <f>GDS_Monthly!W233</f>
        <v>124.28353753651147</v>
      </c>
      <c r="T116">
        <f>GDS_Monthly!X233</f>
        <v>155.87361969045165</v>
      </c>
      <c r="U116">
        <f>GDS_Monthly!AA233</f>
        <v>127.01748748394523</v>
      </c>
      <c r="V116">
        <f>GDS_Monthly!AC233</f>
        <v>312.41315865125608</v>
      </c>
      <c r="W116">
        <f>GDS_Monthly!AE233</f>
        <v>264.61303157572996</v>
      </c>
      <c r="X116">
        <f>GDS_Monthly!AF233</f>
        <v>120.57057682295309</v>
      </c>
      <c r="Y116">
        <f>OECD!B116</f>
        <v>99.290980000000005</v>
      </c>
      <c r="Z116">
        <f>'Monthly Haver'!K119</f>
        <v>101.29934</v>
      </c>
      <c r="AA116" s="8">
        <f>OECD!C116</f>
        <v>102.81</v>
      </c>
    </row>
    <row r="117" spans="1:27">
      <c r="A117" t="str">
        <f>'Monthly Haver'!A120</f>
        <v>Aug-2008</v>
      </c>
      <c r="B117">
        <f>'Monthly Haver'!C120</f>
        <v>49.003799999999998</v>
      </c>
      <c r="C117">
        <f>'Monthly Haver'!D120</f>
        <v>67.569199999999995</v>
      </c>
      <c r="D117" t="e">
        <f>'Monthly Haver'!E120</f>
        <v>#N/A</v>
      </c>
      <c r="E117">
        <f>'Monthly Haver'!G120</f>
        <v>49.183799999999998</v>
      </c>
      <c r="F117">
        <f>'Monthly Haver'!H120</f>
        <v>48.035800000000002</v>
      </c>
      <c r="G117">
        <f>'Monthly Haver'!I120</f>
        <v>48.485300000000002</v>
      </c>
      <c r="H117">
        <f>'Monthly Haver'!J120</f>
        <v>49.099800000000002</v>
      </c>
      <c r="I117">
        <f>GDS_Monthly!O234</f>
        <v>92.650378816542172</v>
      </c>
      <c r="J117">
        <f>GDS_Monthly!D234</f>
        <v>98.736726871875632</v>
      </c>
      <c r="K117">
        <f>GDS_Monthly!AH234</f>
        <v>1104.5746288</v>
      </c>
      <c r="L117">
        <f>GDS_Monthly!AI234</f>
        <v>1033.9926900999999</v>
      </c>
      <c r="M117">
        <f>GDS_Monthly!N234</f>
        <v>5.5525811465134867</v>
      </c>
      <c r="N117">
        <f>GDS_Monthly!C234</f>
        <v>97.922939101220976</v>
      </c>
      <c r="O117">
        <f>GDS_Monthly!F234</f>
        <v>4.2236197208929669</v>
      </c>
      <c r="P117">
        <f>GDS_Monthly!G234</f>
        <v>4.3729217931932673</v>
      </c>
      <c r="Q117">
        <f>GDS_Monthly!T234</f>
        <v>97.578003663894677</v>
      </c>
      <c r="R117">
        <f>GDS_Monthly!V234</f>
        <v>96.864822029431664</v>
      </c>
      <c r="S117">
        <f>GDS_Monthly!W234</f>
        <v>114.76682658715519</v>
      </c>
      <c r="T117">
        <f>GDS_Monthly!X234</f>
        <v>146.08512797890981</v>
      </c>
      <c r="U117">
        <f>GDS_Monthly!AA234</f>
        <v>118.71423457401347</v>
      </c>
      <c r="V117">
        <f>GDS_Monthly!AC234</f>
        <v>271.33921529158187</v>
      </c>
      <c r="W117">
        <f>GDS_Monthly!AE234</f>
        <v>234.58091184477757</v>
      </c>
      <c r="X117">
        <f>GDS_Monthly!AF234</f>
        <v>115.22431731999292</v>
      </c>
      <c r="Y117">
        <f>OECD!B117</f>
        <v>98.711330000000004</v>
      </c>
      <c r="Z117">
        <f>'Monthly Haver'!K120</f>
        <v>100.98174</v>
      </c>
      <c r="AA117" s="8">
        <f>OECD!C117</f>
        <v>100.75</v>
      </c>
    </row>
    <row r="118" spans="1:27">
      <c r="A118" t="str">
        <f>'Monthly Haver'!A121</f>
        <v>Sep-2008</v>
      </c>
      <c r="B118">
        <f>'Monthly Haver'!C121</f>
        <v>47.182299999999998</v>
      </c>
      <c r="C118">
        <f>'Monthly Haver'!D121</f>
        <v>62.583799999999997</v>
      </c>
      <c r="D118" t="e">
        <f>'Monthly Haver'!E121</f>
        <v>#N/A</v>
      </c>
      <c r="E118">
        <f>'Monthly Haver'!G121</f>
        <v>48.085900000000002</v>
      </c>
      <c r="F118">
        <f>'Monthly Haver'!H121</f>
        <v>45.090400000000002</v>
      </c>
      <c r="G118">
        <f>'Monthly Haver'!I121</f>
        <v>48.416499999999999</v>
      </c>
      <c r="H118">
        <f>'Monthly Haver'!J121</f>
        <v>48.2654</v>
      </c>
      <c r="I118">
        <f>GDS_Monthly!O235</f>
        <v>92.96059189898628</v>
      </c>
      <c r="J118">
        <f>GDS_Monthly!D235</f>
        <v>97.864603034490017</v>
      </c>
      <c r="K118">
        <f>GDS_Monthly!AH235</f>
        <v>1070.6298061</v>
      </c>
      <c r="L118">
        <f>GDS_Monthly!AI235</f>
        <v>999.55721270000004</v>
      </c>
      <c r="M118">
        <f>GDS_Monthly!N235</f>
        <v>5.5770288109544701</v>
      </c>
      <c r="N118">
        <f>GDS_Monthly!C235</f>
        <v>98.690463859221296</v>
      </c>
      <c r="O118">
        <f>GDS_Monthly!F235</f>
        <v>4.0260955547394426</v>
      </c>
      <c r="P118">
        <f>GDS_Monthly!G235</f>
        <v>4.3866054423218399</v>
      </c>
      <c r="Q118">
        <f>GDS_Monthly!T235</f>
        <v>97.740431258420742</v>
      </c>
      <c r="R118">
        <f>GDS_Monthly!V235</f>
        <v>97.054648094326794</v>
      </c>
      <c r="S118">
        <f>GDS_Monthly!W235</f>
        <v>106.98236803401105</v>
      </c>
      <c r="T118">
        <f>GDS_Monthly!X235</f>
        <v>138.06631849609261</v>
      </c>
      <c r="U118">
        <f>GDS_Monthly!AA235</f>
        <v>112.60257644362527</v>
      </c>
      <c r="V118">
        <f>GDS_Monthly!AC235</f>
        <v>243.03659644720719</v>
      </c>
      <c r="W118">
        <f>GDS_Monthly!AE235</f>
        <v>208.16165482578813</v>
      </c>
      <c r="X118">
        <f>GDS_Monthly!AF235</f>
        <v>113.36478485150239</v>
      </c>
      <c r="Y118">
        <f>OECD!B118</f>
        <v>98.036019999999994</v>
      </c>
      <c r="Z118">
        <f>'Monthly Haver'!K121</f>
        <v>102.6572</v>
      </c>
      <c r="AA118" s="8">
        <f>OECD!C118</f>
        <v>95.96</v>
      </c>
    </row>
    <row r="119" spans="1:27">
      <c r="A119" t="str">
        <f>'Monthly Haver'!A122</f>
        <v>Oct-2008</v>
      </c>
      <c r="B119">
        <f>'Monthly Haver'!C122</f>
        <v>42.259399999999999</v>
      </c>
      <c r="C119">
        <f>'Monthly Haver'!D122</f>
        <v>53.386099999999999</v>
      </c>
      <c r="D119" t="e">
        <f>'Monthly Haver'!E122</f>
        <v>#N/A</v>
      </c>
      <c r="E119">
        <f>'Monthly Haver'!G122</f>
        <v>46.3964</v>
      </c>
      <c r="F119">
        <f>'Monthly Haver'!H122</f>
        <v>41.066600000000001</v>
      </c>
      <c r="G119">
        <f>'Monthly Haver'!I122</f>
        <v>49.233800000000002</v>
      </c>
      <c r="H119">
        <f>'Monthly Haver'!J122</f>
        <v>43.691099999999999</v>
      </c>
      <c r="I119">
        <f>GDS_Monthly!O236</f>
        <v>92.13697461106365</v>
      </c>
      <c r="J119">
        <f>GDS_Monthly!D236</f>
        <v>96.667415974864923</v>
      </c>
      <c r="K119">
        <f>GDS_Monthly!AH236</f>
        <v>1000.8265318</v>
      </c>
      <c r="L119">
        <f>GDS_Monthly!AI236</f>
        <v>932.63367410000001</v>
      </c>
      <c r="M119">
        <f>GDS_Monthly!N236</f>
        <v>5.7011815526771539</v>
      </c>
      <c r="N119">
        <f>GDS_Monthly!C236</f>
        <v>93.220049606248082</v>
      </c>
      <c r="O119">
        <f>GDS_Monthly!F236</f>
        <v>4.0977595258624291</v>
      </c>
      <c r="P119">
        <f>GDS_Monthly!G236</f>
        <v>3.8450728629595781</v>
      </c>
      <c r="Q119">
        <f>GDS_Monthly!T236</f>
        <v>97.564550518700401</v>
      </c>
      <c r="R119">
        <f>GDS_Monthly!V236</f>
        <v>97.223722314219231</v>
      </c>
      <c r="S119">
        <f>GDS_Monthly!W236</f>
        <v>94.016711382411344</v>
      </c>
      <c r="T119">
        <f>GDS_Monthly!X236</f>
        <v>110.79832496067742</v>
      </c>
      <c r="U119">
        <f>GDS_Monthly!AA236</f>
        <v>97.265989964035271</v>
      </c>
      <c r="V119">
        <f>GDS_Monthly!AC236</f>
        <v>191.15301369629159</v>
      </c>
      <c r="W119">
        <f>GDS_Monthly!AE236</f>
        <v>155.61761826100266</v>
      </c>
      <c r="X119">
        <f>GDS_Monthly!AF236</f>
        <v>100.85777631729896</v>
      </c>
      <c r="Y119">
        <f>OECD!B119</f>
        <v>97.310040000000001</v>
      </c>
      <c r="Z119">
        <f>'Monthly Haver'!K122</f>
        <v>104.64546</v>
      </c>
      <c r="AA119" s="8">
        <f>OECD!C119</f>
        <v>94.67</v>
      </c>
    </row>
    <row r="120" spans="1:27">
      <c r="A120" t="str">
        <f>'Monthly Haver'!A123</f>
        <v>Nov-2008</v>
      </c>
      <c r="B120">
        <f>'Monthly Haver'!C123</f>
        <v>36.398400000000002</v>
      </c>
      <c r="C120">
        <f>'Monthly Haver'!D123</f>
        <v>42.786200000000001</v>
      </c>
      <c r="D120" t="e">
        <f>'Monthly Haver'!E123</f>
        <v>#N/A</v>
      </c>
      <c r="E120">
        <f>'Monthly Haver'!G123</f>
        <v>41.451599999999999</v>
      </c>
      <c r="F120">
        <f>'Monthly Haver'!H123</f>
        <v>36.841099999999997</v>
      </c>
      <c r="G120">
        <f>'Monthly Haver'!I123</f>
        <v>47.883499999999998</v>
      </c>
      <c r="H120">
        <f>'Monthly Haver'!J123</f>
        <v>37.786999999999999</v>
      </c>
      <c r="I120">
        <f>GDS_Monthly!O237</f>
        <v>91.016975683422785</v>
      </c>
      <c r="J120">
        <f>GDS_Monthly!D237</f>
        <v>93.269714416821586</v>
      </c>
      <c r="K120">
        <f>GDS_Monthly!AH237</f>
        <v>871.0361762</v>
      </c>
      <c r="L120">
        <f>GDS_Monthly!AI237</f>
        <v>821.38025900000002</v>
      </c>
      <c r="M120">
        <f>GDS_Monthly!N237</f>
        <v>5.8204150995634318</v>
      </c>
      <c r="N120">
        <f>GDS_Monthly!C237</f>
        <v>94.053247148638405</v>
      </c>
      <c r="O120">
        <f>GDS_Monthly!F237</f>
        <v>3.9116514941026566</v>
      </c>
      <c r="P120">
        <f>GDS_Monthly!G237</f>
        <v>3.5636466639527034</v>
      </c>
      <c r="Q120">
        <f>GDS_Monthly!T237</f>
        <v>96.959503739896263</v>
      </c>
      <c r="R120">
        <f>GDS_Monthly!V237</f>
        <v>97.365581745603308</v>
      </c>
      <c r="S120">
        <f>GDS_Monthly!W237</f>
        <v>88.265262039617809</v>
      </c>
      <c r="T120">
        <f>GDS_Monthly!X237</f>
        <v>98.339228187001169</v>
      </c>
      <c r="U120">
        <f>GDS_Monthly!AA237</f>
        <v>89.161341826541374</v>
      </c>
      <c r="V120">
        <f>GDS_Monthly!AC237</f>
        <v>152.56049696935753</v>
      </c>
      <c r="W120">
        <f>GDS_Monthly!AE237</f>
        <v>117.93118001631683</v>
      </c>
      <c r="X120">
        <f>GDS_Monthly!AF237</f>
        <v>96.698727556610976</v>
      </c>
      <c r="Y120">
        <f>OECD!B120</f>
        <v>96.628969999999995</v>
      </c>
      <c r="Z120">
        <f>'Monthly Haver'!K123</f>
        <v>104.30476</v>
      </c>
      <c r="AA120" s="8">
        <f>OECD!C120</f>
        <v>90.74</v>
      </c>
    </row>
    <row r="121" spans="1:27">
      <c r="A121" t="str">
        <f>'Monthly Haver'!A124</f>
        <v>Dec-2008</v>
      </c>
      <c r="B121">
        <f>'Monthly Haver'!C124</f>
        <v>36.593899999999998</v>
      </c>
      <c r="C121">
        <f>'Monthly Haver'!D124</f>
        <v>40.371000000000002</v>
      </c>
      <c r="D121" t="e">
        <f>'Monthly Haver'!E124</f>
        <v>#N/A</v>
      </c>
      <c r="E121">
        <f>'Monthly Haver'!G124</f>
        <v>41.687600000000003</v>
      </c>
      <c r="F121">
        <f>'Monthly Haver'!H124</f>
        <v>33.8279</v>
      </c>
      <c r="G121">
        <f>'Monthly Haver'!I124</f>
        <v>48.249000000000002</v>
      </c>
      <c r="H121">
        <f>'Monthly Haver'!J124</f>
        <v>39.718299999999999</v>
      </c>
      <c r="I121">
        <f>GDS_Monthly!O238</f>
        <v>89.988905331025734</v>
      </c>
      <c r="J121">
        <f>GDS_Monthly!D238</f>
        <v>90.598257373059127</v>
      </c>
      <c r="K121">
        <f>GDS_Monthly!AH238</f>
        <v>814.22904979999998</v>
      </c>
      <c r="L121">
        <f>GDS_Monthly!AI238</f>
        <v>774.54949450000004</v>
      </c>
      <c r="M121">
        <f>GDS_Monthly!N238</f>
        <v>5.9474909659795649</v>
      </c>
      <c r="N121">
        <f>GDS_Monthly!C238</f>
        <v>92.585435882756471</v>
      </c>
      <c r="O121">
        <f>GDS_Monthly!F238</f>
        <v>3.2113594199215276</v>
      </c>
      <c r="P121">
        <f>GDS_Monthly!G238</f>
        <v>2.8746282490807147</v>
      </c>
      <c r="Q121">
        <f>GDS_Monthly!T238</f>
        <v>96.552219639404413</v>
      </c>
      <c r="R121">
        <f>GDS_Monthly!V238</f>
        <v>97.400818517998175</v>
      </c>
      <c r="S121">
        <f>GDS_Monthly!W238</f>
        <v>87.855813890906276</v>
      </c>
      <c r="T121">
        <f>GDS_Monthly!X238</f>
        <v>94.042542386034057</v>
      </c>
      <c r="U121">
        <f>GDS_Monthly!AA238</f>
        <v>87.078059773386215</v>
      </c>
      <c r="V121">
        <f>GDS_Monthly!AC238</f>
        <v>124.84089862582108</v>
      </c>
      <c r="W121">
        <f>GDS_Monthly!AE238</f>
        <v>87.287278548048107</v>
      </c>
      <c r="X121">
        <f>GDS_Monthly!AF238</f>
        <v>88.601787507355539</v>
      </c>
      <c r="Y121">
        <f>OECD!B121</f>
        <v>96.083500000000001</v>
      </c>
      <c r="Z121">
        <f>'Monthly Haver'!K124</f>
        <v>101.38162</v>
      </c>
      <c r="AA121" s="8">
        <f>OECD!C121</f>
        <v>87.89</v>
      </c>
    </row>
    <row r="122" spans="1:27">
      <c r="A122" t="str">
        <f>'Monthly Haver'!A125</f>
        <v>Jan-2009</v>
      </c>
      <c r="B122">
        <f>'Monthly Haver'!C125</f>
        <v>38.314399999999999</v>
      </c>
      <c r="C122">
        <f>'Monthly Haver'!D125</f>
        <v>42.555700000000002</v>
      </c>
      <c r="D122" t="e">
        <f>'Monthly Haver'!E125</f>
        <v>#N/A</v>
      </c>
      <c r="E122">
        <f>'Monthly Haver'!G125</f>
        <v>41.766300000000001</v>
      </c>
      <c r="F122">
        <f>'Monthly Haver'!H125</f>
        <v>35.180700000000002</v>
      </c>
      <c r="G122">
        <f>'Monthly Haver'!I125</f>
        <v>44.977899999999998</v>
      </c>
      <c r="H122">
        <f>'Monthly Haver'!J125</f>
        <v>41.937600000000003</v>
      </c>
      <c r="I122">
        <f>GDS_Monthly!O239</f>
        <v>90.452799522193729</v>
      </c>
      <c r="J122">
        <f>GDS_Monthly!D239</f>
        <v>88.322896087831211</v>
      </c>
      <c r="K122">
        <f>GDS_Monthly!AH239</f>
        <v>750.13803710000002</v>
      </c>
      <c r="L122">
        <f>GDS_Monthly!AI239</f>
        <v>715.12443580000001</v>
      </c>
      <c r="M122">
        <f>GDS_Monthly!N239</f>
        <v>6.1487387700913922</v>
      </c>
      <c r="N122">
        <f>GDS_Monthly!C239</f>
        <v>92.317451223578644</v>
      </c>
      <c r="O122">
        <f>GDS_Monthly!F239</f>
        <v>3.2236337583169985</v>
      </c>
      <c r="P122">
        <f>GDS_Monthly!G239</f>
        <v>2.7473890659051481</v>
      </c>
      <c r="Q122">
        <f>GDS_Monthly!T239</f>
        <v>96.641370196040455</v>
      </c>
      <c r="R122">
        <f>GDS_Monthly!V239</f>
        <v>97.536569261766871</v>
      </c>
      <c r="S122">
        <f>GDS_Monthly!W239</f>
        <v>88.878125134888819</v>
      </c>
      <c r="T122">
        <f>GDS_Monthly!X239</f>
        <v>97.936213277689774</v>
      </c>
      <c r="U122">
        <f>GDS_Monthly!AA239</f>
        <v>89.967526944986332</v>
      </c>
      <c r="V122">
        <f>GDS_Monthly!AC239</f>
        <v>127.65047562157382</v>
      </c>
      <c r="W122">
        <f>GDS_Monthly!AE239</f>
        <v>93.859433971331484</v>
      </c>
      <c r="X122">
        <f>GDS_Monthly!AF239</f>
        <v>92.05137498153708</v>
      </c>
      <c r="Y122">
        <f>OECD!B122</f>
        <v>95.729100000000003</v>
      </c>
      <c r="Z122">
        <f>'Monthly Haver'!K125</f>
        <v>102.84021</v>
      </c>
      <c r="AA122" s="8">
        <f>OECD!C122</f>
        <v>87.57</v>
      </c>
    </row>
    <row r="123" spans="1:27">
      <c r="A123" t="str">
        <f>'Monthly Haver'!A126</f>
        <v>Feb-2009</v>
      </c>
      <c r="B123">
        <f>'Monthly Haver'!C126</f>
        <v>38.3812</v>
      </c>
      <c r="C123">
        <f>'Monthly Haver'!D126</f>
        <v>44.731299999999997</v>
      </c>
      <c r="D123" t="e">
        <f>'Monthly Haver'!E126</f>
        <v>#N/A</v>
      </c>
      <c r="E123">
        <f>'Monthly Haver'!G126</f>
        <v>41.247700000000002</v>
      </c>
      <c r="F123">
        <f>'Monthly Haver'!H126</f>
        <v>36.674199999999999</v>
      </c>
      <c r="G123">
        <f>'Monthly Haver'!I126</f>
        <v>44.197800000000001</v>
      </c>
      <c r="H123">
        <f>'Monthly Haver'!J126</f>
        <v>39.996099999999998</v>
      </c>
      <c r="I123">
        <f>GDS_Monthly!O240</f>
        <v>90.292285294426961</v>
      </c>
      <c r="J123">
        <f>GDS_Monthly!D240</f>
        <v>88.024543307015392</v>
      </c>
      <c r="K123">
        <f>GDS_Monthly!AH240</f>
        <v>712.74341019999997</v>
      </c>
      <c r="L123">
        <f>GDS_Monthly!AI240</f>
        <v>695.49628810000002</v>
      </c>
      <c r="M123">
        <f>GDS_Monthly!N240</f>
        <v>6.2703081356234582</v>
      </c>
      <c r="N123">
        <f>GDS_Monthly!C240</f>
        <v>89.995422439020516</v>
      </c>
      <c r="O123">
        <f>GDS_Monthly!F240</f>
        <v>3.5418229141710977</v>
      </c>
      <c r="P123">
        <f>GDS_Monthly!G240</f>
        <v>2.6475928338195462</v>
      </c>
      <c r="Q123">
        <f>GDS_Monthly!T240</f>
        <v>96.912163936485712</v>
      </c>
      <c r="R123">
        <f>GDS_Monthly!V240</f>
        <v>97.765482817488021</v>
      </c>
      <c r="S123">
        <f>GDS_Monthly!W240</f>
        <v>85.039441215754252</v>
      </c>
      <c r="T123">
        <f>GDS_Monthly!X240</f>
        <v>96.884384579203314</v>
      </c>
      <c r="U123">
        <f>GDS_Monthly!AA240</f>
        <v>89.407529289479854</v>
      </c>
      <c r="V123">
        <f>GDS_Monthly!AC240</f>
        <v>119.32561636507788</v>
      </c>
      <c r="W123">
        <f>GDS_Monthly!AE240</f>
        <v>91.374853432389884</v>
      </c>
      <c r="X123">
        <f>GDS_Monthly!AF240</f>
        <v>89.060320410256807</v>
      </c>
      <c r="Y123">
        <f>OECD!B123</f>
        <v>95.59872</v>
      </c>
      <c r="Z123">
        <f>'Monthly Haver'!K126</f>
        <v>104.54483999999999</v>
      </c>
      <c r="AA123" s="8">
        <f>OECD!C123</f>
        <v>86.81</v>
      </c>
    </row>
    <row r="124" spans="1:27">
      <c r="A124" t="str">
        <f>'Monthly Haver'!A127</f>
        <v>Mar-2009</v>
      </c>
      <c r="B124">
        <f>'Monthly Haver'!C127</f>
        <v>38.896700000000003</v>
      </c>
      <c r="C124">
        <f>'Monthly Haver'!D127</f>
        <v>41.320500000000003</v>
      </c>
      <c r="D124" t="e">
        <f>'Monthly Haver'!E127</f>
        <v>#N/A</v>
      </c>
      <c r="E124">
        <f>'Monthly Haver'!G127</f>
        <v>39.963099999999997</v>
      </c>
      <c r="F124">
        <f>'Monthly Haver'!H127</f>
        <v>38.312100000000001</v>
      </c>
      <c r="G124">
        <f>'Monthly Haver'!I127</f>
        <v>44.233600000000003</v>
      </c>
      <c r="H124">
        <f>'Monthly Haver'!J127</f>
        <v>41.85</v>
      </c>
      <c r="I124">
        <f>GDS_Monthly!O241</f>
        <v>90.049743484687866</v>
      </c>
      <c r="J124">
        <f>GDS_Monthly!D241</f>
        <v>88.245396247506804</v>
      </c>
      <c r="K124">
        <f>GDS_Monthly!AH241</f>
        <v>713.0606325</v>
      </c>
      <c r="L124">
        <f>GDS_Monthly!AI241</f>
        <v>701.9353413</v>
      </c>
      <c r="M124">
        <f>GDS_Monthly!N241</f>
        <v>6.3724984776230746</v>
      </c>
      <c r="N124">
        <f>GDS_Monthly!C241</f>
        <v>90.362332406507178</v>
      </c>
      <c r="O124">
        <f>GDS_Monthly!F241</f>
        <v>3.4845989792190495</v>
      </c>
      <c r="P124">
        <f>GDS_Monthly!G241</f>
        <v>2.3656197153971172</v>
      </c>
      <c r="Q124">
        <f>GDS_Monthly!T241</f>
        <v>96.914487988396161</v>
      </c>
      <c r="R124">
        <f>GDS_Monthly!V241</f>
        <v>97.914603408041316</v>
      </c>
      <c r="S124">
        <f>GDS_Monthly!W241</f>
        <v>86.548451028439914</v>
      </c>
      <c r="T124">
        <f>GDS_Monthly!X241</f>
        <v>92.759414291668435</v>
      </c>
      <c r="U124">
        <f>GDS_Monthly!AA241</f>
        <v>88.729041253626065</v>
      </c>
      <c r="V124">
        <f>GDS_Monthly!AC241</f>
        <v>120.35808380008486</v>
      </c>
      <c r="W124">
        <f>GDS_Monthly!AE241</f>
        <v>102.36449590939897</v>
      </c>
      <c r="X124">
        <f>GDS_Monthly!AF241</f>
        <v>85.963628241602848</v>
      </c>
      <c r="Y124">
        <f>OECD!B124</f>
        <v>95.705460000000002</v>
      </c>
      <c r="Z124">
        <f>'Monthly Haver'!K127</f>
        <v>104.05119000000001</v>
      </c>
      <c r="AA124" s="8">
        <f>OECD!C124</f>
        <v>85.67</v>
      </c>
    </row>
    <row r="125" spans="1:27">
      <c r="A125" t="str">
        <f>'Monthly Haver'!A128</f>
        <v>Apr-2009</v>
      </c>
      <c r="B125">
        <f>'Monthly Haver'!C128</f>
        <v>45.292099999999998</v>
      </c>
      <c r="C125">
        <f>'Monthly Haver'!D128</f>
        <v>42.653100000000002</v>
      </c>
      <c r="D125" t="e">
        <f>'Monthly Haver'!E128</f>
        <v>#N/A</v>
      </c>
      <c r="E125">
        <f>'Monthly Haver'!G128</f>
        <v>42.520499999999998</v>
      </c>
      <c r="F125">
        <f>'Monthly Haver'!H128</f>
        <v>42.628900000000002</v>
      </c>
      <c r="G125">
        <f>'Monthly Haver'!I128</f>
        <v>44.800600000000003</v>
      </c>
      <c r="H125">
        <f>'Monthly Haver'!J128</f>
        <v>44.602400000000003</v>
      </c>
      <c r="I125">
        <f>GDS_Monthly!O242</f>
        <v>90.913651470447604</v>
      </c>
      <c r="J125">
        <f>GDS_Monthly!D242</f>
        <v>88.863135357315144</v>
      </c>
      <c r="K125">
        <f>GDS_Monthly!AH242</f>
        <v>724.80766119999998</v>
      </c>
      <c r="L125">
        <f>GDS_Monthly!AI242</f>
        <v>708.46351449999997</v>
      </c>
      <c r="M125">
        <f>GDS_Monthly!N242</f>
        <v>6.4491513916748353</v>
      </c>
      <c r="N125">
        <f>GDS_Monthly!C242</f>
        <v>93.643478608462146</v>
      </c>
      <c r="O125">
        <f>GDS_Monthly!F242</f>
        <v>3.4117836813638682</v>
      </c>
      <c r="P125">
        <f>GDS_Monthly!G242</f>
        <v>2.201982060498644</v>
      </c>
      <c r="Q125">
        <f>GDS_Monthly!T242</f>
        <v>97.017801050180779</v>
      </c>
      <c r="R125">
        <f>GDS_Monthly!V242</f>
        <v>98.061459059804051</v>
      </c>
      <c r="S125">
        <f>GDS_Monthly!W242</f>
        <v>92.763878301763427</v>
      </c>
      <c r="T125">
        <f>GDS_Monthly!X242</f>
        <v>98.17178876409865</v>
      </c>
      <c r="U125">
        <f>GDS_Monthly!AA242</f>
        <v>91.896240532526278</v>
      </c>
      <c r="V125">
        <f>GDS_Monthly!AC242</f>
        <v>121.18461042624591</v>
      </c>
      <c r="W125">
        <f>GDS_Monthly!AE242</f>
        <v>109.58141600658973</v>
      </c>
      <c r="X125">
        <f>GDS_Monthly!AF242</f>
        <v>89.335810658105032</v>
      </c>
      <c r="Y125">
        <f>OECD!B125</f>
        <v>96.029359999999997</v>
      </c>
      <c r="Z125">
        <f>'Monthly Haver'!K128</f>
        <v>101.93371999999999</v>
      </c>
      <c r="AA125" s="8">
        <f>OECD!C125</f>
        <v>86.96</v>
      </c>
    </row>
    <row r="126" spans="1:27">
      <c r="A126" t="str">
        <f>'Monthly Haver'!A129</f>
        <v>May-2009</v>
      </c>
      <c r="B126">
        <f>'Monthly Haver'!C129</f>
        <v>46.722200000000001</v>
      </c>
      <c r="C126">
        <f>'Monthly Haver'!D129</f>
        <v>46.134399999999999</v>
      </c>
      <c r="D126" t="e">
        <f>'Monthly Haver'!E129</f>
        <v>#N/A</v>
      </c>
      <c r="E126">
        <f>'Monthly Haver'!G129</f>
        <v>43.325699999999998</v>
      </c>
      <c r="F126">
        <f>'Monthly Haver'!H129</f>
        <v>45.511899999999997</v>
      </c>
      <c r="G126">
        <f>'Monthly Haver'!I129</f>
        <v>43.578099999999999</v>
      </c>
      <c r="H126">
        <f>'Monthly Haver'!J129</f>
        <v>44.625100000000003</v>
      </c>
      <c r="I126">
        <f>GDS_Monthly!O243</f>
        <v>91.163663506935023</v>
      </c>
      <c r="J126">
        <f>GDS_Monthly!D243</f>
        <v>89.591949581614671</v>
      </c>
      <c r="K126">
        <f>GDS_Monthly!AH243</f>
        <v>722.98596450000002</v>
      </c>
      <c r="L126">
        <f>GDS_Monthly!AI243</f>
        <v>713.65002719999995</v>
      </c>
      <c r="M126">
        <f>GDS_Monthly!N243</f>
        <v>6.5210187505848163</v>
      </c>
      <c r="N126">
        <f>GDS_Monthly!C243</f>
        <v>96.995300310869766</v>
      </c>
      <c r="O126">
        <f>GDS_Monthly!F243</f>
        <v>3.7071135369849499</v>
      </c>
      <c r="P126">
        <f>GDS_Monthly!G243</f>
        <v>2.0751336869123169</v>
      </c>
      <c r="Q126">
        <f>GDS_Monthly!T243</f>
        <v>97.169152713210508</v>
      </c>
      <c r="R126">
        <f>GDS_Monthly!V243</f>
        <v>98.202520694439073</v>
      </c>
      <c r="S126">
        <f>GDS_Monthly!W243</f>
        <v>99.234529810248546</v>
      </c>
      <c r="T126">
        <f>GDS_Monthly!X243</f>
        <v>104.04454172187283</v>
      </c>
      <c r="U126">
        <f>GDS_Monthly!AA243</f>
        <v>96.624251389613519</v>
      </c>
      <c r="V126">
        <f>GDS_Monthly!AC243</f>
        <v>135.29752219325022</v>
      </c>
      <c r="W126">
        <f>GDS_Monthly!AE243</f>
        <v>124.15205649590241</v>
      </c>
      <c r="X126">
        <f>GDS_Monthly!AF243</f>
        <v>93.814184112531422</v>
      </c>
      <c r="Y126">
        <f>OECD!B126</f>
        <v>96.500960000000006</v>
      </c>
      <c r="Z126">
        <f>'Monthly Haver'!K129</f>
        <v>100.46177</v>
      </c>
      <c r="AA126" s="8">
        <f>OECD!C126</f>
        <v>88.3</v>
      </c>
    </row>
    <row r="127" spans="1:27">
      <c r="A127" t="str">
        <f>'Monthly Haver'!A130</f>
        <v>Jun-2009</v>
      </c>
      <c r="B127">
        <f>'Monthly Haver'!C130</f>
        <v>48.743099999999998</v>
      </c>
      <c r="C127">
        <f>'Monthly Haver'!D130</f>
        <v>49.359299999999998</v>
      </c>
      <c r="D127" t="e">
        <f>'Monthly Haver'!E130</f>
        <v>#N/A</v>
      </c>
      <c r="E127">
        <f>'Monthly Haver'!G130</f>
        <v>45.3157</v>
      </c>
      <c r="F127">
        <f>'Monthly Haver'!H130</f>
        <v>47.983800000000002</v>
      </c>
      <c r="G127">
        <f>'Monthly Haver'!I130</f>
        <v>43.748800000000003</v>
      </c>
      <c r="H127">
        <f>'Monthly Haver'!J130</f>
        <v>48.117699999999999</v>
      </c>
      <c r="I127">
        <f>GDS_Monthly!O244</f>
        <v>91.823314269785016</v>
      </c>
      <c r="J127">
        <f>GDS_Monthly!D244</f>
        <v>90.550596754625317</v>
      </c>
      <c r="K127">
        <f>GDS_Monthly!AH244</f>
        <v>771.15327969999998</v>
      </c>
      <c r="L127">
        <f>GDS_Monthly!AI244</f>
        <v>751.01241830000004</v>
      </c>
      <c r="M127">
        <f>GDS_Monthly!N244</f>
        <v>6.5040879561074485</v>
      </c>
      <c r="N127">
        <f>GDS_Monthly!C244</f>
        <v>96.51065911656697</v>
      </c>
      <c r="O127">
        <f>GDS_Monthly!F244</f>
        <v>3.9665245952165091</v>
      </c>
      <c r="P127">
        <f>GDS_Monthly!G244</f>
        <v>1.9984372030684487</v>
      </c>
      <c r="Q127">
        <f>GDS_Monthly!T244</f>
        <v>97.555889712798447</v>
      </c>
      <c r="R127">
        <f>GDS_Monthly!V244</f>
        <v>98.340180719547789</v>
      </c>
      <c r="S127">
        <f>GDS_Monthly!W244</f>
        <v>97.722408369679115</v>
      </c>
      <c r="T127">
        <f>GDS_Monthly!X244</f>
        <v>116.00359799834092</v>
      </c>
      <c r="U127">
        <f>GDS_Monthly!AA244</f>
        <v>98.415334333055327</v>
      </c>
      <c r="V127">
        <f>GDS_Monthly!AC244</f>
        <v>154.96302668065852</v>
      </c>
      <c r="W127">
        <f>GDS_Monthly!AE244</f>
        <v>145.27044303300963</v>
      </c>
      <c r="X127">
        <f>GDS_Monthly!AF244</f>
        <v>92.929579603260564</v>
      </c>
      <c r="Y127">
        <f>OECD!B127</f>
        <v>97.05444</v>
      </c>
      <c r="Z127">
        <f>'Monthly Haver'!K130</f>
        <v>101.13191</v>
      </c>
      <c r="AA127" s="8">
        <f>OECD!C127</f>
        <v>89.92</v>
      </c>
    </row>
    <row r="128" spans="1:27">
      <c r="A128" t="str">
        <f>'Monthly Haver'!A131</f>
        <v>Jul-2009</v>
      </c>
      <c r="B128">
        <f>'Monthly Haver'!C131</f>
        <v>50.341900000000003</v>
      </c>
      <c r="C128">
        <f>'Monthly Haver'!D131</f>
        <v>45.970700000000001</v>
      </c>
      <c r="D128" t="e">
        <f>'Monthly Haver'!E131</f>
        <v>#N/A</v>
      </c>
      <c r="E128">
        <f>'Monthly Haver'!G131</f>
        <v>46.109400000000001</v>
      </c>
      <c r="F128">
        <f>'Monthly Haver'!H131</f>
        <v>50.713000000000001</v>
      </c>
      <c r="G128">
        <f>'Monthly Haver'!I131</f>
        <v>44.604700000000001</v>
      </c>
      <c r="H128">
        <f>'Monthly Haver'!J131</f>
        <v>47.917099999999998</v>
      </c>
      <c r="I128">
        <f>GDS_Monthly!O245</f>
        <v>92.352992229799042</v>
      </c>
      <c r="J128">
        <f>GDS_Monthly!D245</f>
        <v>91.492094065654484</v>
      </c>
      <c r="K128">
        <f>GDS_Monthly!AH245</f>
        <v>795.21562359999996</v>
      </c>
      <c r="L128">
        <f>GDS_Monthly!AI245</f>
        <v>776.40640140000005</v>
      </c>
      <c r="M128">
        <f>GDS_Monthly!N245</f>
        <v>6.5550038798761587</v>
      </c>
      <c r="N128">
        <f>GDS_Monthly!C245</f>
        <v>96.746292935884114</v>
      </c>
      <c r="O128">
        <f>GDS_Monthly!F245</f>
        <v>3.8209809737650948</v>
      </c>
      <c r="P128">
        <f>GDS_Monthly!G245</f>
        <v>1.9458173604685918</v>
      </c>
      <c r="Q128">
        <f>GDS_Monthly!T245</f>
        <v>97.665308021044225</v>
      </c>
      <c r="R128">
        <f>GDS_Monthly!V245</f>
        <v>98.540773621764558</v>
      </c>
      <c r="S128">
        <f>GDS_Monthly!W245</f>
        <v>93.940238202856136</v>
      </c>
      <c r="T128">
        <f>GDS_Monthly!X245</f>
        <v>125.68529304582302</v>
      </c>
      <c r="U128">
        <f>GDS_Monthly!AA245</f>
        <v>98.177251304082461</v>
      </c>
      <c r="V128">
        <f>GDS_Monthly!AC245</f>
        <v>144.33509227842512</v>
      </c>
      <c r="W128">
        <f>GDS_Monthly!AE245</f>
        <v>135.31600161153352</v>
      </c>
      <c r="X128">
        <f>GDS_Monthly!AF245</f>
        <v>93.291701291422982</v>
      </c>
      <c r="Y128">
        <f>OECD!B128</f>
        <v>97.633219999999994</v>
      </c>
      <c r="Z128">
        <f>'Monthly Haver'!K131</f>
        <v>99.505300000000005</v>
      </c>
      <c r="AA128" s="8">
        <f>OECD!C128</f>
        <v>91.11</v>
      </c>
    </row>
    <row r="129" spans="1:27">
      <c r="A129" t="str">
        <f>'Monthly Haver'!A132</f>
        <v>Aug-2009</v>
      </c>
      <c r="B129">
        <f>'Monthly Haver'!C132</f>
        <v>53.274000000000001</v>
      </c>
      <c r="C129">
        <f>'Monthly Haver'!D132</f>
        <v>54.630400000000002</v>
      </c>
      <c r="D129" t="e">
        <f>'Monthly Haver'!E132</f>
        <v>#N/A</v>
      </c>
      <c r="E129">
        <f>'Monthly Haver'!G132</f>
        <v>48.232900000000001</v>
      </c>
      <c r="F129">
        <f>'Monthly Haver'!H132</f>
        <v>53.401400000000002</v>
      </c>
      <c r="G129">
        <f>'Monthly Haver'!I132</f>
        <v>44.242600000000003</v>
      </c>
      <c r="H129">
        <f>'Monthly Haver'!J132</f>
        <v>51.732100000000003</v>
      </c>
      <c r="I129">
        <f>GDS_Monthly!O246</f>
        <v>92.815833103743415</v>
      </c>
      <c r="J129">
        <f>GDS_Monthly!D246</f>
        <v>92.261395008740166</v>
      </c>
      <c r="K129">
        <f>GDS_Monthly!AH246</f>
        <v>798.13580730000001</v>
      </c>
      <c r="L129">
        <f>GDS_Monthly!AI246</f>
        <v>776.28844519999996</v>
      </c>
      <c r="M129">
        <f>GDS_Monthly!N246</f>
        <v>6.5723312469410491</v>
      </c>
      <c r="N129">
        <f>GDS_Monthly!C246</f>
        <v>98.460288077413466</v>
      </c>
      <c r="O129">
        <f>GDS_Monthly!F246</f>
        <v>3.6822405430790086</v>
      </c>
      <c r="P129">
        <f>GDS_Monthly!G246</f>
        <v>1.9172233225596329</v>
      </c>
      <c r="Q129">
        <f>GDS_Monthly!T246</f>
        <v>97.95885994931372</v>
      </c>
      <c r="R129">
        <f>GDS_Monthly!V246</f>
        <v>98.667658690770239</v>
      </c>
      <c r="S129">
        <f>GDS_Monthly!W246</f>
        <v>92.284992127420296</v>
      </c>
      <c r="T129">
        <f>GDS_Monthly!X246</f>
        <v>145.92736491721726</v>
      </c>
      <c r="U129">
        <f>GDS_Monthly!AA246</f>
        <v>101.40944843477595</v>
      </c>
      <c r="V129">
        <f>GDS_Monthly!AC246</f>
        <v>155.80807387079335</v>
      </c>
      <c r="W129">
        <f>GDS_Monthly!AE246</f>
        <v>148.97378096361859</v>
      </c>
      <c r="X129">
        <f>GDS_Monthly!AF246</f>
        <v>97.949866821426866</v>
      </c>
      <c r="Y129">
        <f>OECD!B129</f>
        <v>98.191410000000005</v>
      </c>
      <c r="Z129">
        <f>'Monthly Haver'!K132</f>
        <v>99.42756</v>
      </c>
      <c r="AA129" s="8">
        <f>OECD!C129</f>
        <v>93.06</v>
      </c>
    </row>
    <row r="130" spans="1:27">
      <c r="A130" t="str">
        <f>'Monthly Haver'!A133</f>
        <v>Sep-2009</v>
      </c>
      <c r="B130">
        <f>'Monthly Haver'!C133</f>
        <v>53.470599999999997</v>
      </c>
      <c r="C130">
        <f>'Monthly Haver'!D133</f>
        <v>50.176299999999998</v>
      </c>
      <c r="D130" t="e">
        <f>'Monthly Haver'!E133</f>
        <v>#N/A</v>
      </c>
      <c r="E130">
        <f>'Monthly Haver'!G133</f>
        <v>48.317599999999999</v>
      </c>
      <c r="F130">
        <f>'Monthly Haver'!H133</f>
        <v>53.783999999999999</v>
      </c>
      <c r="G130">
        <f>'Monthly Haver'!I133</f>
        <v>46.0672</v>
      </c>
      <c r="H130">
        <f>'Monthly Haver'!J133</f>
        <v>52.1113</v>
      </c>
      <c r="I130">
        <f>GDS_Monthly!O247</f>
        <v>93.322822029386202</v>
      </c>
      <c r="J130">
        <f>GDS_Monthly!D247</f>
        <v>93.620964792081935</v>
      </c>
      <c r="K130">
        <f>GDS_Monthly!AH247</f>
        <v>845.47679589999996</v>
      </c>
      <c r="L130">
        <f>GDS_Monthly!AI247</f>
        <v>820.16747239999995</v>
      </c>
      <c r="M130">
        <f>GDS_Monthly!N247</f>
        <v>6.5619722093325317</v>
      </c>
      <c r="N130">
        <f>GDS_Monthly!C247</f>
        <v>98.659687002362972</v>
      </c>
      <c r="O130">
        <f>GDS_Monthly!F247</f>
        <v>3.6867660159529727</v>
      </c>
      <c r="P130">
        <f>GDS_Monthly!G247</f>
        <v>1.8801020922866516</v>
      </c>
      <c r="Q130">
        <f>GDS_Monthly!T247</f>
        <v>98.074465438345072</v>
      </c>
      <c r="R130">
        <f>GDS_Monthly!V247</f>
        <v>98.796111538117714</v>
      </c>
      <c r="S130">
        <f>GDS_Monthly!W247</f>
        <v>90.719112328075511</v>
      </c>
      <c r="T130">
        <f>GDS_Monthly!X247</f>
        <v>134.42275253074516</v>
      </c>
      <c r="U130">
        <f>GDS_Monthly!AA247</f>
        <v>99.415263477507978</v>
      </c>
      <c r="V130">
        <f>GDS_Monthly!AC247</f>
        <v>150.02414204498416</v>
      </c>
      <c r="W130">
        <f>GDS_Monthly!AE247</f>
        <v>140.5298484765278</v>
      </c>
      <c r="X130">
        <f>GDS_Monthly!AF247</f>
        <v>98.559927344561629</v>
      </c>
      <c r="Y130">
        <f>OECD!B130</f>
        <v>98.699209999999994</v>
      </c>
      <c r="Z130">
        <f>'Monthly Haver'!K133</f>
        <v>97.845039999999997</v>
      </c>
      <c r="AA130" s="8">
        <f>OECD!C130</f>
        <v>94.05</v>
      </c>
    </row>
    <row r="131" spans="1:27">
      <c r="A131" t="str">
        <f>'Monthly Haver'!A134</f>
        <v>Oct-2009</v>
      </c>
      <c r="B131">
        <f>'Monthly Haver'!C134</f>
        <v>54.229599999999998</v>
      </c>
      <c r="C131">
        <f>'Monthly Haver'!D134</f>
        <v>51.485500000000002</v>
      </c>
      <c r="D131" t="e">
        <f>'Monthly Haver'!E134</f>
        <v>#N/A</v>
      </c>
      <c r="E131">
        <f>'Monthly Haver'!G134</f>
        <v>48.1571</v>
      </c>
      <c r="F131">
        <f>'Monthly Haver'!H134</f>
        <v>54.533999999999999</v>
      </c>
      <c r="G131">
        <f>'Monthly Haver'!I134</f>
        <v>46.671700000000001</v>
      </c>
      <c r="H131">
        <f>'Monthly Haver'!J134</f>
        <v>52.891300000000001</v>
      </c>
      <c r="I131">
        <f>GDS_Monthly!O248</f>
        <v>94.11737095835376</v>
      </c>
      <c r="J131">
        <f>GDS_Monthly!D248</f>
        <v>94.253437921539245</v>
      </c>
      <c r="K131">
        <f>GDS_Monthly!AH248</f>
        <v>866.03560619999996</v>
      </c>
      <c r="L131">
        <f>GDS_Monthly!AI248</f>
        <v>851.18176670000003</v>
      </c>
      <c r="M131">
        <f>GDS_Monthly!N248</f>
        <v>6.5526068119502101</v>
      </c>
      <c r="N131">
        <f>GDS_Monthly!C248</f>
        <v>98.21531332863465</v>
      </c>
      <c r="O131">
        <f>GDS_Monthly!F248</f>
        <v>3.6726883078914327</v>
      </c>
      <c r="P131">
        <f>GDS_Monthly!G248</f>
        <v>1.8628827727428581</v>
      </c>
      <c r="Q131">
        <f>GDS_Monthly!T248</f>
        <v>98.249539120840055</v>
      </c>
      <c r="R131">
        <f>GDS_Monthly!V248</f>
        <v>98.962994816099368</v>
      </c>
      <c r="S131">
        <f>GDS_Monthly!W248</f>
        <v>93.482796753396954</v>
      </c>
      <c r="T131">
        <f>GDS_Monthly!X248</f>
        <v>140.59150731263199</v>
      </c>
      <c r="U131">
        <f>GDS_Monthly!AA248</f>
        <v>102.83872165140218</v>
      </c>
      <c r="V131">
        <f>GDS_Monthly!AC248</f>
        <v>163.31357953472795</v>
      </c>
      <c r="W131">
        <f>GDS_Monthly!AE248</f>
        <v>151.23200119077191</v>
      </c>
      <c r="X131">
        <f>GDS_Monthly!AF248</f>
        <v>101.63983702230477</v>
      </c>
      <c r="Y131">
        <f>OECD!B131</f>
        <v>99.134770000000003</v>
      </c>
      <c r="Z131">
        <f>'Monthly Haver'!K134</f>
        <v>97.297989999999999</v>
      </c>
      <c r="AA131" s="8">
        <f>OECD!C131</f>
        <v>94.89</v>
      </c>
    </row>
    <row r="132" spans="1:27">
      <c r="A132" t="str">
        <f>'Monthly Haver'!A135</f>
        <v>Nov-2009</v>
      </c>
      <c r="B132">
        <f>'Monthly Haver'!C135</f>
        <v>54.357700000000001</v>
      </c>
      <c r="C132">
        <f>'Monthly Haver'!D135</f>
        <v>51.3401</v>
      </c>
      <c r="D132" t="e">
        <f>'Monthly Haver'!E135</f>
        <v>#N/A</v>
      </c>
      <c r="E132">
        <f>'Monthly Haver'!G135</f>
        <v>48.54</v>
      </c>
      <c r="F132">
        <f>'Monthly Haver'!H135</f>
        <v>54.084600000000002</v>
      </c>
      <c r="G132">
        <f>'Monthly Haver'!I135</f>
        <v>46.898499999999999</v>
      </c>
      <c r="H132">
        <f>'Monthly Haver'!J135</f>
        <v>52.893900000000002</v>
      </c>
      <c r="I132">
        <f>GDS_Monthly!O249</f>
        <v>94.478068159633949</v>
      </c>
      <c r="J132">
        <f>GDS_Monthly!D249</f>
        <v>94.969976375402766</v>
      </c>
      <c r="K132">
        <f>GDS_Monthly!AH249</f>
        <v>883.58887860000004</v>
      </c>
      <c r="L132">
        <f>GDS_Monthly!AI249</f>
        <v>864.31651839999995</v>
      </c>
      <c r="M132">
        <f>GDS_Monthly!N249</f>
        <v>6.5443251295241343</v>
      </c>
      <c r="N132">
        <f>GDS_Monthly!C249</f>
        <v>98.693289926815439</v>
      </c>
      <c r="O132">
        <f>GDS_Monthly!F249</f>
        <v>3.5883768647747618</v>
      </c>
      <c r="P132">
        <f>GDS_Monthly!G249</f>
        <v>1.8463341446810981</v>
      </c>
      <c r="Q132">
        <f>GDS_Monthly!T249</f>
        <v>98.599018564711727</v>
      </c>
      <c r="R132">
        <f>GDS_Monthly!V249</f>
        <v>99.107742623643915</v>
      </c>
      <c r="S132">
        <f>GDS_Monthly!W249</f>
        <v>96.122942323724018</v>
      </c>
      <c r="T132">
        <f>GDS_Monthly!X249</f>
        <v>148.55624966199366</v>
      </c>
      <c r="U132">
        <f>GDS_Monthly!AA249</f>
        <v>107.24720845280751</v>
      </c>
      <c r="V132">
        <f>GDS_Monthly!AC249</f>
        <v>168.93007424228193</v>
      </c>
      <c r="W132">
        <f>GDS_Monthly!AE249</f>
        <v>157.29402139229686</v>
      </c>
      <c r="X132">
        <f>GDS_Monthly!AF249</f>
        <v>106.67173371170041</v>
      </c>
      <c r="Y132">
        <f>OECD!B132</f>
        <v>99.496830000000003</v>
      </c>
      <c r="Z132">
        <f>'Monthly Haver'!K135</f>
        <v>97.763019999999997</v>
      </c>
      <c r="AA132" s="8">
        <f>OECD!C132</f>
        <v>95.75</v>
      </c>
    </row>
    <row r="133" spans="1:27">
      <c r="A133" t="str">
        <f>'Monthly Haver'!A136</f>
        <v>Dec-2009</v>
      </c>
      <c r="B133">
        <f>'Monthly Haver'!C136</f>
        <v>55.101900000000001</v>
      </c>
      <c r="C133">
        <f>'Monthly Haver'!D136</f>
        <v>52.1905</v>
      </c>
      <c r="D133" t="e">
        <f>'Monthly Haver'!E136</f>
        <v>#N/A</v>
      </c>
      <c r="E133">
        <f>'Monthly Haver'!G136</f>
        <v>48.601999999999997</v>
      </c>
      <c r="F133">
        <f>'Monthly Haver'!H136</f>
        <v>54.765300000000003</v>
      </c>
      <c r="G133">
        <f>'Monthly Haver'!I136</f>
        <v>45.79</v>
      </c>
      <c r="H133">
        <f>'Monthly Haver'!J136</f>
        <v>53.963200000000001</v>
      </c>
      <c r="I133">
        <f>GDS_Monthly!O250</f>
        <v>95.372757663566418</v>
      </c>
      <c r="J133">
        <f>GDS_Monthly!D250</f>
        <v>95.496724475219807</v>
      </c>
      <c r="K133">
        <f>GDS_Monthly!AH250</f>
        <v>920.1835112</v>
      </c>
      <c r="L133">
        <f>GDS_Monthly!AI250</f>
        <v>892.56771000000003</v>
      </c>
      <c r="M133">
        <f>GDS_Monthly!N250</f>
        <v>6.5341649464821332</v>
      </c>
      <c r="N133">
        <f>GDS_Monthly!C250</f>
        <v>99.178210097024945</v>
      </c>
      <c r="O133">
        <f>GDS_Monthly!F250</f>
        <v>3.765142577592592</v>
      </c>
      <c r="P133">
        <f>GDS_Monthly!G250</f>
        <v>1.8394051731716925</v>
      </c>
      <c r="Q133">
        <f>GDS_Monthly!T250</f>
        <v>98.770609811858307</v>
      </c>
      <c r="R133">
        <f>GDS_Monthly!V250</f>
        <v>99.259052428272881</v>
      </c>
      <c r="S133">
        <f>GDS_Monthly!W250</f>
        <v>97.692902178017661</v>
      </c>
      <c r="T133">
        <f>GDS_Monthly!X250</f>
        <v>156.25644627407564</v>
      </c>
      <c r="U133">
        <f>GDS_Monthly!AA250</f>
        <v>110.39244601609157</v>
      </c>
      <c r="V133">
        <f>GDS_Monthly!AC250</f>
        <v>170.81876853180927</v>
      </c>
      <c r="W133">
        <f>GDS_Monthly!AE250</f>
        <v>153.65155693641577</v>
      </c>
      <c r="X133">
        <f>GDS_Monthly!AF250</f>
        <v>111.83782322057328</v>
      </c>
      <c r="Y133">
        <f>OECD!B133</f>
        <v>99.796040000000005</v>
      </c>
      <c r="Z133">
        <f>'Monthly Haver'!K136</f>
        <v>98.05538</v>
      </c>
      <c r="AA133" s="8">
        <f>OECD!C133</f>
        <v>96.4</v>
      </c>
    </row>
    <row r="134" spans="1:27">
      <c r="A134" t="str">
        <f>'Monthly Haver'!A137</f>
        <v>Jan-2010</v>
      </c>
      <c r="B134">
        <f>'Monthly Haver'!C137</f>
        <v>55.568800000000003</v>
      </c>
      <c r="C134">
        <f>'Monthly Haver'!D137</f>
        <v>54.785899999999998</v>
      </c>
      <c r="D134" t="e">
        <f>'Monthly Haver'!E137</f>
        <v>#N/A</v>
      </c>
      <c r="E134">
        <f>'Monthly Haver'!G137</f>
        <v>49.247799999999998</v>
      </c>
      <c r="F134">
        <f>'Monthly Haver'!H137</f>
        <v>55.448999999999998</v>
      </c>
      <c r="G134">
        <f>'Monthly Haver'!I137</f>
        <v>47.310099999999998</v>
      </c>
      <c r="H134">
        <f>'Monthly Haver'!J137</f>
        <v>54.053899999999999</v>
      </c>
      <c r="I134">
        <f>GDS_Monthly!O251</f>
        <v>96.352090541539923</v>
      </c>
      <c r="J134">
        <f>GDS_Monthly!D251</f>
        <v>96.693717373544175</v>
      </c>
      <c r="K134">
        <f>GDS_Monthly!AH251</f>
        <v>901.52797910000004</v>
      </c>
      <c r="L134">
        <f>GDS_Monthly!AI251</f>
        <v>877.04189919999999</v>
      </c>
      <c r="M134">
        <f>GDS_Monthly!N251</f>
        <v>6.464495672891224</v>
      </c>
      <c r="N134">
        <f>GDS_Monthly!C251</f>
        <v>100.02607577951669</v>
      </c>
      <c r="O134">
        <f>GDS_Monthly!F251</f>
        <v>3.8079052688952877</v>
      </c>
      <c r="P134">
        <f>GDS_Monthly!G251</f>
        <v>1.9246959979289595</v>
      </c>
      <c r="Q134">
        <f>GDS_Monthly!T251</f>
        <v>99.0260633881676</v>
      </c>
      <c r="R134">
        <f>GDS_Monthly!V251</f>
        <v>99.385323971240453</v>
      </c>
      <c r="S134">
        <f>GDS_Monthly!W251</f>
        <v>98.518393838532972</v>
      </c>
      <c r="T134">
        <f>GDS_Monthly!X251</f>
        <v>171.66321695234703</v>
      </c>
      <c r="U134">
        <f>GDS_Monthly!AA251</f>
        <v>113.78308908220964</v>
      </c>
      <c r="V134">
        <f>GDS_Monthly!AC251</f>
        <v>180.07341138285148</v>
      </c>
      <c r="W134">
        <f>GDS_Monthly!AE251</f>
        <v>160.03113117460191</v>
      </c>
      <c r="X134">
        <f>GDS_Monthly!AF251</f>
        <v>114.96306581483876</v>
      </c>
      <c r="Y134">
        <f>OECD!B134</f>
        <v>100.0352</v>
      </c>
      <c r="Z134">
        <f>'Monthly Haver'!K137</f>
        <v>99.673550000000006</v>
      </c>
      <c r="AA134" s="8">
        <f>OECD!C134</f>
        <v>97.21</v>
      </c>
    </row>
    <row r="135" spans="1:27">
      <c r="A135" t="str">
        <f>'Monthly Haver'!A138</f>
        <v>Feb-2010</v>
      </c>
      <c r="B135">
        <f>'Monthly Haver'!C138</f>
        <v>55.288800000000002</v>
      </c>
      <c r="C135">
        <f>'Monthly Haver'!D138</f>
        <v>54.56</v>
      </c>
      <c r="D135" t="e">
        <f>'Monthly Haver'!E138</f>
        <v>#N/A</v>
      </c>
      <c r="E135">
        <f>'Monthly Haver'!G138</f>
        <v>49.579599999999999</v>
      </c>
      <c r="F135">
        <f>'Monthly Haver'!H138</f>
        <v>54.976599999999998</v>
      </c>
      <c r="G135">
        <f>'Monthly Haver'!I138</f>
        <v>48.0807</v>
      </c>
      <c r="H135">
        <f>'Monthly Haver'!J138</f>
        <v>54.9621</v>
      </c>
      <c r="I135">
        <f>GDS_Monthly!O252</f>
        <v>97.653661806810035</v>
      </c>
      <c r="J135">
        <f>GDS_Monthly!D252</f>
        <v>97.223612696185739</v>
      </c>
      <c r="K135">
        <f>GDS_Monthly!AH252</f>
        <v>924.96810819999996</v>
      </c>
      <c r="L135">
        <f>GDS_Monthly!AI252</f>
        <v>895.99902899999995</v>
      </c>
      <c r="M135">
        <f>GDS_Monthly!N252</f>
        <v>6.4189356745669386</v>
      </c>
      <c r="N135">
        <f>GDS_Monthly!C252</f>
        <v>98.27270595768303</v>
      </c>
      <c r="O135">
        <f>GDS_Monthly!F252</f>
        <v>3.8811894649169738</v>
      </c>
      <c r="P135">
        <f>GDS_Monthly!G252</f>
        <v>1.9139925789030126</v>
      </c>
      <c r="Q135">
        <f>GDS_Monthly!T252</f>
        <v>99.152065457456189</v>
      </c>
      <c r="R135">
        <f>GDS_Monthly!V252</f>
        <v>99.4759390359214</v>
      </c>
      <c r="S135">
        <f>GDS_Monthly!W252</f>
        <v>98.346200068742576</v>
      </c>
      <c r="T135">
        <f>GDS_Monthly!X252</f>
        <v>167.30478016002482</v>
      </c>
      <c r="U135">
        <f>GDS_Monthly!AA252</f>
        <v>112.41490805661167</v>
      </c>
      <c r="V135">
        <f>GDS_Monthly!AC252</f>
        <v>173.9166108227474</v>
      </c>
      <c r="W135">
        <f>GDS_Monthly!AE252</f>
        <v>157.62755175921382</v>
      </c>
      <c r="X135">
        <f>GDS_Monthly!AF252</f>
        <v>115.2274906060351</v>
      </c>
      <c r="Y135">
        <f>OECD!B135</f>
        <v>100.2148</v>
      </c>
      <c r="Z135">
        <f>'Monthly Haver'!K138</f>
        <v>100.55222999999999</v>
      </c>
      <c r="AA135" s="8">
        <f>OECD!C135</f>
        <v>96.75</v>
      </c>
    </row>
    <row r="136" spans="1:27">
      <c r="A136" t="str">
        <f>'Monthly Haver'!A139</f>
        <v>Mar-2010</v>
      </c>
      <c r="B136">
        <f>'Monthly Haver'!C139</f>
        <v>56.779400000000003</v>
      </c>
      <c r="C136">
        <f>'Monthly Haver'!D139</f>
        <v>55.656399999999998</v>
      </c>
      <c r="D136" t="e">
        <f>'Monthly Haver'!E139</f>
        <v>#N/A</v>
      </c>
      <c r="E136">
        <f>'Monthly Haver'!G139</f>
        <v>50.6875</v>
      </c>
      <c r="F136">
        <f>'Monthly Haver'!H139</f>
        <v>55.9679</v>
      </c>
      <c r="G136">
        <f>'Monthly Haver'!I139</f>
        <v>47.6633</v>
      </c>
      <c r="H136">
        <f>'Monthly Haver'!J139</f>
        <v>55.871899999999997</v>
      </c>
      <c r="I136">
        <f>GDS_Monthly!O253</f>
        <v>98.02098540245872</v>
      </c>
      <c r="J136">
        <f>GDS_Monthly!D253</f>
        <v>98.353071766729698</v>
      </c>
      <c r="K136">
        <f>GDS_Monthly!AH253</f>
        <v>959.13969329999998</v>
      </c>
      <c r="L136">
        <f>GDS_Monthly!AI253</f>
        <v>916.02453170000001</v>
      </c>
      <c r="M136">
        <f>GDS_Monthly!N253</f>
        <v>6.4140827987938076</v>
      </c>
      <c r="N136">
        <f>GDS_Monthly!C253</f>
        <v>99.608763031099272</v>
      </c>
      <c r="O136">
        <f>GDS_Monthly!F253</f>
        <v>3.761137738401533</v>
      </c>
      <c r="P136">
        <f>GDS_Monthly!G253</f>
        <v>1.9067824098003776</v>
      </c>
      <c r="Q136">
        <f>GDS_Monthly!T253</f>
        <v>99.319528846304465</v>
      </c>
      <c r="R136">
        <f>GDS_Monthly!V253</f>
        <v>99.530896754736474</v>
      </c>
      <c r="S136">
        <f>GDS_Monthly!W253</f>
        <v>101.25378668256616</v>
      </c>
      <c r="T136">
        <f>GDS_Monthly!X253</f>
        <v>183.10133570298322</v>
      </c>
      <c r="U136">
        <f>GDS_Monthly!AA253</f>
        <v>117.42107002525746</v>
      </c>
      <c r="V136">
        <f>GDS_Monthly!AC253</f>
        <v>177.88173714192757</v>
      </c>
      <c r="W136">
        <f>GDS_Monthly!AE253</f>
        <v>168.41897005847787</v>
      </c>
      <c r="X136">
        <f>GDS_Monthly!AF253</f>
        <v>120.25894320903326</v>
      </c>
      <c r="Y136">
        <f>OECD!B136</f>
        <v>100.3434</v>
      </c>
      <c r="Z136">
        <f>'Monthly Haver'!K139</f>
        <v>100.33282</v>
      </c>
      <c r="AA136" s="8">
        <f>OECD!C136</f>
        <v>98.2</v>
      </c>
    </row>
    <row r="137" spans="1:27">
      <c r="A137" t="str">
        <f>'Monthly Haver'!A140</f>
        <v>Apr-2010</v>
      </c>
      <c r="B137">
        <f>'Monthly Haver'!C140</f>
        <v>56.810699999999997</v>
      </c>
      <c r="C137">
        <f>'Monthly Haver'!D140</f>
        <v>56.944800000000001</v>
      </c>
      <c r="D137" t="e">
        <f>'Monthly Haver'!E140</f>
        <v>#N/A</v>
      </c>
      <c r="E137">
        <f>'Monthly Haver'!G140</f>
        <v>51.102600000000002</v>
      </c>
      <c r="F137">
        <f>'Monthly Haver'!H140</f>
        <v>56.713000000000001</v>
      </c>
      <c r="G137">
        <f>'Monthly Haver'!I140</f>
        <v>48.009599999999999</v>
      </c>
      <c r="H137">
        <f>'Monthly Haver'!J140</f>
        <v>56.170400000000001</v>
      </c>
      <c r="I137">
        <f>GDS_Monthly!O254</f>
        <v>98.616348810720055</v>
      </c>
      <c r="J137">
        <f>GDS_Monthly!D254</f>
        <v>99.090676654969755</v>
      </c>
      <c r="K137">
        <f>GDS_Monthly!AH254</f>
        <v>960.08939969999994</v>
      </c>
      <c r="L137">
        <f>GDS_Monthly!AI254</f>
        <v>920.77706599999999</v>
      </c>
      <c r="M137">
        <f>GDS_Monthly!N254</f>
        <v>6.4134674718310336</v>
      </c>
      <c r="N137">
        <f>GDS_Monthly!C254</f>
        <v>100.62263817443342</v>
      </c>
      <c r="O137">
        <f>GDS_Monthly!F254</f>
        <v>3.9368714534292031</v>
      </c>
      <c r="P137">
        <f>GDS_Monthly!G254</f>
        <v>1.9366899585101911</v>
      </c>
      <c r="Q137">
        <f>GDS_Monthly!T254</f>
        <v>99.48189700645807</v>
      </c>
      <c r="R137">
        <f>GDS_Monthly!V254</f>
        <v>99.598448621318326</v>
      </c>
      <c r="S137">
        <f>GDS_Monthly!W254</f>
        <v>103.79585780162009</v>
      </c>
      <c r="T137">
        <f>GDS_Monthly!X254</f>
        <v>207.58511958420451</v>
      </c>
      <c r="U137">
        <f>GDS_Monthly!AA254</f>
        <v>124.47301769771471</v>
      </c>
      <c r="V137">
        <f>GDS_Monthly!AC254</f>
        <v>187.01648604393606</v>
      </c>
      <c r="W137">
        <f>GDS_Monthly!AE254</f>
        <v>179.92503356055349</v>
      </c>
      <c r="X137">
        <f>GDS_Monthly!AF254</f>
        <v>127.87876303383604</v>
      </c>
      <c r="Y137">
        <f>OECD!B137</f>
        <v>100.4171</v>
      </c>
      <c r="Z137">
        <f>'Monthly Haver'!K140</f>
        <v>99.561000000000007</v>
      </c>
      <c r="AA137" s="8">
        <f>OECD!C137</f>
        <v>99.14</v>
      </c>
    </row>
    <row r="138" spans="1:27">
      <c r="A138" t="str">
        <f>'Monthly Haver'!A141</f>
        <v>May-2010</v>
      </c>
      <c r="B138">
        <f>'Monthly Haver'!C141</f>
        <v>55.321100000000001</v>
      </c>
      <c r="C138">
        <f>'Monthly Haver'!D141</f>
        <v>56.125700000000002</v>
      </c>
      <c r="D138" t="e">
        <f>'Monthly Haver'!E141</f>
        <v>#N/A</v>
      </c>
      <c r="E138">
        <f>'Monthly Haver'!G141</f>
        <v>51.6021</v>
      </c>
      <c r="F138">
        <f>'Monthly Haver'!H141</f>
        <v>55.540300000000002</v>
      </c>
      <c r="G138">
        <f>'Monthly Haver'!I141</f>
        <v>48.875700000000002</v>
      </c>
      <c r="H138">
        <f>'Monthly Haver'!J141</f>
        <v>55.61</v>
      </c>
      <c r="I138">
        <f>GDS_Monthly!O255</f>
        <v>98.985351793486757</v>
      </c>
      <c r="J138">
        <f>GDS_Monthly!D255</f>
        <v>99.69148205055518</v>
      </c>
      <c r="K138">
        <f>GDS_Monthly!AH255</f>
        <v>956.87426170000003</v>
      </c>
      <c r="L138">
        <f>GDS_Monthly!AI255</f>
        <v>927.80953539999996</v>
      </c>
      <c r="M138">
        <f>GDS_Monthly!N255</f>
        <v>6.3597429031267385</v>
      </c>
      <c r="N138">
        <f>GDS_Monthly!C255</f>
        <v>101.38719597720983</v>
      </c>
      <c r="O138">
        <f>GDS_Monthly!F255</f>
        <v>3.5999345211703035</v>
      </c>
      <c r="P138">
        <f>GDS_Monthly!G255</f>
        <v>1.9403093802497899</v>
      </c>
      <c r="Q138">
        <f>GDS_Monthly!T255</f>
        <v>99.592328011153612</v>
      </c>
      <c r="R138">
        <f>GDS_Monthly!V255</f>
        <v>99.685810867335661</v>
      </c>
      <c r="S138">
        <f>GDS_Monthly!W255</f>
        <v>100.18706314466569</v>
      </c>
      <c r="T138">
        <f>GDS_Monthly!X255</f>
        <v>187.03336277705984</v>
      </c>
      <c r="U138">
        <f>GDS_Monthly!AA255</f>
        <v>119.26232276476458</v>
      </c>
      <c r="V138">
        <f>GDS_Monthly!AC255</f>
        <v>172.99502369784446</v>
      </c>
      <c r="W138">
        <f>GDS_Monthly!AE255</f>
        <v>165.69167844049997</v>
      </c>
      <c r="X138">
        <f>GDS_Monthly!AF255</f>
        <v>125.81059602397542</v>
      </c>
      <c r="Y138">
        <f>OECD!B138</f>
        <v>100.4408</v>
      </c>
      <c r="Z138">
        <f>'Monthly Haver'!K141</f>
        <v>102.36559</v>
      </c>
      <c r="AA138" s="8">
        <f>OECD!C138</f>
        <v>98.12</v>
      </c>
    </row>
    <row r="139" spans="1:27">
      <c r="A139" t="str">
        <f>'Monthly Haver'!A142</f>
        <v>Jun-2010</v>
      </c>
      <c r="B139">
        <f>'Monthly Haver'!C142</f>
        <v>54.204900000000002</v>
      </c>
      <c r="C139">
        <f>'Monthly Haver'!D142</f>
        <v>54.151299999999999</v>
      </c>
      <c r="D139" t="e">
        <f>'Monthly Haver'!E142</f>
        <v>#N/A</v>
      </c>
      <c r="E139">
        <f>'Monthly Haver'!G142</f>
        <v>51.652000000000001</v>
      </c>
      <c r="F139">
        <f>'Monthly Haver'!H142</f>
        <v>53.984000000000002</v>
      </c>
      <c r="G139">
        <f>'Monthly Haver'!I142</f>
        <v>49.508000000000003</v>
      </c>
      <c r="H139">
        <f>'Monthly Haver'!J142</f>
        <v>55.034399999999998</v>
      </c>
      <c r="I139">
        <f>GDS_Monthly!O256</f>
        <v>99.492805084833805</v>
      </c>
      <c r="J139">
        <f>GDS_Monthly!D256</f>
        <v>99.765378168515014</v>
      </c>
      <c r="K139">
        <f>GDS_Monthly!AH256</f>
        <v>973.12675569999999</v>
      </c>
      <c r="L139">
        <f>GDS_Monthly!AI256</f>
        <v>938.34979310000006</v>
      </c>
      <c r="M139">
        <f>GDS_Monthly!N256</f>
        <v>6.311425006126135</v>
      </c>
      <c r="N139">
        <f>GDS_Monthly!C256</f>
        <v>99.959472532344122</v>
      </c>
      <c r="O139">
        <f>GDS_Monthly!F256</f>
        <v>3.4062785891809857</v>
      </c>
      <c r="P139">
        <f>GDS_Monthly!G256</f>
        <v>1.9626823010716625</v>
      </c>
      <c r="Q139">
        <f>GDS_Monthly!T256</f>
        <v>99.68610304216881</v>
      </c>
      <c r="R139">
        <f>GDS_Monthly!V256</f>
        <v>99.846939236419544</v>
      </c>
      <c r="S139">
        <f>GDS_Monthly!W256</f>
        <v>96.353390708561477</v>
      </c>
      <c r="T139">
        <f>GDS_Monthly!X256</f>
        <v>170.55372279363118</v>
      </c>
      <c r="U139">
        <f>GDS_Monthly!AA256</f>
        <v>114.61667188016857</v>
      </c>
      <c r="V139">
        <f>GDS_Monthly!AC256</f>
        <v>172.57800465979557</v>
      </c>
      <c r="W139">
        <f>GDS_Monthly!AE256</f>
        <v>165.13898950652413</v>
      </c>
      <c r="X139">
        <f>GDS_Monthly!AF256</f>
        <v>125.20618065107769</v>
      </c>
      <c r="Y139">
        <f>OECD!B139</f>
        <v>100.4396</v>
      </c>
      <c r="Z139">
        <f>'Monthly Haver'!K142</f>
        <v>102.65425999999999</v>
      </c>
      <c r="AA139" s="8">
        <f>OECD!C139</f>
        <v>97.32</v>
      </c>
    </row>
    <row r="140" spans="1:27">
      <c r="A140" t="str">
        <f>'Monthly Haver'!A143</f>
        <v>Jul-2010</v>
      </c>
      <c r="B140">
        <f>'Monthly Haver'!C143</f>
        <v>54.422400000000003</v>
      </c>
      <c r="C140">
        <f>'Monthly Haver'!D143</f>
        <v>53.886899999999997</v>
      </c>
      <c r="D140" t="e">
        <f>'Monthly Haver'!E143</f>
        <v>#N/A</v>
      </c>
      <c r="E140">
        <f>'Monthly Haver'!G143</f>
        <v>51.300400000000003</v>
      </c>
      <c r="F140">
        <f>'Monthly Haver'!H143</f>
        <v>54.046999999999997</v>
      </c>
      <c r="G140">
        <f>'Monthly Haver'!I143</f>
        <v>49.026200000000003</v>
      </c>
      <c r="H140">
        <f>'Monthly Haver'!J143</f>
        <v>55.012999999999998</v>
      </c>
      <c r="I140">
        <f>GDS_Monthly!O257</f>
        <v>100.20840658670889</v>
      </c>
      <c r="J140">
        <f>GDS_Monthly!D257</f>
        <v>100.15441451706199</v>
      </c>
      <c r="K140">
        <f>GDS_Monthly!AH257</f>
        <v>983.90017560000001</v>
      </c>
      <c r="L140">
        <f>GDS_Monthly!AI257</f>
        <v>951.13437929999998</v>
      </c>
      <c r="M140">
        <f>GDS_Monthly!N257</f>
        <v>6.2445827693247971</v>
      </c>
      <c r="N140">
        <f>GDS_Monthly!C257</f>
        <v>99.449793361893455</v>
      </c>
      <c r="O140">
        <f>GDS_Monthly!F257</f>
        <v>3.37532755681563</v>
      </c>
      <c r="P140">
        <f>GDS_Monthly!G257</f>
        <v>2.0028455637522358</v>
      </c>
      <c r="Q140">
        <f>GDS_Monthly!T257</f>
        <v>99.90419041115095</v>
      </c>
      <c r="R140">
        <f>GDS_Monthly!V257</f>
        <v>99.982505471473061</v>
      </c>
      <c r="S140">
        <f>GDS_Monthly!W257</f>
        <v>102.12545867031344</v>
      </c>
      <c r="T140">
        <f>GDS_Monthly!X257</f>
        <v>164.20572406389692</v>
      </c>
      <c r="U140">
        <f>GDS_Monthly!AA257</f>
        <v>115.56013070357486</v>
      </c>
      <c r="V140">
        <f>GDS_Monthly!AC257</f>
        <v>171.79219112701134</v>
      </c>
      <c r="W140">
        <f>GDS_Monthly!AE257</f>
        <v>160.7112289903219</v>
      </c>
      <c r="X140">
        <f>GDS_Monthly!AF257</f>
        <v>121.27712202207984</v>
      </c>
      <c r="Y140">
        <f>OECD!B140</f>
        <v>100.4439</v>
      </c>
      <c r="Z140">
        <f>'Monthly Haver'!K143</f>
        <v>101.23415</v>
      </c>
      <c r="AA140" s="8">
        <f>OECD!C140</f>
        <v>97.11</v>
      </c>
    </row>
    <row r="141" spans="1:27">
      <c r="A141" t="str">
        <f>'Monthly Haver'!A144</f>
        <v>Aug-2010</v>
      </c>
      <c r="B141">
        <f>'Monthly Haver'!C144</f>
        <v>54.198700000000002</v>
      </c>
      <c r="C141">
        <f>'Monthly Haver'!D144</f>
        <v>54.938800000000001</v>
      </c>
      <c r="D141" t="e">
        <f>'Monthly Haver'!E144</f>
        <v>#N/A</v>
      </c>
      <c r="E141">
        <f>'Monthly Haver'!G144</f>
        <v>51.647799999999997</v>
      </c>
      <c r="F141">
        <f>'Monthly Haver'!H144</f>
        <v>53.093000000000004</v>
      </c>
      <c r="G141">
        <f>'Monthly Haver'!I144</f>
        <v>48.618099999999998</v>
      </c>
      <c r="H141">
        <f>'Monthly Haver'!J144</f>
        <v>55.040799999999997</v>
      </c>
      <c r="I141">
        <f>GDS_Monthly!O258</f>
        <v>100.75321879418371</v>
      </c>
      <c r="J141">
        <f>GDS_Monthly!D258</f>
        <v>100.56952903107539</v>
      </c>
      <c r="K141">
        <f>GDS_Monthly!AH258</f>
        <v>1001.7466247</v>
      </c>
      <c r="L141">
        <f>GDS_Monthly!AI258</f>
        <v>960.27868850000004</v>
      </c>
      <c r="M141">
        <f>GDS_Monthly!N258</f>
        <v>6.2367800907078044</v>
      </c>
      <c r="N141">
        <f>GDS_Monthly!C258</f>
        <v>100.24009147447977</v>
      </c>
      <c r="O141">
        <f>GDS_Monthly!F258</f>
        <v>3.157696281292349</v>
      </c>
      <c r="P141">
        <f>GDS_Monthly!G258</f>
        <v>2.0051418756829542</v>
      </c>
      <c r="Q141">
        <f>GDS_Monthly!T258</f>
        <v>100.1120061169499</v>
      </c>
      <c r="R141">
        <f>GDS_Monthly!V258</f>
        <v>100.12460797808897</v>
      </c>
      <c r="S141">
        <f>GDS_Monthly!W258</f>
        <v>104.4015206832873</v>
      </c>
      <c r="T141">
        <f>GDS_Monthly!X258</f>
        <v>182.31253494832049</v>
      </c>
      <c r="U141">
        <f>GDS_Monthly!AA258</f>
        <v>121.08802472151862</v>
      </c>
      <c r="V141">
        <f>GDS_Monthly!AC258</f>
        <v>173.13617346236873</v>
      </c>
      <c r="W141">
        <f>GDS_Monthly!AE258</f>
        <v>162.18733400306886</v>
      </c>
      <c r="X141">
        <f>GDS_Monthly!AF258</f>
        <v>123.99618750824213</v>
      </c>
      <c r="Y141">
        <f>OECD!B141</f>
        <v>100.4761</v>
      </c>
      <c r="Z141">
        <f>'Monthly Haver'!K144</f>
        <v>100.9623</v>
      </c>
      <c r="AA141" s="8">
        <f>OECD!C141</f>
        <v>97.23</v>
      </c>
    </row>
    <row r="142" spans="1:27">
      <c r="A142" t="str">
        <f>'Monthly Haver'!A145</f>
        <v>Sep-2010</v>
      </c>
      <c r="B142">
        <f>'Monthly Haver'!C145</f>
        <v>53.374299999999998</v>
      </c>
      <c r="C142">
        <f>'Monthly Haver'!D145</f>
        <v>54.662999999999997</v>
      </c>
      <c r="D142" t="e">
        <f>'Monthly Haver'!E145</f>
        <v>#N/A</v>
      </c>
      <c r="E142">
        <f>'Monthly Haver'!G145</f>
        <v>51.2331</v>
      </c>
      <c r="F142">
        <f>'Monthly Haver'!H145</f>
        <v>52.7667</v>
      </c>
      <c r="G142">
        <f>'Monthly Haver'!I145</f>
        <v>49.108199999999997</v>
      </c>
      <c r="H142">
        <f>'Monthly Haver'!J145</f>
        <v>54.203600000000002</v>
      </c>
      <c r="I142">
        <f>GDS_Monthly!O259</f>
        <v>101.40393866382036</v>
      </c>
      <c r="J142">
        <f>GDS_Monthly!D259</f>
        <v>101.07204395981502</v>
      </c>
      <c r="K142">
        <f>GDS_Monthly!AH259</f>
        <v>1013.0681796</v>
      </c>
      <c r="L142">
        <f>GDS_Monthly!AI259</f>
        <v>977.55677660000003</v>
      </c>
      <c r="M142">
        <f>GDS_Monthly!N259</f>
        <v>6.1998102538024753</v>
      </c>
      <c r="N142">
        <f>GDS_Monthly!C259</f>
        <v>99.029203359644839</v>
      </c>
      <c r="O142">
        <f>GDS_Monthly!F259</f>
        <v>3.1319789280314527</v>
      </c>
      <c r="P142">
        <f>GDS_Monthly!G259</f>
        <v>2.0199173476778016</v>
      </c>
      <c r="Q142">
        <f>GDS_Monthly!T259</f>
        <v>100.37541585565933</v>
      </c>
      <c r="R142">
        <f>GDS_Monthly!V259</f>
        <v>100.25168161999245</v>
      </c>
      <c r="S142">
        <f>GDS_Monthly!W259</f>
        <v>109.67239266628133</v>
      </c>
      <c r="T142">
        <f>GDS_Monthly!X259</f>
        <v>184.66615598204845</v>
      </c>
      <c r="U142">
        <f>GDS_Monthly!AA259</f>
        <v>125.67094261705633</v>
      </c>
      <c r="V142">
        <f>GDS_Monthly!AC259</f>
        <v>172.96660580380609</v>
      </c>
      <c r="W142">
        <f>GDS_Monthly!AE259</f>
        <v>161.71973609611223</v>
      </c>
      <c r="X142">
        <f>GDS_Monthly!AF259</f>
        <v>130.1061896733373</v>
      </c>
      <c r="Y142">
        <f>OECD!B142</f>
        <v>100.5381</v>
      </c>
      <c r="Z142">
        <f>'Monthly Haver'!K145</f>
        <v>99.352779999999996</v>
      </c>
      <c r="AA142" s="8">
        <f>OECD!C142</f>
        <v>97.87</v>
      </c>
    </row>
    <row r="143" spans="1:27">
      <c r="A143" t="str">
        <f>'Monthly Haver'!A146</f>
        <v>Oct-2010</v>
      </c>
      <c r="B143">
        <f>'Monthly Haver'!C146</f>
        <v>53.5595</v>
      </c>
      <c r="C143">
        <f>'Monthly Haver'!D146</f>
        <v>55.511400000000002</v>
      </c>
      <c r="D143" t="e">
        <f>'Monthly Haver'!E146</f>
        <v>#N/A</v>
      </c>
      <c r="E143">
        <f>'Monthly Haver'!G146</f>
        <v>51.764299999999999</v>
      </c>
      <c r="F143">
        <f>'Monthly Haver'!H146</f>
        <v>53.073999999999998</v>
      </c>
      <c r="G143">
        <f>'Monthly Haver'!I146</f>
        <v>48.520899999999997</v>
      </c>
      <c r="H143">
        <f>'Monthly Haver'!J146</f>
        <v>53.1</v>
      </c>
      <c r="I143">
        <f>GDS_Monthly!O260</f>
        <v>102.0461048518392</v>
      </c>
      <c r="J143">
        <f>GDS_Monthly!D260</f>
        <v>101.75853950598182</v>
      </c>
      <c r="K143">
        <f>GDS_Monthly!AH260</f>
        <v>1040.2733447999999</v>
      </c>
      <c r="L143">
        <f>GDS_Monthly!AI260</f>
        <v>1014.7807052000001</v>
      </c>
      <c r="M143">
        <f>GDS_Monthly!N260</f>
        <v>6.2043837781096478</v>
      </c>
      <c r="N143">
        <f>GDS_Monthly!C260</f>
        <v>99.254645207112262</v>
      </c>
      <c r="O143">
        <f>GDS_Monthly!F260</f>
        <v>2.9585395715834992</v>
      </c>
      <c r="P143">
        <f>GDS_Monthly!G260</f>
        <v>2.0321171222649483</v>
      </c>
      <c r="Q143">
        <f>GDS_Monthly!T260</f>
        <v>100.74196388878455</v>
      </c>
      <c r="R143">
        <f>GDS_Monthly!V260</f>
        <v>100.72587747956314</v>
      </c>
      <c r="S143">
        <f>GDS_Monthly!W260</f>
        <v>113.51648059962476</v>
      </c>
      <c r="T143">
        <f>GDS_Monthly!X260</f>
        <v>195.44561957844172</v>
      </c>
      <c r="U143">
        <f>GDS_Monthly!AA260</f>
        <v>131.84499579286268</v>
      </c>
      <c r="V143">
        <f>GDS_Monthly!AC260</f>
        <v>182.84999770052161</v>
      </c>
      <c r="W143">
        <f>GDS_Monthly!AE260</f>
        <v>168.86970207378192</v>
      </c>
      <c r="X143">
        <f>GDS_Monthly!AF260</f>
        <v>140.30487427055112</v>
      </c>
      <c r="Y143">
        <f>OECD!B143</f>
        <v>100.62050000000001</v>
      </c>
      <c r="Z143">
        <f>'Monthly Haver'!K146</f>
        <v>97.343919999999997</v>
      </c>
      <c r="AA143" s="8">
        <f>OECD!C143</f>
        <v>97.64</v>
      </c>
    </row>
    <row r="144" spans="1:27">
      <c r="A144" t="str">
        <f>'Monthly Haver'!A147</f>
        <v>Nov-2010</v>
      </c>
      <c r="B144">
        <f>'Monthly Haver'!C147</f>
        <v>54.072099999999999</v>
      </c>
      <c r="C144">
        <f>'Monthly Haver'!D147</f>
        <v>55.722700000000003</v>
      </c>
      <c r="D144" t="e">
        <f>'Monthly Haver'!E147</f>
        <v>#N/A</v>
      </c>
      <c r="E144">
        <f>'Monthly Haver'!G147</f>
        <v>51.699599999999997</v>
      </c>
      <c r="F144">
        <f>'Monthly Haver'!H147</f>
        <v>53.498899999999999</v>
      </c>
      <c r="G144">
        <f>'Monthly Haver'!I147</f>
        <v>48.0274</v>
      </c>
      <c r="H144">
        <f>'Monthly Haver'!J147</f>
        <v>53.632199999999997</v>
      </c>
      <c r="I144">
        <f>GDS_Monthly!O261</f>
        <v>102.99710272161813</v>
      </c>
      <c r="J144">
        <f>GDS_Monthly!D261</f>
        <v>102.38309180298708</v>
      </c>
      <c r="K144">
        <f>GDS_Monthly!AH261</f>
        <v>1073.3966656</v>
      </c>
      <c r="L144">
        <f>GDS_Monthly!AI261</f>
        <v>1037.1069729000001</v>
      </c>
      <c r="M144">
        <f>GDS_Monthly!N261</f>
        <v>6.1901287981021209</v>
      </c>
      <c r="N144">
        <f>GDS_Monthly!C261</f>
        <v>100.65031003111557</v>
      </c>
      <c r="O144">
        <f>GDS_Monthly!F261</f>
        <v>3.2821866479858794</v>
      </c>
      <c r="P144">
        <f>GDS_Monthly!G261</f>
        <v>2.0574492219540201</v>
      </c>
      <c r="Q144">
        <f>GDS_Monthly!T261</f>
        <v>101.10728127241642</v>
      </c>
      <c r="R144">
        <f>GDS_Monthly!V261</f>
        <v>100.25477360185513</v>
      </c>
      <c r="S144">
        <f>GDS_Monthly!W261</f>
        <v>114.62306697703596</v>
      </c>
      <c r="T144">
        <f>GDS_Monthly!X261</f>
        <v>202.8216069869236</v>
      </c>
      <c r="U144">
        <f>GDS_Monthly!AA261</f>
        <v>135.58360107761368</v>
      </c>
      <c r="V144">
        <f>GDS_Monthly!AC261</f>
        <v>190.00057566535114</v>
      </c>
      <c r="W144">
        <f>GDS_Monthly!AE261</f>
        <v>175.61397755322673</v>
      </c>
      <c r="X144">
        <f>GDS_Monthly!AF261</f>
        <v>149.8460197700025</v>
      </c>
      <c r="Y144">
        <f>OECD!B144</f>
        <v>100.7135</v>
      </c>
      <c r="Z144">
        <f>'Monthly Haver'!K147</f>
        <v>97.631929999999997</v>
      </c>
      <c r="AA144" s="8">
        <f>OECD!C144</f>
        <v>98.46</v>
      </c>
    </row>
    <row r="145" spans="1:27">
      <c r="A145" t="str">
        <f>'Monthly Haver'!A148</f>
        <v>Dec-2010</v>
      </c>
      <c r="B145">
        <f>'Monthly Haver'!C148</f>
        <v>54.517699999999998</v>
      </c>
      <c r="C145">
        <f>'Monthly Haver'!D148</f>
        <v>56.935499999999998</v>
      </c>
      <c r="D145" t="e">
        <f>'Monthly Haver'!E148</f>
        <v>#N/A</v>
      </c>
      <c r="E145">
        <f>'Monthly Haver'!G148</f>
        <v>51.698599999999999</v>
      </c>
      <c r="F145">
        <f>'Monthly Haver'!H148</f>
        <v>53.768099999999997</v>
      </c>
      <c r="G145">
        <f>'Monthly Haver'!I148</f>
        <v>48.320999999999998</v>
      </c>
      <c r="H145">
        <f>'Monthly Haver'!J148</f>
        <v>54.015599999999999</v>
      </c>
      <c r="I145">
        <f>GDS_Monthly!O262</f>
        <v>103.46998494198027</v>
      </c>
      <c r="J145">
        <f>GDS_Monthly!D262</f>
        <v>103.24444247257941</v>
      </c>
      <c r="K145">
        <f>GDS_Monthly!AH262</f>
        <v>1079.5692736999999</v>
      </c>
      <c r="L145">
        <f>GDS_Monthly!AI262</f>
        <v>1043.1895164</v>
      </c>
      <c r="M145">
        <f>GDS_Monthly!N262</f>
        <v>6.1600865768197464</v>
      </c>
      <c r="N145">
        <f>GDS_Monthly!C262</f>
        <v>101.49910511346776</v>
      </c>
      <c r="O145">
        <f>GDS_Monthly!F262</f>
        <v>3.6387324310828131</v>
      </c>
      <c r="P145">
        <f>GDS_Monthly!G262</f>
        <v>2.0639799152881895</v>
      </c>
      <c r="Q145">
        <f>GDS_Monthly!T262</f>
        <v>101.50115670333024</v>
      </c>
      <c r="R145">
        <f>GDS_Monthly!V262</f>
        <v>101.13719536205544</v>
      </c>
      <c r="S145">
        <f>GDS_Monthly!W262</f>
        <v>121.9208366934683</v>
      </c>
      <c r="T145">
        <f>GDS_Monthly!X262</f>
        <v>213.35857333467814</v>
      </c>
      <c r="U145">
        <f>GDS_Monthly!AA262</f>
        <v>142.49524154164132</v>
      </c>
      <c r="V145">
        <f>GDS_Monthly!AC262</f>
        <v>201.96497239841582</v>
      </c>
      <c r="W145">
        <f>GDS_Monthly!AE262</f>
        <v>190.29841242560033</v>
      </c>
      <c r="X145">
        <f>GDS_Monthly!AF262</f>
        <v>159.99882742543718</v>
      </c>
      <c r="Y145">
        <f>OECD!B145</f>
        <v>100.797</v>
      </c>
      <c r="Z145">
        <f>'Monthly Haver'!K148</f>
        <v>98.335499999999996</v>
      </c>
      <c r="AA145" s="8">
        <f>OECD!C145</f>
        <v>99.93</v>
      </c>
    </row>
    <row r="146" spans="1:27">
      <c r="A146" t="str">
        <f>'Monthly Haver'!A149</f>
        <v>Jan-2011</v>
      </c>
      <c r="B146">
        <f>'Monthly Haver'!C149</f>
        <v>55.750300000000003</v>
      </c>
      <c r="C146">
        <f>'Monthly Haver'!D149</f>
        <v>60.049799999999998</v>
      </c>
      <c r="D146" t="e">
        <f>'Monthly Haver'!E149</f>
        <v>#N/A</v>
      </c>
      <c r="E146">
        <f>'Monthly Haver'!G149</f>
        <v>52.161999999999999</v>
      </c>
      <c r="F146">
        <f>'Monthly Haver'!H149</f>
        <v>54.873899999999999</v>
      </c>
      <c r="G146">
        <f>'Monthly Haver'!I149</f>
        <v>47.695700000000002</v>
      </c>
      <c r="H146">
        <f>'Monthly Haver'!J149</f>
        <v>54.461599999999997</v>
      </c>
      <c r="I146">
        <f>GDS_Monthly!O263</f>
        <v>104.74292120095001</v>
      </c>
      <c r="J146">
        <f>GDS_Monthly!D263</f>
        <v>103.96216257215951</v>
      </c>
      <c r="K146">
        <f>GDS_Monthly!AH263</f>
        <v>1139.3495874</v>
      </c>
      <c r="L146">
        <f>GDS_Monthly!AI263</f>
        <v>1079.7300043</v>
      </c>
      <c r="M146">
        <f>GDS_Monthly!N263</f>
        <v>6.1267963139309574</v>
      </c>
      <c r="N146">
        <f>GDS_Monthly!C263</f>
        <v>101.2604083524504</v>
      </c>
      <c r="O146">
        <f>GDS_Monthly!F263</f>
        <v>3.5757596374097234</v>
      </c>
      <c r="P146">
        <f>GDS_Monthly!G263</f>
        <v>2.2267940116152305</v>
      </c>
      <c r="Q146">
        <f>GDS_Monthly!T263</f>
        <v>101.88669531165814</v>
      </c>
      <c r="R146">
        <f>GDS_Monthly!V263</f>
        <v>101.32759693587334</v>
      </c>
      <c r="S146">
        <f>GDS_Monthly!W263</f>
        <v>125.78468233368295</v>
      </c>
      <c r="T146">
        <f>GDS_Monthly!X263</f>
        <v>225.0573352323446</v>
      </c>
      <c r="U146">
        <f>GDS_Monthly!AA263</f>
        <v>147.43101583416563</v>
      </c>
      <c r="V146">
        <f>GDS_Monthly!AC263</f>
        <v>209.93946294899993</v>
      </c>
      <c r="W146">
        <f>GDS_Monthly!AE263</f>
        <v>194.38593959138157</v>
      </c>
      <c r="X146">
        <f>GDS_Monthly!AF263</f>
        <v>171.98706863404956</v>
      </c>
      <c r="Y146">
        <f>OECD!B146</f>
        <v>100.8498</v>
      </c>
      <c r="Z146">
        <f>'Monthly Haver'!K149</f>
        <v>97.625100000000003</v>
      </c>
      <c r="AA146" s="8">
        <f>OECD!C146</f>
        <v>99.81</v>
      </c>
    </row>
    <row r="147" spans="1:27">
      <c r="A147" t="str">
        <f>'Monthly Haver'!A150</f>
        <v>Feb-2011</v>
      </c>
      <c r="B147">
        <f>'Monthly Haver'!C150</f>
        <v>56.103999999999999</v>
      </c>
      <c r="C147">
        <f>'Monthly Haver'!D150</f>
        <v>60.651200000000003</v>
      </c>
      <c r="D147" t="e">
        <f>'Monthly Haver'!E150</f>
        <v>#N/A</v>
      </c>
      <c r="E147">
        <f>'Monthly Haver'!G150</f>
        <v>52.478099999999998</v>
      </c>
      <c r="F147">
        <f>'Monthly Haver'!H150</f>
        <v>55.471699999999998</v>
      </c>
      <c r="G147">
        <f>'Monthly Haver'!I150</f>
        <v>48.149000000000001</v>
      </c>
      <c r="H147">
        <f>'Monthly Haver'!J150</f>
        <v>55.163600000000002</v>
      </c>
      <c r="I147">
        <f>GDS_Monthly!O264</f>
        <v>105.00115306059303</v>
      </c>
      <c r="J147">
        <f>GDS_Monthly!D264</f>
        <v>104.00057984093161</v>
      </c>
      <c r="K147">
        <f>GDS_Monthly!AH264</f>
        <v>1129.9734424999999</v>
      </c>
      <c r="L147">
        <f>GDS_Monthly!AI264</f>
        <v>1087.9111318</v>
      </c>
      <c r="M147">
        <f>GDS_Monthly!N264</f>
        <v>6.1131877709280253</v>
      </c>
      <c r="N147">
        <f>GDS_Monthly!C264</f>
        <v>102.56094330175789</v>
      </c>
      <c r="O147">
        <f>GDS_Monthly!F264</f>
        <v>3.8249612821227621</v>
      </c>
      <c r="P147">
        <f>GDS_Monthly!G264</f>
        <v>2.2557327009432333</v>
      </c>
      <c r="Q147">
        <f>GDS_Monthly!T264</f>
        <v>102.17121896673591</v>
      </c>
      <c r="R147">
        <f>GDS_Monthly!V264</f>
        <v>101.54385998529148</v>
      </c>
      <c r="S147">
        <f>GDS_Monthly!W264</f>
        <v>129.46603235176758</v>
      </c>
      <c r="T147">
        <f>GDS_Monthly!X264</f>
        <v>234.68768189901016</v>
      </c>
      <c r="U147">
        <f>GDS_Monthly!AA264</f>
        <v>152.97334091716286</v>
      </c>
      <c r="V147">
        <f>GDS_Monthly!AC264</f>
        <v>217.79225536381583</v>
      </c>
      <c r="W147">
        <f>GDS_Monthly!AE264</f>
        <v>202.93466474710581</v>
      </c>
      <c r="X147">
        <f>GDS_Monthly!AF264</f>
        <v>187.20527085098246</v>
      </c>
      <c r="Y147">
        <f>OECD!B147</f>
        <v>100.84650000000001</v>
      </c>
      <c r="Z147">
        <f>'Monthly Haver'!K150</f>
        <v>97.872</v>
      </c>
      <c r="AA147" s="8">
        <f>OECD!C147</f>
        <v>100.15</v>
      </c>
    </row>
    <row r="148" spans="1:27">
      <c r="A148" t="str">
        <f>'Monthly Haver'!A151</f>
        <v>Mar-2011</v>
      </c>
      <c r="B148">
        <f>'Monthly Haver'!C151</f>
        <v>54.575000000000003</v>
      </c>
      <c r="C148">
        <f>'Monthly Haver'!D151</f>
        <v>61.172199999999997</v>
      </c>
      <c r="D148" t="e">
        <f>'Monthly Haver'!E151</f>
        <v>#N/A</v>
      </c>
      <c r="E148">
        <f>'Monthly Haver'!G151</f>
        <v>52.676600000000001</v>
      </c>
      <c r="F148">
        <f>'Monthly Haver'!H151</f>
        <v>54.206600000000002</v>
      </c>
      <c r="G148">
        <f>'Monthly Haver'!I151</f>
        <v>49.059100000000001</v>
      </c>
      <c r="H148">
        <f>'Monthly Haver'!J151</f>
        <v>53.0154</v>
      </c>
      <c r="I148">
        <f>GDS_Monthly!O265</f>
        <v>105.60238665030992</v>
      </c>
      <c r="J148">
        <f>GDS_Monthly!D265</f>
        <v>104.3098942450023</v>
      </c>
      <c r="K148">
        <f>GDS_Monthly!AH265</f>
        <v>1178.3332805</v>
      </c>
      <c r="L148">
        <f>GDS_Monthly!AI265</f>
        <v>1122.6679312000001</v>
      </c>
      <c r="M148">
        <f>GDS_Monthly!N265</f>
        <v>6.0508033524750227</v>
      </c>
      <c r="N148">
        <f>GDS_Monthly!C265</f>
        <v>101.10830850776001</v>
      </c>
      <c r="O148">
        <f>GDS_Monthly!F265</f>
        <v>3.7424441720946149</v>
      </c>
      <c r="P148">
        <f>GDS_Monthly!G265</f>
        <v>2.2927969743602015</v>
      </c>
      <c r="Q148">
        <f>GDS_Monthly!T265</f>
        <v>102.57033817333456</v>
      </c>
      <c r="R148">
        <f>GDS_Monthly!V265</f>
        <v>101.77286308562347</v>
      </c>
      <c r="S148">
        <f>GDS_Monthly!W265</f>
        <v>128.41608480391875</v>
      </c>
      <c r="T148">
        <f>GDS_Monthly!X265</f>
        <v>221.39146368208085</v>
      </c>
      <c r="U148">
        <f>GDS_Monthly!AA265</f>
        <v>150.70348249713439</v>
      </c>
      <c r="V148">
        <f>GDS_Monthly!AC265</f>
        <v>235.76780846488916</v>
      </c>
      <c r="W148">
        <f>GDS_Monthly!AE265</f>
        <v>223.06860114878285</v>
      </c>
      <c r="X148">
        <f>GDS_Monthly!AF265</f>
        <v>184.06653813755895</v>
      </c>
      <c r="Y148">
        <f>OECD!B148</f>
        <v>100.7765</v>
      </c>
      <c r="Z148">
        <f>'Monthly Haver'!K151</f>
        <v>97.474440000000001</v>
      </c>
      <c r="AA148" s="8">
        <f>OECD!C148</f>
        <v>101.22</v>
      </c>
    </row>
    <row r="149" spans="1:27">
      <c r="A149" t="str">
        <f>'Monthly Haver'!A152</f>
        <v>Apr-2011</v>
      </c>
      <c r="B149">
        <f>'Monthly Haver'!C152</f>
        <v>53.312199999999997</v>
      </c>
      <c r="C149">
        <f>'Monthly Haver'!D152</f>
        <v>60.238300000000002</v>
      </c>
      <c r="D149" t="e">
        <f>'Monthly Haver'!E152</f>
        <v>#N/A</v>
      </c>
      <c r="E149">
        <f>'Monthly Haver'!G152</f>
        <v>52.324199999999998</v>
      </c>
      <c r="F149">
        <f>'Monthly Haver'!H152</f>
        <v>53.762799999999999</v>
      </c>
      <c r="G149">
        <f>'Monthly Haver'!I152</f>
        <v>49.5321</v>
      </c>
      <c r="H149">
        <f>'Monthly Haver'!J152</f>
        <v>52.923999999999999</v>
      </c>
      <c r="I149">
        <f>GDS_Monthly!O266</f>
        <v>107.41131248813558</v>
      </c>
      <c r="J149">
        <f>GDS_Monthly!D266</f>
        <v>103.82758526839721</v>
      </c>
      <c r="K149">
        <f>GDS_Monthly!AH266</f>
        <v>1182.9129809999999</v>
      </c>
      <c r="L149">
        <f>GDS_Monthly!AI266</f>
        <v>1136.8822041999999</v>
      </c>
      <c r="M149">
        <f>GDS_Monthly!N266</f>
        <v>6.0733345852965543</v>
      </c>
      <c r="N149">
        <f>GDS_Monthly!C266</f>
        <v>100.76753658897796</v>
      </c>
      <c r="O149">
        <f>GDS_Monthly!F266</f>
        <v>3.8954901028960163</v>
      </c>
      <c r="P149">
        <f>GDS_Monthly!G266</f>
        <v>2.3860674779346245</v>
      </c>
      <c r="Q149">
        <f>GDS_Monthly!T266</f>
        <v>102.98270467618507</v>
      </c>
      <c r="R149">
        <f>GDS_Monthly!V266</f>
        <v>101.99576688279859</v>
      </c>
      <c r="S149">
        <f>GDS_Monthly!W266</f>
        <v>132.80219211593132</v>
      </c>
      <c r="T149">
        <f>GDS_Monthly!X266</f>
        <v>226.94933233024102</v>
      </c>
      <c r="U149">
        <f>GDS_Monthly!AA266</f>
        <v>154.98394984742777</v>
      </c>
      <c r="V149">
        <f>GDS_Monthly!AC266</f>
        <v>252.56585520286967</v>
      </c>
      <c r="W149">
        <f>GDS_Monthly!AE266</f>
        <v>236.04613938172352</v>
      </c>
      <c r="X149">
        <f>GDS_Monthly!AF266</f>
        <v>186.51421634002577</v>
      </c>
      <c r="Y149">
        <f>OECD!B149</f>
        <v>100.6439</v>
      </c>
      <c r="Z149">
        <f>'Monthly Haver'!K152</f>
        <v>96.741370000000003</v>
      </c>
      <c r="AA149" s="8">
        <f>OECD!C149</f>
        <v>100.93</v>
      </c>
    </row>
    <row r="150" spans="1:27">
      <c r="A150" t="str">
        <f>'Monthly Haver'!A153</f>
        <v>May-2011</v>
      </c>
      <c r="B150">
        <f>'Monthly Haver'!C153</f>
        <v>54.021500000000003</v>
      </c>
      <c r="C150">
        <f>'Monthly Haver'!D153</f>
        <v>59.032400000000003</v>
      </c>
      <c r="D150" t="e">
        <f>'Monthly Haver'!E153</f>
        <v>#N/A</v>
      </c>
      <c r="E150">
        <f>'Monthly Haver'!G153</f>
        <v>52.157299999999999</v>
      </c>
      <c r="F150">
        <f>'Monthly Haver'!H153</f>
        <v>53.2697</v>
      </c>
      <c r="G150">
        <f>'Monthly Haver'!I153</f>
        <v>49.513100000000001</v>
      </c>
      <c r="H150">
        <f>'Monthly Haver'!J153</f>
        <v>54.317900000000002</v>
      </c>
      <c r="I150">
        <f>GDS_Monthly!O267</f>
        <v>107.50921825590555</v>
      </c>
      <c r="J150">
        <f>GDS_Monthly!D267</f>
        <v>104.52825804085664</v>
      </c>
      <c r="K150">
        <f>GDS_Monthly!AH267</f>
        <v>1212.7861072999999</v>
      </c>
      <c r="L150">
        <f>GDS_Monthly!AI267</f>
        <v>1141.8529120000001</v>
      </c>
      <c r="M150">
        <f>GDS_Monthly!N267</f>
        <v>6.0587526099521831</v>
      </c>
      <c r="N150">
        <f>GDS_Monthly!C267</f>
        <v>100.11060544633158</v>
      </c>
      <c r="O150">
        <f>GDS_Monthly!F267</f>
        <v>3.5944786454347817</v>
      </c>
      <c r="P150">
        <f>GDS_Monthly!G267</f>
        <v>2.4190132494156771</v>
      </c>
      <c r="Q150">
        <f>GDS_Monthly!T267</f>
        <v>103.25317372301051</v>
      </c>
      <c r="R150">
        <f>GDS_Monthly!V267</f>
        <v>102.2410477013855</v>
      </c>
      <c r="S150">
        <f>GDS_Monthly!W267</f>
        <v>129.79625148815614</v>
      </c>
      <c r="T150">
        <f>GDS_Monthly!X267</f>
        <v>218.56779417007394</v>
      </c>
      <c r="U150">
        <f>GDS_Monthly!AA267</f>
        <v>151.09438655802688</v>
      </c>
      <c r="V150">
        <f>GDS_Monthly!AC267</f>
        <v>240.75020452075844</v>
      </c>
      <c r="W150">
        <f>GDS_Monthly!AE267</f>
        <v>219.71455780495043</v>
      </c>
      <c r="X150">
        <f>GDS_Monthly!AF267</f>
        <v>167.84113646507245</v>
      </c>
      <c r="Y150">
        <f>OECD!B150</f>
        <v>100.45820000000001</v>
      </c>
      <c r="Z150">
        <f>'Monthly Haver'!K153</f>
        <v>97.406080000000003</v>
      </c>
      <c r="AA150" s="8">
        <f>OECD!C150</f>
        <v>100.69</v>
      </c>
    </row>
    <row r="151" spans="1:27">
      <c r="A151" t="str">
        <f>'Monthly Haver'!A154</f>
        <v>Jun-2011</v>
      </c>
      <c r="B151">
        <f>'Monthly Haver'!C154</f>
        <v>53.774000000000001</v>
      </c>
      <c r="C151">
        <f>'Monthly Haver'!D154</f>
        <v>58.516399999999997</v>
      </c>
      <c r="D151" t="e">
        <f>'Monthly Haver'!E154</f>
        <v>#N/A</v>
      </c>
      <c r="E151">
        <f>'Monthly Haver'!G154</f>
        <v>51.828600000000002</v>
      </c>
      <c r="F151">
        <f>'Monthly Haver'!H154</f>
        <v>51.878399999999999</v>
      </c>
      <c r="G151">
        <f>'Monthly Haver'!I154</f>
        <v>48.902799999999999</v>
      </c>
      <c r="H151">
        <f>'Monthly Haver'!J154</f>
        <v>53.422600000000003</v>
      </c>
      <c r="I151">
        <f>GDS_Monthly!O268</f>
        <v>108.63702076927541</v>
      </c>
      <c r="J151">
        <f>GDS_Monthly!D268</f>
        <v>105.2397915748315</v>
      </c>
      <c r="K151">
        <f>GDS_Monthly!AH268</f>
        <v>1199.5200976000001</v>
      </c>
      <c r="L151">
        <f>GDS_Monthly!AI268</f>
        <v>1139.9498441999999</v>
      </c>
      <c r="M151">
        <f>GDS_Monthly!N268</f>
        <v>6.0866941947671505</v>
      </c>
      <c r="N151">
        <f>GDS_Monthly!C268</f>
        <v>99.852378957335503</v>
      </c>
      <c r="O151">
        <f>GDS_Monthly!F268</f>
        <v>3.5864898801069227</v>
      </c>
      <c r="P151">
        <f>GDS_Monthly!G268</f>
        <v>2.4440683625125139</v>
      </c>
      <c r="Q151">
        <f>GDS_Monthly!T268</f>
        <v>103.41301536578185</v>
      </c>
      <c r="R151">
        <f>GDS_Monthly!V268</f>
        <v>102.42074954742806</v>
      </c>
      <c r="S151">
        <f>GDS_Monthly!W268</f>
        <v>127.85077536345601</v>
      </c>
      <c r="T151">
        <f>GDS_Monthly!X268</f>
        <v>214.18751535300549</v>
      </c>
      <c r="U151">
        <f>GDS_Monthly!AA268</f>
        <v>150.02237592872325</v>
      </c>
      <c r="V151">
        <f>GDS_Monthly!AC268</f>
        <v>237.88701459901742</v>
      </c>
      <c r="W151">
        <f>GDS_Monthly!AE268</f>
        <v>214.77347938787202</v>
      </c>
      <c r="X151">
        <f>GDS_Monthly!AF268</f>
        <v>167.6343561943809</v>
      </c>
      <c r="Y151">
        <f>OECD!B151</f>
        <v>100.2396</v>
      </c>
      <c r="Z151">
        <f>'Monthly Haver'!K154</f>
        <v>97.48</v>
      </c>
      <c r="AA151" s="8">
        <f>OECD!C151</f>
        <v>100.38</v>
      </c>
    </row>
    <row r="152" spans="1:27">
      <c r="A152" t="str">
        <f>'Monthly Haver'!A155</f>
        <v>Jul-2011</v>
      </c>
      <c r="B152">
        <f>'Monthly Haver'!C155</f>
        <v>53.063699999999997</v>
      </c>
      <c r="C152">
        <f>'Monthly Haver'!D155</f>
        <v>56.807499999999997</v>
      </c>
      <c r="D152" t="e">
        <f>'Monthly Haver'!E155</f>
        <v>#N/A</v>
      </c>
      <c r="E152">
        <f>'Monthly Haver'!G155</f>
        <v>51.686300000000003</v>
      </c>
      <c r="F152">
        <f>'Monthly Haver'!H155</f>
        <v>51.116599999999998</v>
      </c>
      <c r="G152">
        <f>'Monthly Haver'!I155</f>
        <v>48.807299999999998</v>
      </c>
      <c r="H152">
        <f>'Monthly Haver'!J155</f>
        <v>52.408099999999997</v>
      </c>
      <c r="I152">
        <f>GDS_Monthly!O269</f>
        <v>109.42626126559338</v>
      </c>
      <c r="J152">
        <f>GDS_Monthly!D269</f>
        <v>105.53959419798755</v>
      </c>
      <c r="K152">
        <f>GDS_Monthly!AH269</f>
        <v>1200.1193765999999</v>
      </c>
      <c r="L152">
        <f>GDS_Monthly!AI269</f>
        <v>1159.5872257000001</v>
      </c>
      <c r="M152">
        <f>GDS_Monthly!N269</f>
        <v>6.0848161195836541</v>
      </c>
      <c r="N152">
        <f>GDS_Monthly!C269</f>
        <v>99.967501529719954</v>
      </c>
      <c r="O152">
        <f>GDS_Monthly!F269</f>
        <v>3.6361422117009439</v>
      </c>
      <c r="P152">
        <f>GDS_Monthly!G269</f>
        <v>2.5447097559192189</v>
      </c>
      <c r="Q152">
        <f>GDS_Monthly!T269</f>
        <v>103.650443511573</v>
      </c>
      <c r="R152">
        <f>GDS_Monthly!V269</f>
        <v>102.58280789252787</v>
      </c>
      <c r="S152">
        <f>GDS_Monthly!W269</f>
        <v>126.96076018007869</v>
      </c>
      <c r="T152">
        <f>GDS_Monthly!X269</f>
        <v>219.01101015761867</v>
      </c>
      <c r="U152">
        <f>GDS_Monthly!AA269</f>
        <v>151.02699768429036</v>
      </c>
      <c r="V152">
        <f>GDS_Monthly!AC269</f>
        <v>242.63204679883199</v>
      </c>
      <c r="W152">
        <f>GDS_Monthly!AE269</f>
        <v>219.51575174777614</v>
      </c>
      <c r="X152">
        <f>GDS_Monthly!AF269</f>
        <v>161.74414448691911</v>
      </c>
      <c r="Y152">
        <f>OECD!B152</f>
        <v>100.0121</v>
      </c>
      <c r="Z152">
        <f>'Monthly Haver'!K155</f>
        <v>96.924629999999993</v>
      </c>
      <c r="AA152" s="8">
        <f>OECD!C152</f>
        <v>100.81</v>
      </c>
    </row>
    <row r="153" spans="1:27">
      <c r="A153" t="str">
        <f>'Monthly Haver'!A156</f>
        <v>Aug-2011</v>
      </c>
      <c r="B153">
        <f>'Monthly Haver'!C156</f>
        <v>52.492800000000003</v>
      </c>
      <c r="C153">
        <f>'Monthly Haver'!D156</f>
        <v>56.319899999999997</v>
      </c>
      <c r="D153" t="e">
        <f>'Monthly Haver'!E156</f>
        <v>#N/A</v>
      </c>
      <c r="E153">
        <f>'Monthly Haver'!G156</f>
        <v>51.611800000000002</v>
      </c>
      <c r="F153">
        <f>'Monthly Haver'!H156</f>
        <v>50.9621</v>
      </c>
      <c r="G153">
        <f>'Monthly Haver'!I156</f>
        <v>49.0212</v>
      </c>
      <c r="H153">
        <f>'Monthly Haver'!J156</f>
        <v>51.683399999999999</v>
      </c>
      <c r="I153">
        <f>GDS_Monthly!O270</f>
        <v>109.70274190598397</v>
      </c>
      <c r="J153">
        <f>GDS_Monthly!D270</f>
        <v>106.01636044991565</v>
      </c>
      <c r="K153">
        <f>GDS_Monthly!AH270</f>
        <v>1238.8444512000001</v>
      </c>
      <c r="L153">
        <f>GDS_Monthly!AI270</f>
        <v>1178.2691623000001</v>
      </c>
      <c r="M153">
        <f>GDS_Monthly!N270</f>
        <v>6.0617190155790919</v>
      </c>
      <c r="N153">
        <f>GDS_Monthly!C270</f>
        <v>97.141942790538195</v>
      </c>
      <c r="O153">
        <f>GDS_Monthly!F270</f>
        <v>3.1630194724056091</v>
      </c>
      <c r="P153">
        <f>GDS_Monthly!G270</f>
        <v>2.5440589475953028</v>
      </c>
      <c r="Q153">
        <f>GDS_Monthly!T270</f>
        <v>103.88589728071587</v>
      </c>
      <c r="R153">
        <f>GDS_Monthly!V270</f>
        <v>102.79311133584623</v>
      </c>
      <c r="S153">
        <f>GDS_Monthly!W270</f>
        <v>126.56096371498175</v>
      </c>
      <c r="T153">
        <f>GDS_Monthly!X270</f>
        <v>213.29557852029271</v>
      </c>
      <c r="U153">
        <f>GDS_Monthly!AA270</f>
        <v>151.9241890566289</v>
      </c>
      <c r="V153">
        <f>GDS_Monthly!AC270</f>
        <v>230.72674767183</v>
      </c>
      <c r="W153">
        <f>GDS_Monthly!AE270</f>
        <v>203.03223399698012</v>
      </c>
      <c r="X153">
        <f>GDS_Monthly!AF270</f>
        <v>152.96385067442205</v>
      </c>
      <c r="Y153">
        <f>OECD!B153</f>
        <v>99.802679999999995</v>
      </c>
      <c r="Z153">
        <f>'Monthly Haver'!K156</f>
        <v>96.823670000000007</v>
      </c>
      <c r="AA153" s="8">
        <f>OECD!C153</f>
        <v>99.52</v>
      </c>
    </row>
    <row r="154" spans="1:27">
      <c r="A154" t="str">
        <f>'Monthly Haver'!A157</f>
        <v>Sep-2011</v>
      </c>
      <c r="B154">
        <f>'Monthly Haver'!C157</f>
        <v>51.179600000000001</v>
      </c>
      <c r="C154">
        <f>'Monthly Haver'!D157</f>
        <v>56.601799999999997</v>
      </c>
      <c r="D154" t="e">
        <f>'Monthly Haver'!E157</f>
        <v>#N/A</v>
      </c>
      <c r="E154">
        <f>'Monthly Haver'!G157</f>
        <v>50.952399999999997</v>
      </c>
      <c r="F154">
        <f>'Monthly Haver'!H157</f>
        <v>50.412599999999998</v>
      </c>
      <c r="G154">
        <f>'Monthly Haver'!I157</f>
        <v>48.381999999999998</v>
      </c>
      <c r="H154">
        <f>'Monthly Haver'!J157</f>
        <v>51.819099999999999</v>
      </c>
      <c r="I154">
        <f>GDS_Monthly!O271</f>
        <v>110.13969716459219</v>
      </c>
      <c r="J154">
        <f>GDS_Monthly!D271</f>
        <v>105.89514265481515</v>
      </c>
      <c r="K154">
        <f>GDS_Monthly!AH271</f>
        <v>1200.0355400000001</v>
      </c>
      <c r="L154">
        <f>GDS_Monthly!AI271</f>
        <v>1148.2257095</v>
      </c>
      <c r="M154">
        <f>GDS_Monthly!N271</f>
        <v>6.0687696623369982</v>
      </c>
      <c r="N154">
        <f>GDS_Monthly!C271</f>
        <v>97.263035705426788</v>
      </c>
      <c r="O154">
        <f>GDS_Monthly!F271</f>
        <v>2.9060281011454832</v>
      </c>
      <c r="P154">
        <f>GDS_Monthly!G271</f>
        <v>2.5272948208360493</v>
      </c>
      <c r="Q154">
        <f>GDS_Monthly!T271</f>
        <v>104.19248316811347</v>
      </c>
      <c r="R154">
        <f>GDS_Monthly!V271</f>
        <v>103.05796571350139</v>
      </c>
      <c r="S154">
        <f>GDS_Monthly!W271</f>
        <v>120.63699399481941</v>
      </c>
      <c r="T154">
        <f>GDS_Monthly!X271</f>
        <v>206.26628954824653</v>
      </c>
      <c r="U154">
        <f>GDS_Monthly!AA271</f>
        <v>147.5671807395037</v>
      </c>
      <c r="V154">
        <f>GDS_Monthly!AC271</f>
        <v>232.06916596871361</v>
      </c>
      <c r="W154">
        <f>GDS_Monthly!AE271</f>
        <v>208.89642828651938</v>
      </c>
      <c r="X154">
        <f>GDS_Monthly!AF271</f>
        <v>149.95584064752151</v>
      </c>
      <c r="Y154">
        <f>OECD!B154</f>
        <v>99.648619999999994</v>
      </c>
      <c r="Z154">
        <f>'Monthly Haver'!K157</f>
        <v>99.348240000000004</v>
      </c>
      <c r="AA154" s="8">
        <f>OECD!C154</f>
        <v>98.88</v>
      </c>
    </row>
    <row r="155" spans="1:27">
      <c r="A155" t="str">
        <f>'Monthly Haver'!A158</f>
        <v>Oct-2011</v>
      </c>
      <c r="B155">
        <f>'Monthly Haver'!C158</f>
        <v>51.676299999999998</v>
      </c>
      <c r="C155">
        <f>'Monthly Haver'!D158</f>
        <v>55.0929</v>
      </c>
      <c r="D155" t="e">
        <f>'Monthly Haver'!E158</f>
        <v>#N/A</v>
      </c>
      <c r="E155">
        <f>'Monthly Haver'!G158</f>
        <v>50.998199999999997</v>
      </c>
      <c r="F155">
        <f>'Monthly Haver'!H158</f>
        <v>50.5809</v>
      </c>
      <c r="G155">
        <f>'Monthly Haver'!I158</f>
        <v>48.733600000000003</v>
      </c>
      <c r="H155">
        <f>'Monthly Haver'!J158</f>
        <v>52.714300000000001</v>
      </c>
      <c r="I155">
        <f>GDS_Monthly!O272</f>
        <v>110.9754484764066</v>
      </c>
      <c r="J155">
        <f>GDS_Monthly!D272</f>
        <v>105.62459427445565</v>
      </c>
      <c r="K155">
        <f>GDS_Monthly!AH272</f>
        <v>1195.2275281</v>
      </c>
      <c r="L155">
        <f>GDS_Monthly!AI272</f>
        <v>1130.0903221999999</v>
      </c>
      <c r="M155">
        <f>GDS_Monthly!N272</f>
        <v>6.0267439093018114</v>
      </c>
      <c r="N155">
        <f>GDS_Monthly!C272</f>
        <v>96.019531479886055</v>
      </c>
      <c r="O155">
        <f>GDS_Monthly!F272</f>
        <v>3.0924506010924842</v>
      </c>
      <c r="P155">
        <f>GDS_Monthly!G272</f>
        <v>2.5140543603539482</v>
      </c>
      <c r="Q155">
        <f>GDS_Monthly!T272</f>
        <v>104.43543490791403</v>
      </c>
      <c r="R155">
        <f>GDS_Monthly!V272</f>
        <v>103.23308766877024</v>
      </c>
      <c r="S155">
        <f>GDS_Monthly!W272</f>
        <v>118.24710845754521</v>
      </c>
      <c r="T155">
        <f>GDS_Monthly!X272</f>
        <v>182.79272309706354</v>
      </c>
      <c r="U155">
        <f>GDS_Monthly!AA272</f>
        <v>138.72238441618518</v>
      </c>
      <c r="V155">
        <f>GDS_Monthly!AC272</f>
        <v>229.14871990710444</v>
      </c>
      <c r="W155">
        <f>GDS_Monthly!AE272</f>
        <v>206.15535892014157</v>
      </c>
      <c r="X155">
        <f>GDS_Monthly!AF272</f>
        <v>142.20726638388004</v>
      </c>
      <c r="Y155">
        <f>OECD!B155</f>
        <v>99.572940000000003</v>
      </c>
      <c r="Z155">
        <f>'Monthly Haver'!K158</f>
        <v>99.267989999999998</v>
      </c>
      <c r="AA155" s="8">
        <f>OECD!C155</f>
        <v>99.09</v>
      </c>
    </row>
    <row r="156" spans="1:27">
      <c r="A156" t="str">
        <f>'Monthly Haver'!A159</f>
        <v>Nov-2011</v>
      </c>
      <c r="B156">
        <f>'Monthly Haver'!C159</f>
        <v>51.398400000000002</v>
      </c>
      <c r="C156">
        <f>'Monthly Haver'!D159</f>
        <v>54.369799999999998</v>
      </c>
      <c r="D156" t="e">
        <f>'Monthly Haver'!E159</f>
        <v>#N/A</v>
      </c>
      <c r="E156">
        <f>'Monthly Haver'!G159</f>
        <v>51.5642</v>
      </c>
      <c r="F156">
        <f>'Monthly Haver'!H159</f>
        <v>49.389499999999998</v>
      </c>
      <c r="G156">
        <f>'Monthly Haver'!I159</f>
        <v>48.872399999999999</v>
      </c>
      <c r="H156">
        <f>'Monthly Haver'!J159</f>
        <v>52.167999999999999</v>
      </c>
      <c r="I156">
        <f>GDS_Monthly!O273</f>
        <v>111.00118127075021</v>
      </c>
      <c r="J156">
        <f>GDS_Monthly!D273</f>
        <v>106.1274716523705</v>
      </c>
      <c r="K156">
        <f>GDS_Monthly!AH273</f>
        <v>1206.1053142999999</v>
      </c>
      <c r="L156">
        <f>GDS_Monthly!AI273</f>
        <v>1137.5960209</v>
      </c>
      <c r="M156">
        <f>GDS_Monthly!N273</f>
        <v>5.9953918732234124</v>
      </c>
      <c r="N156">
        <f>GDS_Monthly!C273</f>
        <v>98.520683145786492</v>
      </c>
      <c r="O156">
        <f>GDS_Monthly!F273</f>
        <v>3.087841379318669</v>
      </c>
      <c r="P156">
        <f>GDS_Monthly!G273</f>
        <v>2.4455925128052525</v>
      </c>
      <c r="Q156">
        <f>GDS_Monthly!T273</f>
        <v>104.66119488367684</v>
      </c>
      <c r="R156">
        <f>GDS_Monthly!V273</f>
        <v>103.43101108869432</v>
      </c>
      <c r="S156">
        <f>GDS_Monthly!W273</f>
        <v>118.05669557818973</v>
      </c>
      <c r="T156">
        <f>GDS_Monthly!X273</f>
        <v>175.17952256386903</v>
      </c>
      <c r="U156">
        <f>GDS_Monthly!AA273</f>
        <v>137.48637846016834</v>
      </c>
      <c r="V156">
        <f>GDS_Monthly!AC273</f>
        <v>236.70040013805149</v>
      </c>
      <c r="W156">
        <f>GDS_Monthly!AE273</f>
        <v>218.32828294018759</v>
      </c>
      <c r="X156">
        <f>GDS_Monthly!AF273</f>
        <v>132.14472734245371</v>
      </c>
      <c r="Y156">
        <f>OECD!B156</f>
        <v>99.569730000000007</v>
      </c>
      <c r="Z156">
        <f>'Monthly Haver'!K159</f>
        <v>100.14275000000001</v>
      </c>
      <c r="AA156" s="8">
        <f>OECD!C156</f>
        <v>99.16</v>
      </c>
    </row>
    <row r="157" spans="1:27">
      <c r="A157" t="str">
        <f>'Monthly Haver'!A160</f>
        <v>Dec-2011</v>
      </c>
      <c r="B157">
        <f>'Monthly Haver'!C160</f>
        <v>51.889499999999998</v>
      </c>
      <c r="C157">
        <f>'Monthly Haver'!D160</f>
        <v>54.841799999999999</v>
      </c>
      <c r="D157" t="e">
        <f>'Monthly Haver'!E160</f>
        <v>#N/A</v>
      </c>
      <c r="E157">
        <f>'Monthly Haver'!G160</f>
        <v>51.588099999999997</v>
      </c>
      <c r="F157">
        <f>'Monthly Haver'!H160</f>
        <v>50.127099999999999</v>
      </c>
      <c r="G157">
        <f>'Monthly Haver'!I160</f>
        <v>48.869199999999999</v>
      </c>
      <c r="H157">
        <f>'Monthly Haver'!J160</f>
        <v>53.289499999999997</v>
      </c>
      <c r="I157">
        <f>GDS_Monthly!O274</f>
        <v>111.87730388838571</v>
      </c>
      <c r="J157">
        <f>GDS_Monthly!D274</f>
        <v>106.9484756236654</v>
      </c>
      <c r="K157">
        <f>GDS_Monthly!AH274</f>
        <v>1187.5574511</v>
      </c>
      <c r="L157">
        <f>GDS_Monthly!AI274</f>
        <v>1130.1514744999999</v>
      </c>
      <c r="M157">
        <f>GDS_Monthly!N274</f>
        <v>5.9744087639584773</v>
      </c>
      <c r="N157">
        <f>GDS_Monthly!C274</f>
        <v>100.53237548422283</v>
      </c>
      <c r="O157">
        <f>GDS_Monthly!F274</f>
        <v>2.9650905682737192</v>
      </c>
      <c r="P157">
        <f>GDS_Monthly!G274</f>
        <v>2.3600425302138066</v>
      </c>
      <c r="Q157">
        <f>GDS_Monthly!T274</f>
        <v>104.80159674259836</v>
      </c>
      <c r="R157">
        <f>GDS_Monthly!V274</f>
        <v>103.62426709170106</v>
      </c>
      <c r="S157">
        <f>GDS_Monthly!W274</f>
        <v>115.07819537229739</v>
      </c>
      <c r="T157">
        <f>GDS_Monthly!X274</f>
        <v>174.89437150549674</v>
      </c>
      <c r="U157">
        <f>GDS_Monthly!AA274</f>
        <v>133.71259039901713</v>
      </c>
      <c r="V157">
        <f>GDS_Monthly!AC274</f>
        <v>234.13704637354604</v>
      </c>
      <c r="W157">
        <f>GDS_Monthly!AE274</f>
        <v>218.88018469007034</v>
      </c>
      <c r="X157">
        <f>GDS_Monthly!AF274</f>
        <v>128.09923395175574</v>
      </c>
      <c r="Y157">
        <f>OECD!B157</f>
        <v>99.613950000000003</v>
      </c>
      <c r="Z157">
        <f>'Monthly Haver'!K160</f>
        <v>100.25264</v>
      </c>
      <c r="AA157" s="8">
        <f>OECD!C157</f>
        <v>99.43</v>
      </c>
    </row>
    <row r="158" spans="1:27">
      <c r="A158" t="str">
        <f>'Monthly Haver'!A161</f>
        <v>Jan-2012</v>
      </c>
      <c r="B158">
        <f>'Monthly Haver'!C161</f>
        <v>52.9101</v>
      </c>
      <c r="C158">
        <f>'Monthly Haver'!D161</f>
        <v>54.115900000000003</v>
      </c>
      <c r="D158" t="e">
        <f>'Monthly Haver'!E161</f>
        <v>#N/A</v>
      </c>
      <c r="E158">
        <f>'Monthly Haver'!G161</f>
        <v>51.465000000000003</v>
      </c>
      <c r="F158">
        <f>'Monthly Haver'!H161</f>
        <v>50.8001</v>
      </c>
      <c r="G158">
        <f>'Monthly Haver'!I161</f>
        <v>48.4664</v>
      </c>
      <c r="H158">
        <f>'Monthly Haver'!J161</f>
        <v>54.621499999999997</v>
      </c>
      <c r="I158">
        <f>GDS_Monthly!O275</f>
        <v>112.24847171680152</v>
      </c>
      <c r="J158">
        <f>GDS_Monthly!D275</f>
        <v>107.08201182624978</v>
      </c>
      <c r="K158">
        <f>GDS_Monthly!AH275</f>
        <v>1197.8562783</v>
      </c>
      <c r="L158">
        <f>GDS_Monthly!AI275</f>
        <v>1135.7094139999999</v>
      </c>
      <c r="M158">
        <f>GDS_Monthly!N275</f>
        <v>5.9567350780138115</v>
      </c>
      <c r="N158">
        <f>GDS_Monthly!C275</f>
        <v>100.34852218987747</v>
      </c>
      <c r="O158">
        <f>GDS_Monthly!F275</f>
        <v>2.817013604925461</v>
      </c>
      <c r="P158">
        <f>GDS_Monthly!G275</f>
        <v>2.4793698332909524</v>
      </c>
      <c r="Q158">
        <f>GDS_Monthly!T275</f>
        <v>105.08358860982815</v>
      </c>
      <c r="R158">
        <f>GDS_Monthly!V275</f>
        <v>103.82356719630586</v>
      </c>
      <c r="S158">
        <f>GDS_Monthly!W275</f>
        <v>117.84453180774153</v>
      </c>
      <c r="T158">
        <f>GDS_Monthly!X275</f>
        <v>183.21517486505689</v>
      </c>
      <c r="U158">
        <f>GDS_Monthly!AA275</f>
        <v>136.81511385798376</v>
      </c>
      <c r="V158">
        <f>GDS_Monthly!AC275</f>
        <v>236.6397809281508</v>
      </c>
      <c r="W158">
        <f>GDS_Monthly!AE275</f>
        <v>225.89115617642514</v>
      </c>
      <c r="X158">
        <f>GDS_Monthly!AF275</f>
        <v>132.99197136773969</v>
      </c>
      <c r="Y158">
        <f>OECD!B158</f>
        <v>99.671589999999995</v>
      </c>
      <c r="Z158">
        <f>'Monthly Haver'!K161</f>
        <v>99.531530000000004</v>
      </c>
      <c r="AA158" s="8">
        <f>OECD!C158</f>
        <v>100.21</v>
      </c>
    </row>
    <row r="159" spans="1:27">
      <c r="A159" t="str">
        <f>'Monthly Haver'!A162</f>
        <v>Feb-2012</v>
      </c>
      <c r="B159">
        <f>'Monthly Haver'!C162</f>
        <v>53.047600000000003</v>
      </c>
      <c r="C159">
        <f>'Monthly Haver'!D162</f>
        <v>55.1068</v>
      </c>
      <c r="D159" t="e">
        <f>'Monthly Haver'!E162</f>
        <v>#N/A</v>
      </c>
      <c r="E159">
        <f>'Monthly Haver'!G162</f>
        <v>51.484499999999997</v>
      </c>
      <c r="F159">
        <f>'Monthly Haver'!H162</f>
        <v>51.050800000000002</v>
      </c>
      <c r="G159">
        <f>'Monthly Haver'!I162</f>
        <v>49.131799999999998</v>
      </c>
      <c r="H159">
        <f>'Monthly Haver'!J162</f>
        <v>54.080300000000001</v>
      </c>
      <c r="I159">
        <f>GDS_Monthly!O276</f>
        <v>114.00784261895838</v>
      </c>
      <c r="J159">
        <f>GDS_Monthly!D276</f>
        <v>108.04250348345521</v>
      </c>
      <c r="K159">
        <f>GDS_Monthly!AH276</f>
        <v>1224.4790266</v>
      </c>
      <c r="L159">
        <f>GDS_Monthly!AI276</f>
        <v>1152.1228371</v>
      </c>
      <c r="M159">
        <f>GDS_Monthly!N276</f>
        <v>5.9701826144012919</v>
      </c>
      <c r="N159">
        <f>GDS_Monthly!C276</f>
        <v>102.04519047236597</v>
      </c>
      <c r="O159">
        <f>GDS_Monthly!F276</f>
        <v>2.7807420087265728</v>
      </c>
      <c r="P159">
        <f>GDS_Monthly!G276</f>
        <v>2.4733476768818421</v>
      </c>
      <c r="Q159">
        <f>GDS_Monthly!T276</f>
        <v>105.33539318606029</v>
      </c>
      <c r="R159">
        <f>GDS_Monthly!V276</f>
        <v>103.95616028341288</v>
      </c>
      <c r="S159">
        <f>GDS_Monthly!W276</f>
        <v>120.59323284738623</v>
      </c>
      <c r="T159">
        <f>GDS_Monthly!X276</f>
        <v>187.27385824858268</v>
      </c>
      <c r="U159">
        <f>GDS_Monthly!AA276</f>
        <v>140.7850249400272</v>
      </c>
      <c r="V159">
        <f>GDS_Monthly!AC276</f>
        <v>244.37538237063012</v>
      </c>
      <c r="W159">
        <f>GDS_Monthly!AE276</f>
        <v>236.12054467216319</v>
      </c>
      <c r="X159">
        <f>GDS_Monthly!AF276</f>
        <v>137.75772241028153</v>
      </c>
      <c r="Y159">
        <f>OECD!B159</f>
        <v>99.708929999999995</v>
      </c>
      <c r="Z159">
        <f>'Monthly Haver'!K162</f>
        <v>98.091459999999998</v>
      </c>
      <c r="AA159" s="8">
        <f>OECD!C159</f>
        <v>100.28</v>
      </c>
    </row>
    <row r="160" spans="1:27">
      <c r="A160" t="str">
        <f>'Monthly Haver'!A163</f>
        <v>Mar-2012</v>
      </c>
      <c r="B160">
        <f>'Monthly Haver'!C163</f>
        <v>53.874400000000001</v>
      </c>
      <c r="C160">
        <f>'Monthly Haver'!D163</f>
        <v>55.512900000000002</v>
      </c>
      <c r="D160" t="e">
        <f>'Monthly Haver'!E163</f>
        <v>#N/A</v>
      </c>
      <c r="E160">
        <f>'Monthly Haver'!G163</f>
        <v>51.424900000000001</v>
      </c>
      <c r="F160">
        <f>'Monthly Haver'!H163</f>
        <v>51.1678</v>
      </c>
      <c r="G160">
        <f>'Monthly Haver'!I163</f>
        <v>49.279499999999999</v>
      </c>
      <c r="H160">
        <f>'Monthly Haver'!J163</f>
        <v>54.661799999999999</v>
      </c>
      <c r="I160">
        <f>GDS_Monthly!O277</f>
        <v>114.49935986049309</v>
      </c>
      <c r="J160">
        <f>GDS_Monthly!D277</f>
        <v>107.77739809835423</v>
      </c>
      <c r="K160">
        <f>GDS_Monthly!AH277</f>
        <v>1223.8759164999999</v>
      </c>
      <c r="L160">
        <f>GDS_Monthly!AI277</f>
        <v>1152.7416247000001</v>
      </c>
      <c r="M160">
        <f>GDS_Monthly!N277</f>
        <v>5.992438071703079</v>
      </c>
      <c r="N160">
        <f>GDS_Monthly!C277</f>
        <v>101.49375481973784</v>
      </c>
      <c r="O160">
        <f>GDS_Monthly!F277</f>
        <v>2.7580723088917831</v>
      </c>
      <c r="P160">
        <f>GDS_Monthly!G277</f>
        <v>2.4439234262563119</v>
      </c>
      <c r="Q160">
        <f>GDS_Monthly!T277</f>
        <v>105.63032890980023</v>
      </c>
      <c r="R160">
        <f>GDS_Monthly!V277</f>
        <v>104.17807199816703</v>
      </c>
      <c r="S160">
        <f>GDS_Monthly!W277</f>
        <v>123.09949405875805</v>
      </c>
      <c r="T160">
        <f>GDS_Monthly!X277</f>
        <v>187.70109106417283</v>
      </c>
      <c r="U160">
        <f>GDS_Monthly!AA277</f>
        <v>141.53673707725272</v>
      </c>
      <c r="V160">
        <f>GDS_Monthly!AC277</f>
        <v>253.33486741662077</v>
      </c>
      <c r="W160">
        <f>GDS_Monthly!AE277</f>
        <v>248.16123667907581</v>
      </c>
      <c r="X160">
        <f>GDS_Monthly!AF277</f>
        <v>135.7068003200487</v>
      </c>
      <c r="Y160">
        <f>OECD!B160</f>
        <v>99.706469999999996</v>
      </c>
      <c r="Z160">
        <f>'Monthly Haver'!K163</f>
        <v>99.323679999999996</v>
      </c>
      <c r="AA160" s="8">
        <f>OECD!C160</f>
        <v>100.84</v>
      </c>
    </row>
    <row r="161" spans="1:27">
      <c r="A161" t="str">
        <f>'Monthly Haver'!A164</f>
        <v>Apr-2012</v>
      </c>
      <c r="B161">
        <f>'Monthly Haver'!C164</f>
        <v>53.301200000000001</v>
      </c>
      <c r="C161">
        <f>'Monthly Haver'!D164</f>
        <v>55.338700000000003</v>
      </c>
      <c r="D161" t="e">
        <f>'Monthly Haver'!E164</f>
        <v>#N/A</v>
      </c>
      <c r="E161">
        <f>'Monthly Haver'!G164</f>
        <v>51.344200000000001</v>
      </c>
      <c r="F161">
        <f>'Monthly Haver'!H164</f>
        <v>50.986400000000003</v>
      </c>
      <c r="G161">
        <f>'Monthly Haver'!I164</f>
        <v>49.322299999999998</v>
      </c>
      <c r="H161">
        <f>'Monthly Haver'!J164</f>
        <v>53.064</v>
      </c>
      <c r="I161">
        <f>GDS_Monthly!O278</f>
        <v>114.3131166469712</v>
      </c>
      <c r="J161">
        <f>GDS_Monthly!D278</f>
        <v>107.37556553953165</v>
      </c>
      <c r="K161">
        <f>GDS_Monthly!AH278</f>
        <v>1195.0083884999999</v>
      </c>
      <c r="L161">
        <f>GDS_Monthly!AI278</f>
        <v>1141.3393556000001</v>
      </c>
      <c r="M161">
        <f>GDS_Monthly!N278</f>
        <v>5.9413569742451893</v>
      </c>
      <c r="N161">
        <f>GDS_Monthly!C278</f>
        <v>101.3587587404021</v>
      </c>
      <c r="O161">
        <f>GDS_Monthly!F278</f>
        <v>2.722363006676717</v>
      </c>
      <c r="P161">
        <f>GDS_Monthly!G278</f>
        <v>2.403221130371743</v>
      </c>
      <c r="Q161">
        <f>GDS_Monthly!T278</f>
        <v>105.90434956471168</v>
      </c>
      <c r="R161">
        <f>GDS_Monthly!V278</f>
        <v>104.4056308152016</v>
      </c>
      <c r="S161">
        <f>GDS_Monthly!W278</f>
        <v>122.16986095625131</v>
      </c>
      <c r="T161">
        <f>GDS_Monthly!X278</f>
        <v>186.17544785226792</v>
      </c>
      <c r="U161">
        <f>GDS_Monthly!AA278</f>
        <v>141.22359890531962</v>
      </c>
      <c r="V161">
        <f>GDS_Monthly!AC278</f>
        <v>246.43748335125534</v>
      </c>
      <c r="W161">
        <f>GDS_Monthly!AE278</f>
        <v>239.28052951230242</v>
      </c>
      <c r="X161">
        <f>GDS_Monthly!AF278</f>
        <v>135.82200458690062</v>
      </c>
      <c r="Y161">
        <f>OECD!B161</f>
        <v>99.660769999999999</v>
      </c>
      <c r="Z161">
        <f>'Monthly Haver'!K164</f>
        <v>98.983999999999995</v>
      </c>
      <c r="AA161" s="8">
        <f>OECD!C161</f>
        <v>100.6</v>
      </c>
    </row>
    <row r="162" spans="1:27">
      <c r="A162" t="str">
        <f>'Monthly Haver'!A165</f>
        <v>May-2012</v>
      </c>
      <c r="B162">
        <f>'Monthly Haver'!C165</f>
        <v>52.4681</v>
      </c>
      <c r="C162">
        <f>'Monthly Haver'!D165</f>
        <v>54.013300000000001</v>
      </c>
      <c r="D162" t="e">
        <f>'Monthly Haver'!E165</f>
        <v>#N/A</v>
      </c>
      <c r="E162">
        <f>'Monthly Haver'!G165</f>
        <v>51.310699999999997</v>
      </c>
      <c r="F162">
        <f>'Monthly Haver'!H165</f>
        <v>49.9998</v>
      </c>
      <c r="G162">
        <f>'Monthly Haver'!I165</f>
        <v>49.755499999999998</v>
      </c>
      <c r="H162">
        <f>'Monthly Haver'!J165</f>
        <v>52.924199999999999</v>
      </c>
      <c r="I162">
        <f>GDS_Monthly!O279</f>
        <v>114.76016354996005</v>
      </c>
      <c r="J162">
        <f>GDS_Monthly!D279</f>
        <v>108.31288949283446</v>
      </c>
      <c r="K162">
        <f>GDS_Monthly!AH279</f>
        <v>1227.5069887</v>
      </c>
      <c r="L162">
        <f>GDS_Monthly!AI279</f>
        <v>1164.4474206</v>
      </c>
      <c r="M162">
        <f>GDS_Monthly!N279</f>
        <v>5.9197925208750739</v>
      </c>
      <c r="N162">
        <f>GDS_Monthly!C279</f>
        <v>100.82050666554699</v>
      </c>
      <c r="O162">
        <f>GDS_Monthly!F279</f>
        <v>2.6875137914749372</v>
      </c>
      <c r="P162">
        <f>GDS_Monthly!G279</f>
        <v>2.3777333272923706</v>
      </c>
      <c r="Q162">
        <f>GDS_Monthly!T279</f>
        <v>105.89253646015513</v>
      </c>
      <c r="R162">
        <f>GDS_Monthly!V279</f>
        <v>104.55028156044067</v>
      </c>
      <c r="S162">
        <f>GDS_Monthly!W279</f>
        <v>116.5342386383212</v>
      </c>
      <c r="T162">
        <f>GDS_Monthly!X279</f>
        <v>176.15120747384736</v>
      </c>
      <c r="U162">
        <f>GDS_Monthly!AA279</f>
        <v>135.32552353845421</v>
      </c>
      <c r="V162">
        <f>GDS_Monthly!AC279</f>
        <v>228.3456831090528</v>
      </c>
      <c r="W162">
        <f>GDS_Monthly!AE279</f>
        <v>220.83069797265395</v>
      </c>
      <c r="X162">
        <f>GDS_Monthly!AF279</f>
        <v>132.79477176929745</v>
      </c>
      <c r="Y162">
        <f>OECD!B162</f>
        <v>99.581909999999993</v>
      </c>
      <c r="Z162">
        <f>'Monthly Haver'!K165</f>
        <v>100.28281</v>
      </c>
      <c r="AA162" s="8">
        <f>OECD!C162</f>
        <v>100.05</v>
      </c>
    </row>
    <row r="163" spans="1:27">
      <c r="A163" t="str">
        <f>'Monthly Haver'!A166</f>
        <v>Jun-2012</v>
      </c>
      <c r="B163">
        <f>'Monthly Haver'!C166</f>
        <v>51.788699999999999</v>
      </c>
      <c r="C163">
        <f>'Monthly Haver'!D166</f>
        <v>52.401899999999998</v>
      </c>
      <c r="D163" t="e">
        <f>'Monthly Haver'!E166</f>
        <v>#N/A</v>
      </c>
      <c r="E163">
        <f>'Monthly Haver'!G166</f>
        <v>50.421900000000001</v>
      </c>
      <c r="F163">
        <f>'Monthly Haver'!H166</f>
        <v>49.537100000000002</v>
      </c>
      <c r="G163">
        <f>'Monthly Haver'!I166</f>
        <v>49.3797</v>
      </c>
      <c r="H163">
        <f>'Monthly Haver'!J166</f>
        <v>51.225000000000001</v>
      </c>
      <c r="I163">
        <f>GDS_Monthly!O280</f>
        <v>115.32706007209732</v>
      </c>
      <c r="J163">
        <f>GDS_Monthly!D280</f>
        <v>108.04995660629091</v>
      </c>
      <c r="K163">
        <f>GDS_Monthly!AH280</f>
        <v>1178.2171266</v>
      </c>
      <c r="L163">
        <f>GDS_Monthly!AI280</f>
        <v>1131.5812704</v>
      </c>
      <c r="M163">
        <f>GDS_Monthly!N280</f>
        <v>5.9236282446847648</v>
      </c>
      <c r="N163">
        <f>GDS_Monthly!C280</f>
        <v>100.02955489835155</v>
      </c>
      <c r="O163">
        <f>GDS_Monthly!F280</f>
        <v>2.5498633976348608</v>
      </c>
      <c r="P163">
        <f>GDS_Monthly!G280</f>
        <v>2.3509572663876002</v>
      </c>
      <c r="Q163">
        <f>GDS_Monthly!T280</f>
        <v>105.89772308581264</v>
      </c>
      <c r="R163">
        <f>GDS_Monthly!V280</f>
        <v>104.70412514553244</v>
      </c>
      <c r="S163">
        <f>GDS_Monthly!W280</f>
        <v>116.75688980702866</v>
      </c>
      <c r="T163">
        <f>GDS_Monthly!X280</f>
        <v>169.98041123816992</v>
      </c>
      <c r="U163">
        <f>GDS_Monthly!AA280</f>
        <v>132.32867492012514</v>
      </c>
      <c r="V163">
        <f>GDS_Monthly!AC280</f>
        <v>205.11538467694805</v>
      </c>
      <c r="W163">
        <f>GDS_Monthly!AE280</f>
        <v>194.35606048464365</v>
      </c>
      <c r="X163">
        <f>GDS_Monthly!AF280</f>
        <v>124.0249227093007</v>
      </c>
      <c r="Y163">
        <f>OECD!B163</f>
        <v>99.486099999999993</v>
      </c>
      <c r="Z163">
        <f>'Monthly Haver'!K166</f>
        <v>101.49361</v>
      </c>
      <c r="AA163" s="8">
        <f>OECD!C163</f>
        <v>99.33</v>
      </c>
    </row>
    <row r="164" spans="1:27">
      <c r="A164" t="str">
        <f>'Monthly Haver'!A167</f>
        <v>Jul-2012</v>
      </c>
      <c r="B164">
        <f>'Monthly Haver'!C167</f>
        <v>50.419600000000003</v>
      </c>
      <c r="C164">
        <f>'Monthly Haver'!D167</f>
        <v>52.3337</v>
      </c>
      <c r="D164" t="e">
        <f>'Monthly Haver'!E167</f>
        <v>#N/A</v>
      </c>
      <c r="E164">
        <f>'Monthly Haver'!G167</f>
        <v>50.686300000000003</v>
      </c>
      <c r="F164">
        <f>'Monthly Haver'!H167</f>
        <v>48.877099999999999</v>
      </c>
      <c r="G164">
        <f>'Monthly Haver'!I167</f>
        <v>49.496600000000001</v>
      </c>
      <c r="H164">
        <f>'Monthly Haver'!J167</f>
        <v>50.340299999999999</v>
      </c>
      <c r="I164">
        <f>GDS_Monthly!O281</f>
        <v>115.67921389270089</v>
      </c>
      <c r="J164">
        <f>GDS_Monthly!D281</f>
        <v>108.36283014087947</v>
      </c>
      <c r="K164">
        <f>GDS_Monthly!AH281</f>
        <v>1167.5647873999999</v>
      </c>
      <c r="L164">
        <f>GDS_Monthly!AI281</f>
        <v>1115.2514782000001</v>
      </c>
      <c r="M164">
        <f>GDS_Monthly!N281</f>
        <v>5.9330028241480273</v>
      </c>
      <c r="N164">
        <f>GDS_Monthly!C281</f>
        <v>100.48765592433789</v>
      </c>
      <c r="O164">
        <f>GDS_Monthly!F281</f>
        <v>2.4096670017495692</v>
      </c>
      <c r="P164">
        <f>GDS_Monthly!G281</f>
        <v>2.238726353575005</v>
      </c>
      <c r="Q164">
        <f>GDS_Monthly!T281</f>
        <v>106.05897699787401</v>
      </c>
      <c r="R164">
        <f>GDS_Monthly!V281</f>
        <v>104.89394646430128</v>
      </c>
      <c r="S164">
        <f>GDS_Monthly!W281</f>
        <v>123.55572981050605</v>
      </c>
      <c r="T164">
        <f>GDS_Monthly!X281</f>
        <v>166.35899971121523</v>
      </c>
      <c r="U164">
        <f>GDS_Monthly!AA281</f>
        <v>134.39966812721249</v>
      </c>
      <c r="V164">
        <f>GDS_Monthly!AC281</f>
        <v>214.92379899534706</v>
      </c>
      <c r="W164">
        <f>GDS_Monthly!AE281</f>
        <v>208.46653920297831</v>
      </c>
      <c r="X164">
        <f>GDS_Monthly!AF281</f>
        <v>123.22005092680313</v>
      </c>
      <c r="Y164">
        <f>OECD!B164</f>
        <v>99.395259999999993</v>
      </c>
      <c r="Z164">
        <f>'Monthly Haver'!K167</f>
        <v>101.30234</v>
      </c>
      <c r="AA164" s="8">
        <f>OECD!C164</f>
        <v>99.6</v>
      </c>
    </row>
    <row r="165" spans="1:27">
      <c r="A165" t="str">
        <f>'Monthly Haver'!A168</f>
        <v>Aug-2012</v>
      </c>
      <c r="B165">
        <f>'Monthly Haver'!C168</f>
        <v>50.0931</v>
      </c>
      <c r="C165">
        <f>'Monthly Haver'!D168</f>
        <v>52.784999999999997</v>
      </c>
      <c r="D165" t="e">
        <f>'Monthly Haver'!E168</f>
        <v>#N/A</v>
      </c>
      <c r="E165">
        <f>'Monthly Haver'!G168</f>
        <v>50.901699999999998</v>
      </c>
      <c r="F165">
        <f>'Monthly Haver'!H168</f>
        <v>48.723999999999997</v>
      </c>
      <c r="G165">
        <f>'Monthly Haver'!I168</f>
        <v>50.074300000000001</v>
      </c>
      <c r="H165">
        <f>'Monthly Haver'!J168</f>
        <v>50.604900000000001</v>
      </c>
      <c r="I165">
        <f>GDS_Monthly!O282</f>
        <v>116.52826806032212</v>
      </c>
      <c r="J165">
        <f>GDS_Monthly!D282</f>
        <v>108.3724214276109</v>
      </c>
      <c r="K165">
        <f>GDS_Monthly!AH282</f>
        <v>1185.1130410999999</v>
      </c>
      <c r="L165">
        <f>GDS_Monthly!AI282</f>
        <v>1131.9302995</v>
      </c>
      <c r="M165">
        <f>GDS_Monthly!N282</f>
        <v>5.9146546400146685</v>
      </c>
      <c r="N165">
        <f>GDS_Monthly!C282</f>
        <v>99.673554885922229</v>
      </c>
      <c r="O165">
        <f>GDS_Monthly!F282</f>
        <v>2.3452907794693147</v>
      </c>
      <c r="P165">
        <f>GDS_Monthly!G282</f>
        <v>2.2133598411791722</v>
      </c>
      <c r="Q165">
        <f>GDS_Monthly!T282</f>
        <v>106.48227605687582</v>
      </c>
      <c r="R165">
        <f>GDS_Monthly!V282</f>
        <v>105.03176840638177</v>
      </c>
      <c r="S165">
        <f>GDS_Monthly!W282</f>
        <v>124.87643965800201</v>
      </c>
      <c r="T165">
        <f>GDS_Monthly!X282</f>
        <v>154.20961964448682</v>
      </c>
      <c r="U165">
        <f>GDS_Monthly!AA282</f>
        <v>132.97887510169247</v>
      </c>
      <c r="V165">
        <f>GDS_Monthly!AC282</f>
        <v>228.38041890547041</v>
      </c>
      <c r="W165">
        <f>GDS_Monthly!AE282</f>
        <v>225.8608633194103</v>
      </c>
      <c r="X165">
        <f>GDS_Monthly!AF282</f>
        <v>120.04965358844375</v>
      </c>
      <c r="Y165">
        <f>OECD!B165</f>
        <v>99.328639999999993</v>
      </c>
      <c r="Z165">
        <f>'Monthly Haver'!K168</f>
        <v>101.70589</v>
      </c>
      <c r="AA165" s="8">
        <f>OECD!C165</f>
        <v>99.83</v>
      </c>
    </row>
    <row r="166" spans="1:27">
      <c r="A166" t="str">
        <f>'Monthly Haver'!A169</f>
        <v>Sep-2012</v>
      </c>
      <c r="B166">
        <f>'Monthly Haver'!C169</f>
        <v>50.3596</v>
      </c>
      <c r="C166">
        <f>'Monthly Haver'!D169</f>
        <v>54.081899999999997</v>
      </c>
      <c r="D166" t="e">
        <f>'Monthly Haver'!E169</f>
        <v>#N/A</v>
      </c>
      <c r="E166">
        <f>'Monthly Haver'!G169</f>
        <v>50.303600000000003</v>
      </c>
      <c r="F166">
        <f>'Monthly Haver'!H169</f>
        <v>48.880299999999998</v>
      </c>
      <c r="G166">
        <f>'Monthly Haver'!I169</f>
        <v>49.200400000000002</v>
      </c>
      <c r="H166">
        <f>'Monthly Haver'!J169</f>
        <v>50.392200000000003</v>
      </c>
      <c r="I166">
        <f>GDS_Monthly!O283</f>
        <v>117.25849309013319</v>
      </c>
      <c r="J166">
        <f>GDS_Monthly!D283</f>
        <v>107.97708046365931</v>
      </c>
      <c r="K166">
        <f>GDS_Monthly!AH283</f>
        <v>1196.3435649999999</v>
      </c>
      <c r="L166">
        <f>GDS_Monthly!AI283</f>
        <v>1147.9023826</v>
      </c>
      <c r="M166">
        <f>GDS_Monthly!N283</f>
        <v>5.8978486495777718</v>
      </c>
      <c r="N166">
        <f>GDS_Monthly!C283</f>
        <v>100.92619268611455</v>
      </c>
      <c r="O166">
        <f>GDS_Monthly!F283</f>
        <v>2.2506356453587926</v>
      </c>
      <c r="P166">
        <f>GDS_Monthly!G283</f>
        <v>2.2163896814489119</v>
      </c>
      <c r="Q166">
        <f>GDS_Monthly!T283</f>
        <v>106.85163273943539</v>
      </c>
      <c r="R166">
        <f>GDS_Monthly!V283</f>
        <v>105.28668990620649</v>
      </c>
      <c r="S166">
        <f>GDS_Monthly!W283</f>
        <v>122.34305021669648</v>
      </c>
      <c r="T166">
        <f>GDS_Monthly!X283</f>
        <v>156.92482090617159</v>
      </c>
      <c r="U166">
        <f>GDS_Monthly!AA283</f>
        <v>134.56243132076744</v>
      </c>
      <c r="V166">
        <f>GDS_Monthly!AC283</f>
        <v>230.32900417911242</v>
      </c>
      <c r="W166">
        <f>GDS_Monthly!AE283</f>
        <v>224.3928341914835</v>
      </c>
      <c r="X166">
        <f>GDS_Monthly!AF283</f>
        <v>122.55314199917372</v>
      </c>
      <c r="Y166">
        <f>OECD!B166</f>
        <v>99.298680000000004</v>
      </c>
      <c r="Z166">
        <f>'Monthly Haver'!K169</f>
        <v>100.3569</v>
      </c>
      <c r="AA166" s="8">
        <f>OECD!C166</f>
        <v>100.86</v>
      </c>
    </row>
    <row r="167" spans="1:27">
      <c r="A167" t="str">
        <f>'Monthly Haver'!A170</f>
        <v>Oct-2012</v>
      </c>
      <c r="B167">
        <f>'Monthly Haver'!C170</f>
        <v>51.091200000000001</v>
      </c>
      <c r="C167">
        <f>'Monthly Haver'!D170</f>
        <v>54.485799999999998</v>
      </c>
      <c r="D167" t="e">
        <f>'Monthly Haver'!E170</f>
        <v>#N/A</v>
      </c>
      <c r="E167">
        <f>'Monthly Haver'!G170</f>
        <v>50.935200000000002</v>
      </c>
      <c r="F167">
        <f>'Monthly Haver'!H170</f>
        <v>49.139400000000002</v>
      </c>
      <c r="G167">
        <f>'Monthly Haver'!I170</f>
        <v>48.180599999999998</v>
      </c>
      <c r="H167">
        <f>'Monthly Haver'!J170</f>
        <v>51.054400000000001</v>
      </c>
      <c r="I167">
        <f>GDS_Monthly!O284</f>
        <v>117.42418307311111</v>
      </c>
      <c r="J167">
        <f>GDS_Monthly!D284</f>
        <v>108.59182142723913</v>
      </c>
      <c r="K167">
        <f>GDS_Monthly!AH284</f>
        <v>1204.6860678999999</v>
      </c>
      <c r="L167">
        <f>GDS_Monthly!AI284</f>
        <v>1148.5678207000001</v>
      </c>
      <c r="M167">
        <f>GDS_Monthly!N284</f>
        <v>5.8986505502143309</v>
      </c>
      <c r="N167">
        <f>GDS_Monthly!C284</f>
        <v>101.9936268228641</v>
      </c>
      <c r="O167">
        <f>GDS_Monthly!F284</f>
        <v>2.2294255892115693</v>
      </c>
      <c r="P167">
        <f>GDS_Monthly!G284</f>
        <v>2.1950900127416562</v>
      </c>
      <c r="Q167">
        <f>GDS_Monthly!T284</f>
        <v>107.09093985396522</v>
      </c>
      <c r="R167">
        <f>GDS_Monthly!V284</f>
        <v>105.49387340997916</v>
      </c>
      <c r="S167">
        <f>GDS_Monthly!W284</f>
        <v>121.5073146427973</v>
      </c>
      <c r="T167">
        <f>GDS_Monthly!X284</f>
        <v>162.63341061421184</v>
      </c>
      <c r="U167">
        <f>GDS_Monthly!AA284</f>
        <v>135.08654434720705</v>
      </c>
      <c r="V167">
        <f>GDS_Monthly!AC284</f>
        <v>225.63135207279143</v>
      </c>
      <c r="W167">
        <f>GDS_Monthly!AE284</f>
        <v>217.89039033524031</v>
      </c>
      <c r="X167">
        <f>GDS_Monthly!AF284</f>
        <v>123.4756242718296</v>
      </c>
      <c r="Y167">
        <f>OECD!B167</f>
        <v>99.306259999999995</v>
      </c>
      <c r="Z167">
        <f>'Monthly Haver'!K170</f>
        <v>100.03227</v>
      </c>
      <c r="AA167" s="8">
        <f>OECD!C167</f>
        <v>101.44</v>
      </c>
    </row>
    <row r="168" spans="1:27">
      <c r="A168" t="str">
        <f>'Monthly Haver'!A171</f>
        <v>Nov-2012</v>
      </c>
      <c r="B168">
        <f>'Monthly Haver'!C171</f>
        <v>50.9114</v>
      </c>
      <c r="C168">
        <f>'Monthly Haver'!D171</f>
        <v>54.77</v>
      </c>
      <c r="D168" t="e">
        <f>'Monthly Haver'!E171</f>
        <v>#N/A</v>
      </c>
      <c r="E168">
        <f>'Monthly Haver'!G171</f>
        <v>51.273400000000002</v>
      </c>
      <c r="F168">
        <f>'Monthly Haver'!H171</f>
        <v>49.863100000000003</v>
      </c>
      <c r="G168">
        <f>'Monthly Haver'!I171</f>
        <v>48.081099999999999</v>
      </c>
      <c r="H168">
        <f>'Monthly Haver'!J171</f>
        <v>51.677</v>
      </c>
      <c r="I168">
        <f>GDS_Monthly!O285</f>
        <v>117.34045081873067</v>
      </c>
      <c r="J168">
        <f>GDS_Monthly!D285</f>
        <v>108.73294479328941</v>
      </c>
      <c r="K168">
        <f>GDS_Monthly!AH285</f>
        <v>1204.779544</v>
      </c>
      <c r="L168">
        <f>GDS_Monthly!AI285</f>
        <v>1140.1986006</v>
      </c>
      <c r="M168">
        <f>GDS_Monthly!N285</f>
        <v>5.9113379181960344</v>
      </c>
      <c r="N168">
        <f>GDS_Monthly!C285</f>
        <v>101.84071435799022</v>
      </c>
      <c r="O168">
        <f>GDS_Monthly!F285</f>
        <v>2.1766901615591263</v>
      </c>
      <c r="P168">
        <f>GDS_Monthly!G285</f>
        <v>2.1900380904622283</v>
      </c>
      <c r="Q168">
        <f>GDS_Monthly!T285</f>
        <v>107.1877644456263</v>
      </c>
      <c r="R168">
        <f>GDS_Monthly!V285</f>
        <v>105.66434884755589</v>
      </c>
      <c r="S168">
        <f>GDS_Monthly!W285</f>
        <v>120.52980956113988</v>
      </c>
      <c r="T168">
        <f>GDS_Monthly!X285</f>
        <v>162.69193832813815</v>
      </c>
      <c r="U168">
        <f>GDS_Monthly!AA285</f>
        <v>133.64123341547855</v>
      </c>
      <c r="V168">
        <f>GDS_Monthly!AC285</f>
        <v>221.98324538315228</v>
      </c>
      <c r="W168">
        <f>GDS_Monthly!AE285</f>
        <v>214.73723579838028</v>
      </c>
      <c r="X168">
        <f>GDS_Monthly!AF285</f>
        <v>122.60777854291372</v>
      </c>
      <c r="Y168">
        <f>OECD!B168</f>
        <v>99.351979999999998</v>
      </c>
      <c r="Z168">
        <f>'Monthly Haver'!K171</f>
        <v>100.16276999999999</v>
      </c>
      <c r="AA168" s="8">
        <f>OECD!C168</f>
        <v>101.21</v>
      </c>
    </row>
    <row r="169" spans="1:27">
      <c r="A169" t="str">
        <f>'Monthly Haver'!A172</f>
        <v>Dec-2012</v>
      </c>
      <c r="B169">
        <f>'Monthly Haver'!C172</f>
        <v>51.369700000000002</v>
      </c>
      <c r="C169">
        <f>'Monthly Haver'!D172</f>
        <v>55.167099999999998</v>
      </c>
      <c r="D169" t="e">
        <f>'Monthly Haver'!E172</f>
        <v>#N/A</v>
      </c>
      <c r="E169">
        <f>'Monthly Haver'!G172</f>
        <v>51.529200000000003</v>
      </c>
      <c r="F169">
        <f>'Monthly Haver'!H172</f>
        <v>50.280299999999997</v>
      </c>
      <c r="G169">
        <f>'Monthly Haver'!I172</f>
        <v>48.508800000000001</v>
      </c>
      <c r="H169">
        <f>'Monthly Haver'!J172</f>
        <v>51.457500000000003</v>
      </c>
      <c r="I169">
        <f>GDS_Monthly!O286</f>
        <v>118.19100796023589</v>
      </c>
      <c r="J169">
        <f>GDS_Monthly!D286</f>
        <v>109.08945950539749</v>
      </c>
      <c r="K169">
        <f>GDS_Monthly!AH286</f>
        <v>1197.2001129</v>
      </c>
      <c r="L169">
        <f>GDS_Monthly!AI286</f>
        <v>1148.4158571999999</v>
      </c>
      <c r="M169">
        <f>GDS_Monthly!N286</f>
        <v>5.9322195078458995</v>
      </c>
      <c r="N169">
        <f>GDS_Monthly!C286</f>
        <v>100.81982897673393</v>
      </c>
      <c r="O169">
        <f>GDS_Monthly!F286</f>
        <v>2.0884421370208419</v>
      </c>
      <c r="P169">
        <f>GDS_Monthly!G286</f>
        <v>2.1775590092344395</v>
      </c>
      <c r="Q169">
        <f>GDS_Monthly!T286</f>
        <v>107.41330630731754</v>
      </c>
      <c r="R169">
        <f>GDS_Monthly!V286</f>
        <v>105.85451272818251</v>
      </c>
      <c r="S169">
        <f>GDS_Monthly!W286</f>
        <v>120.66788241996602</v>
      </c>
      <c r="T169">
        <f>GDS_Monthly!X286</f>
        <v>171.85464571819227</v>
      </c>
      <c r="U169">
        <f>GDS_Monthly!AA286</f>
        <v>134.96597772170693</v>
      </c>
      <c r="V169">
        <f>GDS_Monthly!AC286</f>
        <v>221.99254097164575</v>
      </c>
      <c r="W169">
        <f>GDS_Monthly!AE286</f>
        <v>213.42350584364127</v>
      </c>
      <c r="X169">
        <f>GDS_Monthly!AF286</f>
        <v>124.25906808063732</v>
      </c>
      <c r="Y169">
        <f>OECD!B169</f>
        <v>99.429469999999995</v>
      </c>
      <c r="Z169">
        <f>'Monthly Haver'!K172</f>
        <v>99.294460000000001</v>
      </c>
      <c r="AA169" s="8">
        <f>OECD!C169</f>
        <v>101.79</v>
      </c>
    </row>
    <row r="170" spans="1:27">
      <c r="A170" t="str">
        <f>'Monthly Haver'!A173</f>
        <v>Jan-2013</v>
      </c>
      <c r="B170">
        <f>'Monthly Haver'!C173</f>
        <v>52.941600000000001</v>
      </c>
      <c r="C170">
        <f>'Monthly Haver'!D173</f>
        <v>54.575600000000001</v>
      </c>
      <c r="D170" t="e">
        <f>'Monthly Haver'!E173</f>
        <v>#N/A</v>
      </c>
      <c r="E170">
        <f>'Monthly Haver'!G173</f>
        <v>50.765700000000002</v>
      </c>
      <c r="F170">
        <f>'Monthly Haver'!H173</f>
        <v>51.529699999999998</v>
      </c>
      <c r="G170">
        <f>'Monthly Haver'!I173</f>
        <v>49.017099999999999</v>
      </c>
      <c r="H170">
        <f>'Monthly Haver'!J173</f>
        <v>52.175199999999997</v>
      </c>
      <c r="I170">
        <f>GDS_Monthly!O287</f>
        <v>118.92628739224862</v>
      </c>
      <c r="J170">
        <f>GDS_Monthly!D287</f>
        <v>109.27713549996308</v>
      </c>
      <c r="K170">
        <f>GDS_Monthly!AH287</f>
        <v>1238.2720485</v>
      </c>
      <c r="L170">
        <f>GDS_Monthly!AI287</f>
        <v>1169.2356227</v>
      </c>
      <c r="M170">
        <f>GDS_Monthly!N287</f>
        <v>5.9935863765036519</v>
      </c>
      <c r="N170">
        <f>GDS_Monthly!C287</f>
        <v>99.921274490453342</v>
      </c>
      <c r="O170">
        <f>GDS_Monthly!F287</f>
        <v>2.3485686279081754</v>
      </c>
      <c r="P170">
        <f>GDS_Monthly!G287</f>
        <v>2.2849822618652249</v>
      </c>
      <c r="Q170">
        <f>GDS_Monthly!T287</f>
        <v>107.66483873118243</v>
      </c>
      <c r="R170">
        <f>GDS_Monthly!V287</f>
        <v>106.02045755482538</v>
      </c>
      <c r="S170">
        <f>GDS_Monthly!W287</f>
        <v>122.09597533335727</v>
      </c>
      <c r="T170">
        <f>GDS_Monthly!X287</f>
        <v>183.41363306458015</v>
      </c>
      <c r="U170">
        <f>GDS_Monthly!AA287</f>
        <v>137.67090256700612</v>
      </c>
      <c r="V170">
        <f>GDS_Monthly!AC287</f>
        <v>228.24927882025304</v>
      </c>
      <c r="W170">
        <f>GDS_Monthly!AE287</f>
        <v>222.00831627705111</v>
      </c>
      <c r="X170">
        <f>GDS_Monthly!AF287</f>
        <v>126.62622371401628</v>
      </c>
      <c r="Y170">
        <f>OECD!B170</f>
        <v>99.526359999999997</v>
      </c>
      <c r="Z170">
        <f>'Monthly Haver'!K173</f>
        <v>99.133719999999997</v>
      </c>
      <c r="AA170" s="8">
        <f>OECD!C170</f>
        <v>102.48</v>
      </c>
    </row>
    <row r="171" spans="1:27">
      <c r="A171" t="str">
        <f>'Monthly Haver'!A174</f>
        <v>Feb-2013</v>
      </c>
      <c r="B171">
        <f>'Monthly Haver'!C174</f>
        <v>52.169699999999999</v>
      </c>
      <c r="C171">
        <f>'Monthly Haver'!D174</f>
        <v>54.3431</v>
      </c>
      <c r="D171" t="e">
        <f>'Monthly Haver'!E174</f>
        <v>#N/A</v>
      </c>
      <c r="E171">
        <f>'Monthly Haver'!G174</f>
        <v>50.451900000000002</v>
      </c>
      <c r="F171">
        <f>'Monthly Haver'!H174</f>
        <v>50.878599999999999</v>
      </c>
      <c r="G171">
        <f>'Monthly Haver'!I174</f>
        <v>48.940600000000003</v>
      </c>
      <c r="H171">
        <f>'Monthly Haver'!J174</f>
        <v>51.919600000000003</v>
      </c>
      <c r="I171">
        <f>GDS_Monthly!O288</f>
        <v>119.66494388343547</v>
      </c>
      <c r="J171">
        <f>GDS_Monthly!D288</f>
        <v>109.4800260252579</v>
      </c>
      <c r="K171">
        <f>GDS_Monthly!AH288</f>
        <v>1223.5800965000001</v>
      </c>
      <c r="L171">
        <f>GDS_Monthly!AI288</f>
        <v>1177.7789802</v>
      </c>
      <c r="M171">
        <f>GDS_Monthly!N288</f>
        <v>5.9503433966379378</v>
      </c>
      <c r="N171">
        <f>GDS_Monthly!C288</f>
        <v>101.7122432393499</v>
      </c>
      <c r="O171">
        <f>GDS_Monthly!F288</f>
        <v>2.4947618836001828</v>
      </c>
      <c r="P171">
        <f>GDS_Monthly!G288</f>
        <v>2.281533859227268</v>
      </c>
      <c r="Q171">
        <f>GDS_Monthly!T288</f>
        <v>108.00512490869616</v>
      </c>
      <c r="R171">
        <f>GDS_Monthly!V288</f>
        <v>106.18824963565905</v>
      </c>
      <c r="S171">
        <f>GDS_Monthly!W288</f>
        <v>121.33550462915659</v>
      </c>
      <c r="T171">
        <f>GDS_Monthly!X288</f>
        <v>185.80548519520644</v>
      </c>
      <c r="U171">
        <f>GDS_Monthly!AA288</f>
        <v>137.07399699335079</v>
      </c>
      <c r="V171">
        <f>GDS_Monthly!AC288</f>
        <v>232.74044183137357</v>
      </c>
      <c r="W171">
        <f>GDS_Monthly!AE288</f>
        <v>228.80521777968238</v>
      </c>
      <c r="X171">
        <f>GDS_Monthly!AF288</f>
        <v>125.00540336905179</v>
      </c>
      <c r="Y171">
        <f>OECD!B171</f>
        <v>99.632450000000006</v>
      </c>
      <c r="Z171">
        <f>'Monthly Haver'!K174</f>
        <v>100.50660999999999</v>
      </c>
      <c r="AA171" s="8">
        <f>OECD!C171</f>
        <v>102.71</v>
      </c>
    </row>
    <row r="172" spans="1:27">
      <c r="A172" t="str">
        <f>'Monthly Haver'!A175</f>
        <v>Mar-2013</v>
      </c>
      <c r="B172">
        <f>'Monthly Haver'!C175</f>
        <v>52.174599999999998</v>
      </c>
      <c r="C172">
        <f>'Monthly Haver'!D175</f>
        <v>53.028199999999998</v>
      </c>
      <c r="D172" t="e">
        <f>'Monthly Haver'!E175</f>
        <v>#N/A</v>
      </c>
      <c r="E172">
        <f>'Monthly Haver'!G175</f>
        <v>50.6389</v>
      </c>
      <c r="F172">
        <f>'Monthly Haver'!H175</f>
        <v>51.116900000000001</v>
      </c>
      <c r="G172">
        <f>'Monthly Haver'!I175</f>
        <v>49.383000000000003</v>
      </c>
      <c r="H172">
        <f>'Monthly Haver'!J175</f>
        <v>51.8797</v>
      </c>
      <c r="I172">
        <f>GDS_Monthly!O289</f>
        <v>120.11135748612021</v>
      </c>
      <c r="J172">
        <f>GDS_Monthly!D289</f>
        <v>110.17036759878916</v>
      </c>
      <c r="K172">
        <f>GDS_Monthly!AH289</f>
        <v>1200.6952722000001</v>
      </c>
      <c r="L172">
        <f>GDS_Monthly!AI289</f>
        <v>1164.1370236</v>
      </c>
      <c r="M172">
        <f>GDS_Monthly!N289</f>
        <v>5.9320812594290828</v>
      </c>
      <c r="N172">
        <f>GDS_Monthly!C289</f>
        <v>100.528447080354</v>
      </c>
      <c r="O172">
        <f>GDS_Monthly!F289</f>
        <v>2.4367792139754769</v>
      </c>
      <c r="P172">
        <f>GDS_Monthly!G289</f>
        <v>2.2592696448609724</v>
      </c>
      <c r="Q172">
        <f>GDS_Monthly!T289</f>
        <v>108.02342900619668</v>
      </c>
      <c r="R172">
        <f>GDS_Monthly!V289</f>
        <v>106.41923954276629</v>
      </c>
      <c r="S172">
        <f>GDS_Monthly!W289</f>
        <v>121.5997756607396</v>
      </c>
      <c r="T172">
        <f>GDS_Monthly!X289</f>
        <v>172.55957454233271</v>
      </c>
      <c r="U172">
        <f>GDS_Monthly!AA289</f>
        <v>133.85826061472073</v>
      </c>
      <c r="V172">
        <f>GDS_Monthly!AC289</f>
        <v>226.16019409680399</v>
      </c>
      <c r="W172">
        <f>GDS_Monthly!AE289</f>
        <v>221.55364469248869</v>
      </c>
      <c r="X172">
        <f>GDS_Monthly!AF289</f>
        <v>124.03353252291816</v>
      </c>
      <c r="Y172">
        <f>OECD!B172</f>
        <v>99.733279999999993</v>
      </c>
      <c r="Z172">
        <f>'Monthly Haver'!K175</f>
        <v>101.10106</v>
      </c>
      <c r="AA172" s="8">
        <f>OECD!C172</f>
        <v>102.66</v>
      </c>
    </row>
    <row r="173" spans="1:27">
      <c r="A173" t="str">
        <f>'Monthly Haver'!A176</f>
        <v>Apr-2013</v>
      </c>
      <c r="B173">
        <f>'Monthly Haver'!C176</f>
        <v>51.7361</v>
      </c>
      <c r="C173">
        <f>'Monthly Haver'!D176</f>
        <v>52.113599999999998</v>
      </c>
      <c r="D173" t="e">
        <f>'Monthly Haver'!E176</f>
        <v>#N/A</v>
      </c>
      <c r="E173">
        <f>'Monthly Haver'!G176</f>
        <v>50.573</v>
      </c>
      <c r="F173">
        <f>'Monthly Haver'!H176</f>
        <v>50.388300000000001</v>
      </c>
      <c r="G173">
        <f>'Monthly Haver'!I176</f>
        <v>49.945099999999996</v>
      </c>
      <c r="H173">
        <f>'Monthly Haver'!J176</f>
        <v>51.596499999999999</v>
      </c>
      <c r="I173">
        <f>GDS_Monthly!O290</f>
        <v>121.41118799179502</v>
      </c>
      <c r="J173">
        <f>GDS_Monthly!D290</f>
        <v>110.73765045069047</v>
      </c>
      <c r="K173">
        <f>GDS_Monthly!AH290</f>
        <v>1216.9837021999999</v>
      </c>
      <c r="L173">
        <f>GDS_Monthly!AI290</f>
        <v>1166.2598683000001</v>
      </c>
      <c r="M173">
        <f>GDS_Monthly!N290</f>
        <v>5.9493298369158572</v>
      </c>
      <c r="N173">
        <f>GDS_Monthly!C290</f>
        <v>101.6402886126499</v>
      </c>
      <c r="O173">
        <f>GDS_Monthly!F290</f>
        <v>2.3351016526176052</v>
      </c>
      <c r="P173">
        <f>GDS_Monthly!G290</f>
        <v>2.2629195758396823</v>
      </c>
      <c r="Q173">
        <f>GDS_Monthly!T290</f>
        <v>108.07721029780009</v>
      </c>
      <c r="R173">
        <f>GDS_Monthly!V290</f>
        <v>106.51915418492428</v>
      </c>
      <c r="S173">
        <f>GDS_Monthly!W290</f>
        <v>124.07904589673198</v>
      </c>
      <c r="T173">
        <f>GDS_Monthly!X290</f>
        <v>166.76636709970964</v>
      </c>
      <c r="U173">
        <f>GDS_Monthly!AA290</f>
        <v>131.93115012457463</v>
      </c>
      <c r="V173">
        <f>GDS_Monthly!AC290</f>
        <v>220.95769320756696</v>
      </c>
      <c r="W173">
        <f>GDS_Monthly!AE290</f>
        <v>213.3130410608488</v>
      </c>
      <c r="X173">
        <f>GDS_Monthly!AF290</f>
        <v>123.43200383555597</v>
      </c>
      <c r="Y173">
        <f>OECD!B173</f>
        <v>99.823570000000004</v>
      </c>
      <c r="Z173">
        <f>'Monthly Haver'!K176</f>
        <v>100.69936</v>
      </c>
      <c r="AA173" s="8">
        <f>OECD!C173</f>
        <v>103.1</v>
      </c>
    </row>
    <row r="174" spans="1:27">
      <c r="A174" t="str">
        <f>'Monthly Haver'!A177</f>
        <v>May-2013</v>
      </c>
      <c r="B174">
        <f>'Monthly Haver'!C177</f>
        <v>52.045400000000001</v>
      </c>
      <c r="C174">
        <f>'Monthly Haver'!D177</f>
        <v>52.084299999999999</v>
      </c>
      <c r="D174" t="e">
        <f>'Monthly Haver'!E177</f>
        <v>#N/A</v>
      </c>
      <c r="E174">
        <f>'Monthly Haver'!G177</f>
        <v>51.125799999999998</v>
      </c>
      <c r="F174">
        <f>'Monthly Haver'!H177</f>
        <v>50.476199999999999</v>
      </c>
      <c r="G174">
        <f>'Monthly Haver'!I177</f>
        <v>49.626399999999997</v>
      </c>
      <c r="H174">
        <f>'Monthly Haver'!J177</f>
        <v>52.623399999999997</v>
      </c>
      <c r="I174">
        <f>GDS_Monthly!O291</f>
        <v>123.12788016355458</v>
      </c>
      <c r="J174">
        <f>GDS_Monthly!D291</f>
        <v>110.98949784669054</v>
      </c>
      <c r="K174">
        <f>GDS_Monthly!AH291</f>
        <v>1202.9663112000001</v>
      </c>
      <c r="L174">
        <f>GDS_Monthly!AI291</f>
        <v>1148.8717999999999</v>
      </c>
      <c r="M174">
        <f>GDS_Monthly!N291</f>
        <v>5.9340807480561413</v>
      </c>
      <c r="N174">
        <f>GDS_Monthly!C291</f>
        <v>102.13873664284662</v>
      </c>
      <c r="O174">
        <f>GDS_Monthly!F291</f>
        <v>2.3676635550924998</v>
      </c>
      <c r="P174">
        <f>GDS_Monthly!G291</f>
        <v>2.2043931567259381</v>
      </c>
      <c r="Q174">
        <f>GDS_Monthly!T291</f>
        <v>108.19185291155668</v>
      </c>
      <c r="R174">
        <f>GDS_Monthly!V291</f>
        <v>106.68479548685966</v>
      </c>
      <c r="S174">
        <f>GDS_Monthly!W291</f>
        <v>126.57965712143468</v>
      </c>
      <c r="T174">
        <f>GDS_Monthly!X291</f>
        <v>159.23665834184712</v>
      </c>
      <c r="U174">
        <f>GDS_Monthly!AA291</f>
        <v>130.40029305621113</v>
      </c>
      <c r="V174">
        <f>GDS_Monthly!AC291</f>
        <v>220.34856494773064</v>
      </c>
      <c r="W174">
        <f>GDS_Monthly!AE291</f>
        <v>215.01151708275123</v>
      </c>
      <c r="X174">
        <f>GDS_Monthly!AF291</f>
        <v>126.88538401888484</v>
      </c>
      <c r="Y174">
        <f>OECD!B174</f>
        <v>99.9148</v>
      </c>
      <c r="Z174">
        <f>'Monthly Haver'!K177</f>
        <v>101.90852</v>
      </c>
      <c r="AA174" s="8">
        <f>OECD!C174</f>
        <v>103.64</v>
      </c>
    </row>
    <row r="175" spans="1:27">
      <c r="A175" t="str">
        <f>'Monthly Haver'!A178</f>
        <v>Jun-2013</v>
      </c>
      <c r="B175">
        <f>'Monthly Haver'!C178</f>
        <v>52.0809</v>
      </c>
      <c r="C175">
        <f>'Monthly Haver'!D178</f>
        <v>52.560400000000001</v>
      </c>
      <c r="D175" t="e">
        <f>'Monthly Haver'!E178</f>
        <v>#N/A</v>
      </c>
      <c r="E175">
        <f>'Monthly Haver'!G178</f>
        <v>50.873399999999997</v>
      </c>
      <c r="F175">
        <f>'Monthly Haver'!H178</f>
        <v>50.272599999999997</v>
      </c>
      <c r="G175">
        <f>'Monthly Haver'!I178</f>
        <v>49.769599999999997</v>
      </c>
      <c r="H175">
        <f>'Monthly Haver'!J178</f>
        <v>52.941600000000001</v>
      </c>
      <c r="I175">
        <f>GDS_Monthly!O292</f>
        <v>124.38124731386696</v>
      </c>
      <c r="J175">
        <f>GDS_Monthly!D292</f>
        <v>110.88171665442388</v>
      </c>
      <c r="K175">
        <f>GDS_Monthly!AH292</f>
        <v>1179.896446</v>
      </c>
      <c r="L175">
        <f>GDS_Monthly!AI292</f>
        <v>1145.770188</v>
      </c>
      <c r="M175">
        <f>GDS_Monthly!N292</f>
        <v>5.9305005613888619</v>
      </c>
      <c r="N175">
        <f>GDS_Monthly!C292</f>
        <v>103.38057615007313</v>
      </c>
      <c r="O175">
        <f>GDS_Monthly!F292</f>
        <v>2.7187795477542602</v>
      </c>
      <c r="P175">
        <f>GDS_Monthly!G292</f>
        <v>2.1983728884214382</v>
      </c>
      <c r="Q175">
        <f>GDS_Monthly!T292</f>
        <v>108.48321717519187</v>
      </c>
      <c r="R175">
        <f>GDS_Monthly!V292</f>
        <v>106.87783931077423</v>
      </c>
      <c r="S175">
        <f>GDS_Monthly!W292</f>
        <v>124.59968267830176</v>
      </c>
      <c r="T175">
        <f>GDS_Monthly!X292</f>
        <v>152.21171064458161</v>
      </c>
      <c r="U175">
        <f>GDS_Monthly!AA292</f>
        <v>126.48263271341773</v>
      </c>
      <c r="V175">
        <f>GDS_Monthly!AC292</f>
        <v>219.98348059465556</v>
      </c>
      <c r="W175">
        <f>GDS_Monthly!AE292</f>
        <v>213.77897979107274</v>
      </c>
      <c r="X175">
        <f>GDS_Monthly!AF292</f>
        <v>124.56361482848482</v>
      </c>
      <c r="Y175">
        <f>OECD!B175</f>
        <v>100.0056</v>
      </c>
      <c r="Z175">
        <f>'Monthly Haver'!K178</f>
        <v>102.95345</v>
      </c>
      <c r="AA175" s="8">
        <f>OECD!C175</f>
        <v>103.64</v>
      </c>
    </row>
    <row r="176" spans="1:27">
      <c r="A176" t="str">
        <f>'Monthly Haver'!A179</f>
        <v>Jul-2013</v>
      </c>
      <c r="B176">
        <f>'Monthly Haver'!C179</f>
        <v>52.963999999999999</v>
      </c>
      <c r="C176">
        <f>'Monthly Haver'!D179</f>
        <v>54.5274</v>
      </c>
      <c r="D176" t="e">
        <f>'Monthly Haver'!E179</f>
        <v>#N/A</v>
      </c>
      <c r="E176">
        <f>'Monthly Haver'!G179</f>
        <v>51.376399999999997</v>
      </c>
      <c r="F176">
        <f>'Monthly Haver'!H179</f>
        <v>50.406599999999997</v>
      </c>
      <c r="G176">
        <f>'Monthly Haver'!I179</f>
        <v>48.426699999999997</v>
      </c>
      <c r="H176">
        <f>'Monthly Haver'!J179</f>
        <v>53.410299999999999</v>
      </c>
      <c r="I176">
        <f>GDS_Monthly!O293</f>
        <v>125.76527950487866</v>
      </c>
      <c r="J176">
        <f>GDS_Monthly!D293</f>
        <v>111.5144806494402</v>
      </c>
      <c r="K176">
        <f>GDS_Monthly!AH293</f>
        <v>1206.4645352</v>
      </c>
      <c r="L176">
        <f>GDS_Monthly!AI293</f>
        <v>1147.2330793000001</v>
      </c>
      <c r="M176">
        <f>GDS_Monthly!N293</f>
        <v>5.8839356622389136</v>
      </c>
      <c r="N176">
        <f>GDS_Monthly!C293</f>
        <v>103.22102309085153</v>
      </c>
      <c r="O176">
        <f>GDS_Monthly!F293</f>
        <v>2.8004701540094188</v>
      </c>
      <c r="P176">
        <f>GDS_Monthly!G293</f>
        <v>2.220276325366207</v>
      </c>
      <c r="Q176">
        <f>GDS_Monthly!T293</f>
        <v>108.79163398544445</v>
      </c>
      <c r="R176">
        <f>GDS_Monthly!V293</f>
        <v>107.114837757519</v>
      </c>
      <c r="S176">
        <f>GDS_Monthly!W293</f>
        <v>122.60813788307756</v>
      </c>
      <c r="T176">
        <f>GDS_Monthly!X293</f>
        <v>155.91798851580947</v>
      </c>
      <c r="U176">
        <f>GDS_Monthly!AA293</f>
        <v>124.94162136947517</v>
      </c>
      <c r="V176">
        <f>GDS_Monthly!AC293</f>
        <v>227.02294237799063</v>
      </c>
      <c r="W176">
        <f>GDS_Monthly!AE293</f>
        <v>226.91169446895699</v>
      </c>
      <c r="X176">
        <f>GDS_Monthly!AF293</f>
        <v>119.12028494161505</v>
      </c>
      <c r="Y176">
        <f>OECD!B176</f>
        <v>100.0926</v>
      </c>
      <c r="Z176">
        <f>'Monthly Haver'!K179</f>
        <v>103.33677</v>
      </c>
      <c r="AA176" s="8">
        <f>OECD!C176</f>
        <v>103.78</v>
      </c>
    </row>
    <row r="177" spans="1:27">
      <c r="A177" t="str">
        <f>'Monthly Haver'!A180</f>
        <v>Aug-2013</v>
      </c>
      <c r="B177">
        <f>'Monthly Haver'!C180</f>
        <v>53.5779</v>
      </c>
      <c r="C177">
        <f>'Monthly Haver'!D180</f>
        <v>55.0471</v>
      </c>
      <c r="D177" t="e">
        <f>'Monthly Haver'!E180</f>
        <v>#N/A</v>
      </c>
      <c r="E177">
        <f>'Monthly Haver'!G180</f>
        <v>50.762700000000002</v>
      </c>
      <c r="F177">
        <f>'Monthly Haver'!H180</f>
        <v>51.339599999999997</v>
      </c>
      <c r="G177">
        <f>'Monthly Haver'!I180</f>
        <v>47.839599999999997</v>
      </c>
      <c r="H177">
        <f>'Monthly Haver'!J180</f>
        <v>53.7301</v>
      </c>
      <c r="I177">
        <f>GDS_Monthly!O294</f>
        <v>126.58992678107977</v>
      </c>
      <c r="J177">
        <f>GDS_Monthly!D294</f>
        <v>112.1718516879473</v>
      </c>
      <c r="K177">
        <f>GDS_Monthly!AH294</f>
        <v>1204.1678377000001</v>
      </c>
      <c r="L177">
        <f>GDS_Monthly!AI294</f>
        <v>1171.7416251</v>
      </c>
      <c r="M177">
        <f>GDS_Monthly!N294</f>
        <v>5.8705320500151981</v>
      </c>
      <c r="N177">
        <f>GDS_Monthly!C294</f>
        <v>103.19107159622443</v>
      </c>
      <c r="O177">
        <f>GDS_Monthly!F294</f>
        <v>2.9763273901564498</v>
      </c>
      <c r="P177">
        <f>GDS_Monthly!G294</f>
        <v>2.2368940231709509</v>
      </c>
      <c r="Q177">
        <f>GDS_Monthly!T294</f>
        <v>109.06138645625268</v>
      </c>
      <c r="R177">
        <f>GDS_Monthly!V294</f>
        <v>107.28992295584385</v>
      </c>
      <c r="S177">
        <f>GDS_Monthly!W294</f>
        <v>119.28744551365416</v>
      </c>
      <c r="T177">
        <f>GDS_Monthly!X294</f>
        <v>163.35895747504452</v>
      </c>
      <c r="U177">
        <f>GDS_Monthly!AA294</f>
        <v>125.81127812560844</v>
      </c>
      <c r="V177">
        <f>GDS_Monthly!AC294</f>
        <v>232.23419438464921</v>
      </c>
      <c r="W177">
        <f>GDS_Monthly!AE294</f>
        <v>230.85183275812915</v>
      </c>
      <c r="X177">
        <f>GDS_Monthly!AF294</f>
        <v>119.64244704566147</v>
      </c>
      <c r="Y177">
        <f>OECD!B177</f>
        <v>100.1755</v>
      </c>
      <c r="Z177">
        <f>'Monthly Haver'!K180</f>
        <v>103.0515</v>
      </c>
      <c r="AA177" s="8">
        <f>OECD!C177</f>
        <v>104.28</v>
      </c>
    </row>
    <row r="178" spans="1:27">
      <c r="A178" t="str">
        <f>'Monthly Haver'!A181</f>
        <v>Sep-2013</v>
      </c>
      <c r="B178">
        <f>'Monthly Haver'!C181</f>
        <v>53.703699999999998</v>
      </c>
      <c r="C178">
        <f>'Monthly Haver'!D181</f>
        <v>55.444000000000003</v>
      </c>
      <c r="D178" t="e">
        <f>'Monthly Haver'!E181</f>
        <v>#N/A</v>
      </c>
      <c r="E178">
        <f>'Monthly Haver'!G181</f>
        <v>51.655700000000003</v>
      </c>
      <c r="F178">
        <f>'Monthly Haver'!H181</f>
        <v>51.518799999999999</v>
      </c>
      <c r="G178">
        <f>'Monthly Haver'!I181</f>
        <v>49.189799999999998</v>
      </c>
      <c r="H178">
        <f>'Monthly Haver'!J181</f>
        <v>54.471600000000002</v>
      </c>
      <c r="I178">
        <f>GDS_Monthly!O295</f>
        <v>127.00502417577226</v>
      </c>
      <c r="J178">
        <f>GDS_Monthly!D295</f>
        <v>112.6767580321356</v>
      </c>
      <c r="K178">
        <f>GDS_Monthly!AH295</f>
        <v>1206.9574405000001</v>
      </c>
      <c r="L178">
        <f>GDS_Monthly!AI295</f>
        <v>1160.4924669</v>
      </c>
      <c r="M178">
        <f>GDS_Monthly!N295</f>
        <v>5.8664665243032781</v>
      </c>
      <c r="N178">
        <f>GDS_Monthly!C295</f>
        <v>103.25070332036276</v>
      </c>
      <c r="O178">
        <f>GDS_Monthly!F295</f>
        <v>3.0935815867272538</v>
      </c>
      <c r="P178">
        <f>GDS_Monthly!G295</f>
        <v>2.2421037623483708</v>
      </c>
      <c r="Q178">
        <f>GDS_Monthly!T295</f>
        <v>109.28816190498792</v>
      </c>
      <c r="R178">
        <f>GDS_Monthly!V295</f>
        <v>107.58159123368989</v>
      </c>
      <c r="S178">
        <f>GDS_Monthly!W295</f>
        <v>115.60460280692234</v>
      </c>
      <c r="T178">
        <f>GDS_Monthly!X295</f>
        <v>160.86286437538556</v>
      </c>
      <c r="U178">
        <f>GDS_Monthly!AA295</f>
        <v>123.29044103794412</v>
      </c>
      <c r="V178">
        <f>GDS_Monthly!AC295</f>
        <v>234.33559383223124</v>
      </c>
      <c r="W178">
        <f>GDS_Monthly!AE295</f>
        <v>231.7445118089299</v>
      </c>
      <c r="X178">
        <f>GDS_Monthly!AF295</f>
        <v>119.31100633021778</v>
      </c>
      <c r="Y178">
        <f>OECD!B178</f>
        <v>100.249</v>
      </c>
      <c r="Z178">
        <f>'Monthly Haver'!K181</f>
        <v>102.29756</v>
      </c>
      <c r="AA178" s="8">
        <f>OECD!C178</f>
        <v>104.75</v>
      </c>
    </row>
    <row r="179" spans="1:27">
      <c r="A179" t="str">
        <f>'Monthly Haver'!A182</f>
        <v>Oct-2013</v>
      </c>
      <c r="B179">
        <f>'Monthly Haver'!C182</f>
        <v>53.470399999999998</v>
      </c>
      <c r="C179">
        <f>'Monthly Haver'!D182</f>
        <v>55.437199999999997</v>
      </c>
      <c r="D179" t="e">
        <f>'Monthly Haver'!E182</f>
        <v>#N/A</v>
      </c>
      <c r="E179">
        <f>'Monthly Haver'!G182</f>
        <v>51.931199999999997</v>
      </c>
      <c r="F179">
        <f>'Monthly Haver'!H182</f>
        <v>51.8292</v>
      </c>
      <c r="G179">
        <f>'Monthly Haver'!I182</f>
        <v>49.791400000000003</v>
      </c>
      <c r="H179">
        <f>'Monthly Haver'!J182</f>
        <v>52.003799999999998</v>
      </c>
      <c r="I179">
        <f>GDS_Monthly!O296</f>
        <v>126.67219445126968</v>
      </c>
      <c r="J179">
        <f>GDS_Monthly!D296</f>
        <v>112.82028394191659</v>
      </c>
      <c r="K179">
        <f>GDS_Monthly!AH296</f>
        <v>1230.2798366</v>
      </c>
      <c r="L179">
        <f>GDS_Monthly!AI296</f>
        <v>1185.0611835</v>
      </c>
      <c r="M179">
        <f>GDS_Monthly!N296</f>
        <v>5.8300283211497819</v>
      </c>
      <c r="N179">
        <f>GDS_Monthly!C296</f>
        <v>102.03989554590788</v>
      </c>
      <c r="O179">
        <f>GDS_Monthly!F296</f>
        <v>2.91483326137157</v>
      </c>
      <c r="P179">
        <f>GDS_Monthly!G296</f>
        <v>2.2600417411148035</v>
      </c>
      <c r="Q179">
        <f>GDS_Monthly!T296</f>
        <v>109.43657266063124</v>
      </c>
      <c r="R179">
        <f>GDS_Monthly!V296</f>
        <v>107.78737227154794</v>
      </c>
      <c r="S179">
        <f>GDS_Monthly!W296</f>
        <v>114.89894005177693</v>
      </c>
      <c r="T179">
        <f>GDS_Monthly!X296</f>
        <v>161.12109614272276</v>
      </c>
      <c r="U179">
        <f>GDS_Monthly!AA296</f>
        <v>122.19030088929669</v>
      </c>
      <c r="V179">
        <f>GDS_Monthly!AC296</f>
        <v>229.39393156824829</v>
      </c>
      <c r="W179">
        <f>GDS_Monthly!AE296</f>
        <v>222.31565183649727</v>
      </c>
      <c r="X179">
        <f>GDS_Monthly!AF296</f>
        <v>118.76414649231548</v>
      </c>
      <c r="Y179">
        <f>OECD!B179</f>
        <v>100.31</v>
      </c>
      <c r="Z179">
        <f>'Monthly Haver'!K182</f>
        <v>101.04528999999999</v>
      </c>
      <c r="AA179" s="8">
        <f>OECD!C179</f>
        <v>104.62</v>
      </c>
    </row>
    <row r="180" spans="1:27">
      <c r="A180" t="str">
        <f>'Monthly Haver'!A183</f>
        <v>Nov-2013</v>
      </c>
      <c r="B180">
        <f>'Monthly Haver'!C183</f>
        <v>54.427999999999997</v>
      </c>
      <c r="C180">
        <f>'Monthly Haver'!D183</f>
        <v>55.322899999999997</v>
      </c>
      <c r="D180" t="e">
        <f>'Monthly Haver'!E183</f>
        <v>#N/A</v>
      </c>
      <c r="E180">
        <f>'Monthly Haver'!G183</f>
        <v>51.016599999999997</v>
      </c>
      <c r="F180">
        <f>'Monthly Haver'!H183</f>
        <v>52.613599999999998</v>
      </c>
      <c r="G180">
        <f>'Monthly Haver'!I183</f>
        <v>48.968499999999999</v>
      </c>
      <c r="H180">
        <f>'Monthly Haver'!J183</f>
        <v>53.6751</v>
      </c>
      <c r="I180">
        <f>GDS_Monthly!O297</f>
        <v>124.80247343732151</v>
      </c>
      <c r="J180">
        <f>GDS_Monthly!D297</f>
        <v>113.36571058215084</v>
      </c>
      <c r="K180">
        <f>GDS_Monthly!AH297</f>
        <v>1212.1837124000001</v>
      </c>
      <c r="L180">
        <f>GDS_Monthly!AI297</f>
        <v>1187.8412779</v>
      </c>
      <c r="M180">
        <f>GDS_Monthly!N297</f>
        <v>5.7896641130775874</v>
      </c>
      <c r="N180">
        <f>GDS_Monthly!C297</f>
        <v>101.90811487915724</v>
      </c>
      <c r="O180">
        <f>GDS_Monthly!F297</f>
        <v>2.8940849229138834</v>
      </c>
      <c r="P180">
        <f>GDS_Monthly!G297</f>
        <v>2.2297044237617429</v>
      </c>
      <c r="Q180">
        <f>GDS_Monthly!T297</f>
        <v>109.72421201094957</v>
      </c>
      <c r="R180">
        <f>GDS_Monthly!V297</f>
        <v>108.06413888147455</v>
      </c>
      <c r="S180">
        <f>GDS_Monthly!W297</f>
        <v>115.95552423544113</v>
      </c>
      <c r="T180">
        <f>GDS_Monthly!X297</f>
        <v>161.39402232968087</v>
      </c>
      <c r="U180">
        <f>GDS_Monthly!AA297</f>
        <v>122.03051339850909</v>
      </c>
      <c r="V180">
        <f>GDS_Monthly!AC297</f>
        <v>225.43704860416059</v>
      </c>
      <c r="W180">
        <f>GDS_Monthly!AE297</f>
        <v>217.60910233957489</v>
      </c>
      <c r="X180">
        <f>GDS_Monthly!AF297</f>
        <v>118.57503690464002</v>
      </c>
      <c r="Y180">
        <f>OECD!B180</f>
        <v>100.3558</v>
      </c>
      <c r="Z180">
        <f>'Monthly Haver'!K183</f>
        <v>101.37226</v>
      </c>
      <c r="AA180" s="8">
        <f>OECD!C180</f>
        <v>105.27</v>
      </c>
    </row>
    <row r="181" spans="1:27">
      <c r="A181" t="str">
        <f>'Monthly Haver'!A184</f>
        <v>Dec-2013</v>
      </c>
      <c r="B181">
        <f>'Monthly Haver'!C184</f>
        <v>54.599200000000003</v>
      </c>
      <c r="C181">
        <f>'Monthly Haver'!D184</f>
        <v>54.955800000000004</v>
      </c>
      <c r="D181" t="e">
        <f>'Monthly Haver'!E184</f>
        <v>#N/A</v>
      </c>
      <c r="E181">
        <f>'Monthly Haver'!G184</f>
        <v>52.0246</v>
      </c>
      <c r="F181">
        <f>'Monthly Haver'!H184</f>
        <v>52.715800000000002</v>
      </c>
      <c r="G181">
        <f>'Monthly Haver'!I184</f>
        <v>49.373100000000001</v>
      </c>
      <c r="H181">
        <f>'Monthly Haver'!J184</f>
        <v>53.436900000000001</v>
      </c>
      <c r="I181">
        <f>GDS_Monthly!O298</f>
        <v>128.30196521909579</v>
      </c>
      <c r="J181">
        <f>GDS_Monthly!D298</f>
        <v>113.50084148535041</v>
      </c>
      <c r="K181">
        <f>GDS_Monthly!AH298</f>
        <v>1215.5921214</v>
      </c>
      <c r="L181">
        <f>GDS_Monthly!AI298</f>
        <v>1181.1078918999999</v>
      </c>
      <c r="M181">
        <f>GDS_Monthly!N298</f>
        <v>5.7692542117811234</v>
      </c>
      <c r="N181">
        <f>GDS_Monthly!C298</f>
        <v>102.8707373021293</v>
      </c>
      <c r="O181">
        <f>GDS_Monthly!F298</f>
        <v>3.1027862241554782</v>
      </c>
      <c r="P181">
        <f>GDS_Monthly!G298</f>
        <v>2.2261373843803605</v>
      </c>
      <c r="Q181">
        <f>GDS_Monthly!T298</f>
        <v>109.95629237778644</v>
      </c>
      <c r="R181">
        <f>GDS_Monthly!V298</f>
        <v>108.22861147901261</v>
      </c>
      <c r="S181">
        <f>GDS_Monthly!W298</f>
        <v>117.22383919153249</v>
      </c>
      <c r="T181">
        <f>GDS_Monthly!X298</f>
        <v>162.38486296209288</v>
      </c>
      <c r="U181">
        <f>GDS_Monthly!AA298</f>
        <v>122.53685242216939</v>
      </c>
      <c r="V181">
        <f>GDS_Monthly!AC298</f>
        <v>233.48192889050762</v>
      </c>
      <c r="W181">
        <f>GDS_Monthly!AE298</f>
        <v>222.56817370315022</v>
      </c>
      <c r="X181">
        <f>GDS_Monthly!AF298</f>
        <v>121.22044814961006</v>
      </c>
      <c r="Y181">
        <f>OECD!B181</f>
        <v>100.38200000000001</v>
      </c>
      <c r="Z181">
        <f>'Monthly Haver'!K184</f>
        <v>101.33620000000001</v>
      </c>
      <c r="AA181" s="8">
        <f>OECD!C181</f>
        <v>105.55</v>
      </c>
    </row>
    <row r="182" spans="1:27">
      <c r="A182" t="str">
        <f>'Monthly Haver'!A185</f>
        <v>Jan-2014</v>
      </c>
      <c r="B182">
        <f>'Monthly Haver'!C185</f>
        <v>53.854999999999997</v>
      </c>
      <c r="C182">
        <f>'Monthly Haver'!D185</f>
        <v>54.955199999999998</v>
      </c>
      <c r="D182" t="e">
        <f>'Monthly Haver'!E185</f>
        <v>#N/A</v>
      </c>
      <c r="E182">
        <f>'Monthly Haver'!G185</f>
        <v>51.631599999999999</v>
      </c>
      <c r="F182">
        <f>'Monthly Haver'!H185</f>
        <v>52.741399999999999</v>
      </c>
      <c r="G182">
        <f>'Monthly Haver'!I185</f>
        <v>48.895000000000003</v>
      </c>
      <c r="H182">
        <f>'Monthly Haver'!J185</f>
        <v>53.695999999999998</v>
      </c>
      <c r="I182">
        <f>GDS_Monthly!O299</f>
        <v>129.1819979042518</v>
      </c>
      <c r="J182">
        <f>GDS_Monthly!D299</f>
        <v>113.87805891680158</v>
      </c>
      <c r="K182">
        <f>GDS_Monthly!AH299</f>
        <v>1251.9445762</v>
      </c>
      <c r="L182">
        <f>GDS_Monthly!AI299</f>
        <v>1198.4998032000001</v>
      </c>
      <c r="M182">
        <f>GDS_Monthly!N299</f>
        <v>5.7816566489424659</v>
      </c>
      <c r="N182">
        <f>GDS_Monthly!C299</f>
        <v>103.10568946873477</v>
      </c>
      <c r="O182">
        <f>GDS_Monthly!F299</f>
        <v>3.2861945900409317</v>
      </c>
      <c r="P182">
        <f>GDS_Monthly!G299</f>
        <v>2.3403034524254536</v>
      </c>
      <c r="Q182">
        <f>GDS_Monthly!T299</f>
        <v>110.15778669265916</v>
      </c>
      <c r="R182">
        <f>GDS_Monthly!V299</f>
        <v>108.40400269309924</v>
      </c>
      <c r="S182">
        <f>GDS_Monthly!W299</f>
        <v>117.76153423921374</v>
      </c>
      <c r="T182">
        <f>GDS_Monthly!X299</f>
        <v>159.42779896331297</v>
      </c>
      <c r="U182">
        <f>GDS_Monthly!AA299</f>
        <v>122.92071678292494</v>
      </c>
      <c r="V182">
        <f>GDS_Monthly!AC299</f>
        <v>229.99734882952936</v>
      </c>
      <c r="W182">
        <f>GDS_Monthly!AE299</f>
        <v>216.11166234178617</v>
      </c>
      <c r="X182">
        <f>GDS_Monthly!AF299</f>
        <v>118.61104688830959</v>
      </c>
      <c r="Y182">
        <f>OECD!B182</f>
        <v>100.3931</v>
      </c>
      <c r="Z182">
        <f>'Monthly Haver'!K185</f>
        <v>102.45795</v>
      </c>
      <c r="AA182" s="8">
        <f>OECD!C182</f>
        <v>105.79</v>
      </c>
    </row>
    <row r="183" spans="1:27">
      <c r="A183" t="str">
        <f>'Monthly Haver'!A186</f>
        <v>Feb-2014</v>
      </c>
      <c r="B183">
        <f>'Monthly Haver'!C186</f>
        <v>53.975700000000003</v>
      </c>
      <c r="C183">
        <f>'Monthly Haver'!D186</f>
        <v>54.135899999999999</v>
      </c>
      <c r="D183" t="e">
        <f>'Monthly Haver'!E186</f>
        <v>#N/A</v>
      </c>
      <c r="E183">
        <f>'Monthly Haver'!G186</f>
        <v>51.305799999999998</v>
      </c>
      <c r="F183">
        <f>'Monthly Haver'!H186</f>
        <v>52.6965</v>
      </c>
      <c r="G183">
        <f>'Monthly Haver'!I186</f>
        <v>49.087400000000002</v>
      </c>
      <c r="H183">
        <f>'Monthly Haver'!J186</f>
        <v>52.514699999999998</v>
      </c>
      <c r="I183">
        <f>GDS_Monthly!O300</f>
        <v>129.5377307831327</v>
      </c>
      <c r="J183">
        <f>GDS_Monthly!D300</f>
        <v>114.47335406453828</v>
      </c>
      <c r="K183">
        <f>GDS_Monthly!AH300</f>
        <v>1228.3128423999999</v>
      </c>
      <c r="L183">
        <f>GDS_Monthly!AI300</f>
        <v>1163.8812986</v>
      </c>
      <c r="M183">
        <f>GDS_Monthly!N300</f>
        <v>5.7738269689909876</v>
      </c>
      <c r="N183">
        <f>GDS_Monthly!C300</f>
        <v>102.47516323761806</v>
      </c>
      <c r="O183">
        <f>GDS_Monthly!F300</f>
        <v>3.1187729096691634</v>
      </c>
      <c r="P183">
        <f>GDS_Monthly!G300</f>
        <v>2.4103786106821126</v>
      </c>
      <c r="Q183">
        <f>GDS_Monthly!T300</f>
        <v>110.37305739441659</v>
      </c>
      <c r="R183">
        <f>GDS_Monthly!V300</f>
        <v>108.61460501612787</v>
      </c>
      <c r="S183">
        <f>GDS_Monthly!W300</f>
        <v>121.05185958321108</v>
      </c>
      <c r="T183">
        <f>GDS_Monthly!X300</f>
        <v>155.16469472624712</v>
      </c>
      <c r="U183">
        <f>GDS_Monthly!AA300</f>
        <v>125.21367952762881</v>
      </c>
      <c r="V183">
        <f>GDS_Monthly!AC300</f>
        <v>237.20878910677422</v>
      </c>
      <c r="W183">
        <f>GDS_Monthly!AE300</f>
        <v>220.88021353813951</v>
      </c>
      <c r="X183">
        <f>GDS_Monthly!AF300</f>
        <v>118.40172537262072</v>
      </c>
      <c r="Y183">
        <f>OECD!B183</f>
        <v>100.402</v>
      </c>
      <c r="Z183">
        <f>'Monthly Haver'!K186</f>
        <v>103.5685</v>
      </c>
      <c r="AA183" s="8">
        <f>OECD!C183</f>
        <v>105.62</v>
      </c>
    </row>
    <row r="184" spans="1:27">
      <c r="A184" t="str">
        <f>'Monthly Haver'!A187</f>
        <v>Mar-2014</v>
      </c>
      <c r="B184">
        <f>'Monthly Haver'!C187</f>
        <v>52.664200000000001</v>
      </c>
      <c r="C184">
        <f>'Monthly Haver'!D187</f>
        <v>52.688899999999997</v>
      </c>
      <c r="D184" t="e">
        <f>'Monthly Haver'!E187</f>
        <v>#N/A</v>
      </c>
      <c r="E184">
        <f>'Monthly Haver'!G187</f>
        <v>51.237400000000001</v>
      </c>
      <c r="F184">
        <f>'Monthly Haver'!H187</f>
        <v>51.9908</v>
      </c>
      <c r="G184">
        <f>'Monthly Haver'!I187</f>
        <v>49.6999</v>
      </c>
      <c r="H184">
        <f>'Monthly Haver'!J187</f>
        <v>53.378700000000002</v>
      </c>
      <c r="I184">
        <f>GDS_Monthly!O301</f>
        <v>130.3106640558926</v>
      </c>
      <c r="J184">
        <f>GDS_Monthly!D301</f>
        <v>114.7078960180081</v>
      </c>
      <c r="K184">
        <f>GDS_Monthly!AH301</f>
        <v>1228.7450755</v>
      </c>
      <c r="L184">
        <f>GDS_Monthly!AI301</f>
        <v>1180.6773794999999</v>
      </c>
      <c r="M184">
        <f>GDS_Monthly!N301</f>
        <v>5.762192478035816</v>
      </c>
      <c r="N184">
        <f>GDS_Monthly!C301</f>
        <v>103.96139795559588</v>
      </c>
      <c r="O184">
        <f>GDS_Monthly!F301</f>
        <v>3.1473734912704669</v>
      </c>
      <c r="P184">
        <f>GDS_Monthly!G301</f>
        <v>2.4550601218420032</v>
      </c>
      <c r="Q184">
        <f>GDS_Monthly!T301</f>
        <v>110.60253802090543</v>
      </c>
      <c r="R184">
        <f>GDS_Monthly!V301</f>
        <v>108.88657443923817</v>
      </c>
      <c r="S184">
        <f>GDS_Monthly!W301</f>
        <v>128.09889023963868</v>
      </c>
      <c r="T184">
        <f>GDS_Monthly!X301</f>
        <v>147.98232135232249</v>
      </c>
      <c r="U184">
        <f>GDS_Monthly!AA301</f>
        <v>128.42031685761887</v>
      </c>
      <c r="V184">
        <f>GDS_Monthly!AC301</f>
        <v>229.72840854930359</v>
      </c>
      <c r="W184">
        <f>GDS_Monthly!AE301</f>
        <v>218.15381115161642</v>
      </c>
      <c r="X184">
        <f>GDS_Monthly!AF301</f>
        <v>121.42029288214343</v>
      </c>
      <c r="Y184">
        <f>OECD!B184</f>
        <v>100.4111</v>
      </c>
      <c r="Z184">
        <f>'Monthly Haver'!K187</f>
        <v>103.90891000000001</v>
      </c>
      <c r="AA184" s="8">
        <f>OECD!C184</f>
        <v>106.48</v>
      </c>
    </row>
    <row r="185" spans="1:27">
      <c r="A185" t="str">
        <f>'Monthly Haver'!A188</f>
        <v>Apr-2014</v>
      </c>
      <c r="B185">
        <f>'Monthly Haver'!C188</f>
        <v>52.837800000000001</v>
      </c>
      <c r="C185">
        <f>'Monthly Haver'!D188</f>
        <v>53.335799999999999</v>
      </c>
      <c r="D185" t="e">
        <f>'Monthly Haver'!E188</f>
        <v>#N/A</v>
      </c>
      <c r="E185">
        <f>'Monthly Haver'!G188</f>
        <v>51.195799999999998</v>
      </c>
      <c r="F185">
        <f>'Monthly Haver'!H188</f>
        <v>51.562899999999999</v>
      </c>
      <c r="G185">
        <f>'Monthly Haver'!I188</f>
        <v>49.800899999999999</v>
      </c>
      <c r="H185">
        <f>'Monthly Haver'!J188</f>
        <v>52.879399999999997</v>
      </c>
      <c r="I185">
        <f>GDS_Monthly!O302</f>
        <v>127.57442196897996</v>
      </c>
      <c r="J185">
        <f>GDS_Monthly!D302</f>
        <v>115.41964282687674</v>
      </c>
      <c r="K185">
        <f>GDS_Monthly!AH302</f>
        <v>1246.0330991000001</v>
      </c>
      <c r="L185">
        <f>GDS_Monthly!AI302</f>
        <v>1206.8025689000001</v>
      </c>
      <c r="M185">
        <f>GDS_Monthly!N302</f>
        <v>5.6711280726930404</v>
      </c>
      <c r="N185">
        <f>GDS_Monthly!C302</f>
        <v>103.23726657582557</v>
      </c>
      <c r="O185">
        <f>GDS_Monthly!F302</f>
        <v>3.041296930086629</v>
      </c>
      <c r="P185">
        <f>GDS_Monthly!G302</f>
        <v>2.4871874450166875</v>
      </c>
      <c r="Q185">
        <f>GDS_Monthly!T302</f>
        <v>110.96727443692653</v>
      </c>
      <c r="R185">
        <f>GDS_Monthly!V302</f>
        <v>109.22831001476719</v>
      </c>
      <c r="S185">
        <f>GDS_Monthly!W302</f>
        <v>130.63854601172844</v>
      </c>
      <c r="T185">
        <f>GDS_Monthly!X302</f>
        <v>152.94753476198161</v>
      </c>
      <c r="U185">
        <f>GDS_Monthly!AA302</f>
        <v>129.63540891399958</v>
      </c>
      <c r="V185">
        <f>GDS_Monthly!AC302</f>
        <v>230.82900433401258</v>
      </c>
      <c r="W185">
        <f>GDS_Monthly!AE302</f>
        <v>219.94484978246393</v>
      </c>
      <c r="X185">
        <f>GDS_Monthly!AF302</f>
        <v>118.59568514713608</v>
      </c>
      <c r="Y185">
        <f>OECD!B185</f>
        <v>100.41030000000001</v>
      </c>
      <c r="Z185">
        <f>'Monthly Haver'!K188</f>
        <v>103.82152000000001</v>
      </c>
      <c r="AA185" s="8">
        <f>OECD!C185</f>
        <v>106.95</v>
      </c>
    </row>
    <row r="186" spans="1:27">
      <c r="A186" t="str">
        <f>'Monthly Haver'!A189</f>
        <v>May-2014</v>
      </c>
      <c r="B186">
        <f>'Monthly Haver'!C189</f>
        <v>53.9604</v>
      </c>
      <c r="C186">
        <f>'Monthly Haver'!D189</f>
        <v>54.113500000000002</v>
      </c>
      <c r="D186" t="e">
        <f>'Monthly Haver'!E189</f>
        <v>#N/A</v>
      </c>
      <c r="E186">
        <f>'Monthly Haver'!G189</f>
        <v>51.458199999999998</v>
      </c>
      <c r="F186">
        <f>'Monthly Haver'!H189</f>
        <v>51.894199999999998</v>
      </c>
      <c r="G186">
        <f>'Monthly Haver'!I189</f>
        <v>49.447299999999998</v>
      </c>
      <c r="H186">
        <f>'Monthly Haver'!J189</f>
        <v>54.2744</v>
      </c>
      <c r="I186">
        <f>GDS_Monthly!O303</f>
        <v>129.94371212561427</v>
      </c>
      <c r="J186">
        <f>GDS_Monthly!D303</f>
        <v>115.44852940323509</v>
      </c>
      <c r="K186">
        <f>GDS_Monthly!AH303</f>
        <v>1229.8279994</v>
      </c>
      <c r="L186">
        <f>GDS_Monthly!AI303</f>
        <v>1207.0818933999999</v>
      </c>
      <c r="M186">
        <f>GDS_Monthly!N303</f>
        <v>5.6788939207717473</v>
      </c>
      <c r="N186">
        <f>GDS_Monthly!C303</f>
        <v>103.37619271872599</v>
      </c>
      <c r="O186">
        <f>GDS_Monthly!F303</f>
        <v>2.9124293058999107</v>
      </c>
      <c r="P186">
        <f>GDS_Monthly!G303</f>
        <v>2.4868680315690819</v>
      </c>
      <c r="Q186">
        <f>GDS_Monthly!T303</f>
        <v>111.2293385547115</v>
      </c>
      <c r="R186">
        <f>GDS_Monthly!V303</f>
        <v>109.42184975382628</v>
      </c>
      <c r="S186">
        <f>GDS_Monthly!W303</f>
        <v>125.38075779005692</v>
      </c>
      <c r="T186">
        <f>GDS_Monthly!X303</f>
        <v>148.8333477621843</v>
      </c>
      <c r="U186">
        <f>GDS_Monthly!AA303</f>
        <v>125.5127740379756</v>
      </c>
      <c r="V186">
        <f>GDS_Monthly!AC303</f>
        <v>231.3169549725333</v>
      </c>
      <c r="W186">
        <f>GDS_Monthly!AE303</f>
        <v>221.7122247272076</v>
      </c>
      <c r="X186">
        <f>GDS_Monthly!AF303</f>
        <v>116.75067238797378</v>
      </c>
      <c r="Y186">
        <f>OECD!B186</f>
        <v>100.4003</v>
      </c>
      <c r="Z186">
        <f>'Monthly Haver'!K189</f>
        <v>103.63271</v>
      </c>
      <c r="AA186" s="8">
        <f>OECD!C186</f>
        <v>107.4</v>
      </c>
    </row>
    <row r="187" spans="1:27">
      <c r="A187" t="str">
        <f>'Monthly Haver'!A190</f>
        <v>Jun-2014</v>
      </c>
      <c r="B187">
        <f>'Monthly Haver'!C190</f>
        <v>55.661299999999997</v>
      </c>
      <c r="C187">
        <f>'Monthly Haver'!D190</f>
        <v>54.534999999999997</v>
      </c>
      <c r="D187" t="e">
        <f>'Monthly Haver'!E190</f>
        <v>#N/A</v>
      </c>
      <c r="E187">
        <f>'Monthly Haver'!G190</f>
        <v>52.421399999999998</v>
      </c>
      <c r="F187">
        <f>'Monthly Haver'!H190</f>
        <v>52.460599999999999</v>
      </c>
      <c r="G187">
        <f>'Monthly Haver'!I190</f>
        <v>48.081699999999998</v>
      </c>
      <c r="H187">
        <f>'Monthly Haver'!J190</f>
        <v>55.701599999999999</v>
      </c>
      <c r="I187">
        <f>GDS_Monthly!O304</f>
        <v>130.92346092776589</v>
      </c>
      <c r="J187">
        <f>GDS_Monthly!D304</f>
        <v>115.48345022620352</v>
      </c>
      <c r="K187">
        <f>GDS_Monthly!AH304</f>
        <v>1222.6977069</v>
      </c>
      <c r="L187">
        <f>GDS_Monthly!AI304</f>
        <v>1189.0802105</v>
      </c>
      <c r="M187">
        <f>GDS_Monthly!N304</f>
        <v>5.6548186776685805</v>
      </c>
      <c r="N187">
        <f>GDS_Monthly!C304</f>
        <v>104.24862809268002</v>
      </c>
      <c r="O187">
        <f>GDS_Monthly!F304</f>
        <v>2.7934891920432041</v>
      </c>
      <c r="P187">
        <f>GDS_Monthly!G304</f>
        <v>2.4544346701146473</v>
      </c>
      <c r="Q187">
        <f>GDS_Monthly!T304</f>
        <v>111.44495250242757</v>
      </c>
      <c r="R187">
        <f>GDS_Monthly!V304</f>
        <v>109.6534108879266</v>
      </c>
      <c r="S187">
        <f>GDS_Monthly!W304</f>
        <v>122.51104979313055</v>
      </c>
      <c r="T187">
        <f>GDS_Monthly!X304</f>
        <v>145.3522589111823</v>
      </c>
      <c r="U187">
        <f>GDS_Monthly!AA304</f>
        <v>123.36507053453525</v>
      </c>
      <c r="V187">
        <f>GDS_Monthly!AC304</f>
        <v>235.192282803057</v>
      </c>
      <c r="W187">
        <f>GDS_Monthly!AE304</f>
        <v>228.15495053117152</v>
      </c>
      <c r="X187">
        <f>GDS_Monthly!AF304</f>
        <v>117.20009298917466</v>
      </c>
      <c r="Y187">
        <f>OECD!B187</f>
        <v>100.3886</v>
      </c>
      <c r="Z187">
        <f>'Monthly Haver'!K190</f>
        <v>104.3494</v>
      </c>
      <c r="AA187" s="8">
        <f>OECD!C187</f>
        <v>107.78</v>
      </c>
    </row>
    <row r="188" spans="1:27">
      <c r="A188" t="str">
        <f>'Monthly Haver'!A191</f>
        <v>Jul-2014</v>
      </c>
      <c r="B188">
        <f>'Monthly Haver'!C191</f>
        <v>54.305900000000001</v>
      </c>
      <c r="C188">
        <f>'Monthly Haver'!D191</f>
        <v>53.881599999999999</v>
      </c>
      <c r="D188" t="e">
        <f>'Monthly Haver'!E191</f>
        <v>#N/A</v>
      </c>
      <c r="E188">
        <f>'Monthly Haver'!G191</f>
        <v>51.472499999999997</v>
      </c>
      <c r="F188">
        <f>'Monthly Haver'!H191</f>
        <v>52.3399</v>
      </c>
      <c r="G188">
        <f>'Monthly Haver'!I191</f>
        <v>49.499400000000001</v>
      </c>
      <c r="H188">
        <f>'Monthly Haver'!J191</f>
        <v>55.598100000000002</v>
      </c>
      <c r="I188">
        <f>GDS_Monthly!O305</f>
        <v>131.10512924832801</v>
      </c>
      <c r="J188">
        <f>GDS_Monthly!D305</f>
        <v>116.09756459467297</v>
      </c>
      <c r="K188">
        <f>GDS_Monthly!AH305</f>
        <v>1241.191319</v>
      </c>
      <c r="L188">
        <f>GDS_Monthly!AI305</f>
        <v>1223.877158</v>
      </c>
      <c r="M188">
        <f>GDS_Monthly!N305</f>
        <v>5.6839461172680172</v>
      </c>
      <c r="N188">
        <f>GDS_Monthly!C305</f>
        <v>105.08611191158228</v>
      </c>
      <c r="O188">
        <f>GDS_Monthly!F305</f>
        <v>2.8045000566768459</v>
      </c>
      <c r="P188">
        <f>GDS_Monthly!G305</f>
        <v>2.4667176001853526</v>
      </c>
      <c r="Q188">
        <f>GDS_Monthly!T305</f>
        <v>111.64918698080939</v>
      </c>
      <c r="R188">
        <f>GDS_Monthly!V305</f>
        <v>109.84556198874917</v>
      </c>
      <c r="S188">
        <f>GDS_Monthly!W305</f>
        <v>119.78845841245418</v>
      </c>
      <c r="T188">
        <f>GDS_Monthly!X305</f>
        <v>149.66885375684629</v>
      </c>
      <c r="U188">
        <f>GDS_Monthly!AA305</f>
        <v>123.60709373218923</v>
      </c>
      <c r="V188">
        <f>GDS_Monthly!AC305</f>
        <v>226.53912551478072</v>
      </c>
      <c r="W188">
        <f>GDS_Monthly!AE305</f>
        <v>221.55643183090925</v>
      </c>
      <c r="X188">
        <f>GDS_Monthly!AF305</f>
        <v>114.23258938780963</v>
      </c>
      <c r="Y188">
        <f>OECD!B188</f>
        <v>100.37949999999999</v>
      </c>
      <c r="Z188">
        <f>'Monthly Haver'!K191</f>
        <v>103.88448</v>
      </c>
      <c r="AA188" s="8">
        <f>OECD!C188</f>
        <v>108.5</v>
      </c>
    </row>
    <row r="189" spans="1:27">
      <c r="A189" t="str">
        <f>'Monthly Haver'!A192</f>
        <v>Aug-2014</v>
      </c>
      <c r="B189">
        <f>'Monthly Haver'!C192</f>
        <v>54.674900000000001</v>
      </c>
      <c r="C189">
        <f>'Monthly Haver'!D192</f>
        <v>53.827100000000002</v>
      </c>
      <c r="D189" t="e">
        <f>'Monthly Haver'!E192</f>
        <v>#N/A</v>
      </c>
      <c r="E189">
        <f>'Monthly Haver'!G192</f>
        <v>51.314500000000002</v>
      </c>
      <c r="F189">
        <f>'Monthly Haver'!H192</f>
        <v>52.401499999999999</v>
      </c>
      <c r="G189">
        <f>'Monthly Haver'!I192</f>
        <v>49.894199999999998</v>
      </c>
      <c r="H189">
        <f>'Monthly Haver'!J192</f>
        <v>55.4818</v>
      </c>
      <c r="I189">
        <f>GDS_Monthly!O306</f>
        <v>132.04384016920645</v>
      </c>
      <c r="J189">
        <f>GDS_Monthly!D306</f>
        <v>115.56403485477817</v>
      </c>
      <c r="K189">
        <f>GDS_Monthly!AH306</f>
        <v>1206.723931</v>
      </c>
      <c r="L189">
        <f>GDS_Monthly!AI306</f>
        <v>1194.4082011</v>
      </c>
      <c r="M189">
        <f>GDS_Monthly!N306</f>
        <v>5.6621583028232223</v>
      </c>
      <c r="N189">
        <f>GDS_Monthly!C306</f>
        <v>105.43863295024065</v>
      </c>
      <c r="O189">
        <f>GDS_Monthly!F306</f>
        <v>2.7107189589515635</v>
      </c>
      <c r="P189">
        <f>GDS_Monthly!G306</f>
        <v>2.4566277892924013</v>
      </c>
      <c r="Q189">
        <f>GDS_Monthly!T306</f>
        <v>111.79472760959086</v>
      </c>
      <c r="R189">
        <f>GDS_Monthly!V306</f>
        <v>110.02465002254912</v>
      </c>
      <c r="S189">
        <f>GDS_Monthly!W306</f>
        <v>114.20290111897754</v>
      </c>
      <c r="T189">
        <f>GDS_Monthly!X306</f>
        <v>148.71957426050906</v>
      </c>
      <c r="U189">
        <f>GDS_Monthly!AA306</f>
        <v>120.09214321215948</v>
      </c>
      <c r="V189">
        <f>GDS_Monthly!AC306</f>
        <v>218.06090279425385</v>
      </c>
      <c r="W189">
        <f>GDS_Monthly!AE306</f>
        <v>212.78754838485494</v>
      </c>
      <c r="X189">
        <f>GDS_Monthly!AF306</f>
        <v>109.34420134556379</v>
      </c>
      <c r="Y189">
        <f>OECD!B189</f>
        <v>100.37390000000001</v>
      </c>
      <c r="Z189">
        <f>'Monthly Haver'!K192</f>
        <v>104.59177</v>
      </c>
      <c r="AA189" s="8">
        <f>OECD!C189</f>
        <v>108.44</v>
      </c>
    </row>
    <row r="190" spans="1:27">
      <c r="A190" t="str">
        <f>'Monthly Haver'!A193</f>
        <v>Sep-2014</v>
      </c>
      <c r="B190">
        <f>'Monthly Haver'!C193</f>
        <v>54.871899999999997</v>
      </c>
      <c r="C190">
        <f>'Monthly Haver'!D193</f>
        <v>53.391399999999997</v>
      </c>
      <c r="D190">
        <f>'Monthly Haver'!E193</f>
        <v>52.314399999999999</v>
      </c>
      <c r="E190">
        <f>'Monthly Haver'!G193</f>
        <v>51.629899999999999</v>
      </c>
      <c r="F190">
        <f>'Monthly Haver'!H193</f>
        <v>52.0306</v>
      </c>
      <c r="G190">
        <f>'Monthly Haver'!I193</f>
        <v>49.771099999999997</v>
      </c>
      <c r="H190">
        <f>'Monthly Haver'!J193</f>
        <v>55.372500000000002</v>
      </c>
      <c r="I190">
        <f>GDS_Monthly!O307</f>
        <v>132.03984574632906</v>
      </c>
      <c r="J190">
        <f>GDS_Monthly!D307</f>
        <v>116.80018214009806</v>
      </c>
      <c r="K190">
        <f>GDS_Monthly!AH307</f>
        <v>1236.2619672000001</v>
      </c>
      <c r="L190">
        <f>GDS_Monthly!AI307</f>
        <v>1195.3965069999999</v>
      </c>
      <c r="M190">
        <f>GDS_Monthly!N307</f>
        <v>5.6342153454375703</v>
      </c>
      <c r="N190">
        <f>GDS_Monthly!C307</f>
        <v>104.59996385858307</v>
      </c>
      <c r="O190">
        <f>GDS_Monthly!F307</f>
        <v>2.6118693192478468</v>
      </c>
      <c r="P190">
        <f>GDS_Monthly!G307</f>
        <v>2.4366885441646473</v>
      </c>
      <c r="Q190">
        <f>GDS_Monthly!T307</f>
        <v>111.94606149408983</v>
      </c>
      <c r="R190">
        <f>GDS_Monthly!V307</f>
        <v>110.2467875923849</v>
      </c>
      <c r="S190">
        <f>GDS_Monthly!W307</f>
        <v>112.02599069552654</v>
      </c>
      <c r="T190">
        <f>GDS_Monthly!X307</f>
        <v>141.533073191234</v>
      </c>
      <c r="U190">
        <f>GDS_Monthly!AA307</f>
        <v>116.44784626679342</v>
      </c>
      <c r="V190">
        <f>GDS_Monthly!AC307</f>
        <v>210.90719855804389</v>
      </c>
      <c r="W190">
        <f>GDS_Monthly!AE307</f>
        <v>207.60706300576317</v>
      </c>
      <c r="X190">
        <f>GDS_Monthly!AF307</f>
        <v>106.78299697563783</v>
      </c>
      <c r="Y190">
        <f>OECD!B190</f>
        <v>100.3781</v>
      </c>
      <c r="Z190">
        <f>'Monthly Haver'!K193</f>
        <v>105.82613000000001</v>
      </c>
      <c r="AA190" s="8">
        <f>OECD!C190</f>
        <v>108.78</v>
      </c>
    </row>
    <row r="191" spans="1:27">
      <c r="A191" t="str">
        <f>'Monthly Haver'!A194</f>
        <v>Oct-2014</v>
      </c>
      <c r="B191">
        <f>'Monthly Haver'!C194</f>
        <v>53.882800000000003</v>
      </c>
      <c r="C191">
        <f>'Monthly Haver'!D194</f>
        <v>53.0991</v>
      </c>
      <c r="D191">
        <f>'Monthly Haver'!E194</f>
        <v>51.151499999999999</v>
      </c>
      <c r="E191">
        <f>'Monthly Haver'!G194</f>
        <v>51.413899999999998</v>
      </c>
      <c r="F191">
        <f>'Monthly Haver'!H194</f>
        <v>52.074800000000003</v>
      </c>
      <c r="G191">
        <f>'Monthly Haver'!I194</f>
        <v>50.241300000000003</v>
      </c>
      <c r="H191">
        <f>'Monthly Haver'!J194</f>
        <v>53.802599999999998</v>
      </c>
      <c r="I191">
        <f>GDS_Monthly!O308</f>
        <v>130.77819911677295</v>
      </c>
      <c r="J191">
        <f>GDS_Monthly!D308</f>
        <v>116.509590326764</v>
      </c>
      <c r="K191">
        <f>GDS_Monthly!AH308</f>
        <v>1206.5862987</v>
      </c>
      <c r="L191">
        <f>GDS_Monthly!AI308</f>
        <v>1184.8678261</v>
      </c>
      <c r="M191">
        <f>GDS_Monthly!N308</f>
        <v>5.6104447714391261</v>
      </c>
      <c r="N191">
        <f>GDS_Monthly!C308</f>
        <v>105.07476880981299</v>
      </c>
      <c r="O191">
        <f>GDS_Monthly!F308</f>
        <v>2.5037232958847633</v>
      </c>
      <c r="P191">
        <f>GDS_Monthly!G308</f>
        <v>2.4658995049009413</v>
      </c>
      <c r="Q191">
        <f>GDS_Monthly!T308</f>
        <v>112.03400019108581</v>
      </c>
      <c r="R191">
        <f>GDS_Monthly!V308</f>
        <v>110.45048642535009</v>
      </c>
      <c r="S191">
        <f>GDS_Monthly!W308</f>
        <v>111.37120063426255</v>
      </c>
      <c r="T191">
        <f>GDS_Monthly!X308</f>
        <v>134.98948135378507</v>
      </c>
      <c r="U191">
        <f>GDS_Monthly!AA308</f>
        <v>114.21696356346804</v>
      </c>
      <c r="V191">
        <f>GDS_Monthly!AC308</f>
        <v>193.01799605476106</v>
      </c>
      <c r="W191">
        <f>GDS_Monthly!AE308</f>
        <v>188.06594102666125</v>
      </c>
      <c r="X191">
        <f>GDS_Monthly!AF308</f>
        <v>104.88336521740473</v>
      </c>
      <c r="Y191">
        <f>OECD!B191</f>
        <v>100.3852</v>
      </c>
      <c r="Z191">
        <f>'Monthly Haver'!K194</f>
        <v>106.26819</v>
      </c>
      <c r="AA191" s="8">
        <f>OECD!C191</f>
        <v>108.63</v>
      </c>
    </row>
    <row r="192" spans="1:27">
      <c r="A192" t="str">
        <f>'Monthly Haver'!A195</f>
        <v>Nov-2014</v>
      </c>
      <c r="B192">
        <f>'Monthly Haver'!C195</f>
        <v>53.289200000000001</v>
      </c>
      <c r="C192">
        <f>'Monthly Haver'!D195</f>
        <v>52.606400000000001</v>
      </c>
      <c r="D192">
        <f>'Monthly Haver'!E195</f>
        <v>50.639699999999998</v>
      </c>
      <c r="E192">
        <f>'Monthly Haver'!G195</f>
        <v>51.643000000000001</v>
      </c>
      <c r="F192">
        <f>'Monthly Haver'!H195</f>
        <v>51.664900000000003</v>
      </c>
      <c r="G192">
        <f>'Monthly Haver'!I195</f>
        <v>49.801099999999998</v>
      </c>
      <c r="H192">
        <f>'Monthly Haver'!J195</f>
        <v>53.584600000000002</v>
      </c>
      <c r="I192">
        <f>GDS_Monthly!O309</f>
        <v>133.73938089840428</v>
      </c>
      <c r="J192">
        <f>GDS_Monthly!D309</f>
        <v>116.92662005128216</v>
      </c>
      <c r="K192">
        <f>GDS_Monthly!AH309</f>
        <v>1163.9228006999999</v>
      </c>
      <c r="L192">
        <f>GDS_Monthly!AI309</f>
        <v>1147.9139051</v>
      </c>
      <c r="M192">
        <f>GDS_Monthly!N309</f>
        <v>5.6358242724798826</v>
      </c>
      <c r="N192">
        <f>GDS_Monthly!C309</f>
        <v>104.62564156320315</v>
      </c>
      <c r="O192">
        <f>GDS_Monthly!F309</f>
        <v>2.4349693916070825</v>
      </c>
      <c r="P192">
        <f>GDS_Monthly!G309</f>
        <v>2.5110048133610197</v>
      </c>
      <c r="Q192">
        <f>GDS_Monthly!T309</f>
        <v>112.12202882645221</v>
      </c>
      <c r="R192">
        <f>GDS_Monthly!V309</f>
        <v>110.69225714210195</v>
      </c>
      <c r="S192">
        <f>GDS_Monthly!W309</f>
        <v>111.11127218400821</v>
      </c>
      <c r="T192">
        <f>GDS_Monthly!X309</f>
        <v>132.78014980329681</v>
      </c>
      <c r="U192">
        <f>GDS_Monthly!AA309</f>
        <v>112.72939688927964</v>
      </c>
      <c r="V192">
        <f>GDS_Monthly!AC309</f>
        <v>178.45719983791477</v>
      </c>
      <c r="W192">
        <f>GDS_Monthly!AE309</f>
        <v>170.22852737304407</v>
      </c>
      <c r="X192">
        <f>GDS_Monthly!AF309</f>
        <v>105.56126142233353</v>
      </c>
      <c r="Y192">
        <f>OECD!B192</f>
        <v>100.3899</v>
      </c>
      <c r="Z192">
        <f>'Monthly Haver'!K195</f>
        <v>107.22942999999999</v>
      </c>
      <c r="AA192" s="8">
        <f>OECD!C192</f>
        <v>108.93</v>
      </c>
    </row>
    <row r="193" spans="1:27">
      <c r="A193" t="str">
        <f>'Monthly Haver'!A196</f>
        <v>Dec-2014</v>
      </c>
      <c r="B193">
        <f>'Monthly Haver'!C196</f>
        <v>52.1999</v>
      </c>
      <c r="C193">
        <f>'Monthly Haver'!D196</f>
        <v>52.561300000000003</v>
      </c>
      <c r="D193">
        <f>'Monthly Haver'!E196</f>
        <v>51.121099999999998</v>
      </c>
      <c r="E193">
        <f>'Monthly Haver'!G196</f>
        <v>51.164000000000001</v>
      </c>
      <c r="F193">
        <f>'Monthly Haver'!H196</f>
        <v>51.448099999999997</v>
      </c>
      <c r="G193">
        <f>'Monthly Haver'!I196</f>
        <v>49.691899999999997</v>
      </c>
      <c r="H193">
        <f>'Monthly Haver'!J196</f>
        <v>52.686399999999999</v>
      </c>
      <c r="I193">
        <f>GDS_Monthly!O310</f>
        <v>136.5868528894672</v>
      </c>
      <c r="J193">
        <f>GDS_Monthly!D310</f>
        <v>117.50774242217163</v>
      </c>
      <c r="K193">
        <f>GDS_Monthly!AH310</f>
        <v>1159.6688247</v>
      </c>
      <c r="L193">
        <f>GDS_Monthly!AI310</f>
        <v>1143.6109661</v>
      </c>
      <c r="M193">
        <f>GDS_Monthly!N310</f>
        <v>5.5993992839780047</v>
      </c>
      <c r="N193">
        <f>GDS_Monthly!C310</f>
        <v>104.89058289939267</v>
      </c>
      <c r="O193">
        <f>GDS_Monthly!F310</f>
        <v>2.331032731572805</v>
      </c>
      <c r="P193">
        <f>GDS_Monthly!G310</f>
        <v>2.7243630259395588</v>
      </c>
      <c r="Q193">
        <f>GDS_Monthly!T310</f>
        <v>112.14655950292524</v>
      </c>
      <c r="R193">
        <f>GDS_Monthly!V310</f>
        <v>110.94505537455714</v>
      </c>
      <c r="S193">
        <f>GDS_Monthly!W310</f>
        <v>109.18427183250064</v>
      </c>
      <c r="T193">
        <f>GDS_Monthly!X310</f>
        <v>125.87632448104586</v>
      </c>
      <c r="U193">
        <f>GDS_Monthly!AA310</f>
        <v>110.80524056389127</v>
      </c>
      <c r="V193">
        <f>GDS_Monthly!AC310</f>
        <v>148.55354273462919</v>
      </c>
      <c r="W193">
        <f>GDS_Monthly!AE310</f>
        <v>134.86036704282569</v>
      </c>
      <c r="X193">
        <f>GDS_Monthly!AF310</f>
        <v>105.0902573327176</v>
      </c>
      <c r="Y193">
        <f>OECD!B193</f>
        <v>100.39279999999999</v>
      </c>
      <c r="Z193">
        <f>'Monthly Haver'!K196</f>
        <v>108.11973999999999</v>
      </c>
      <c r="AA193" s="8">
        <f>OECD!C193</f>
        <v>108.91</v>
      </c>
    </row>
    <row r="194" spans="1:27">
      <c r="A194" t="str">
        <f>'Monthly Haver'!A197</f>
        <v>Jan-2015</v>
      </c>
      <c r="B194">
        <f>'Monthly Haver'!C197</f>
        <v>52.109200000000001</v>
      </c>
      <c r="C194">
        <f>'Monthly Haver'!D197</f>
        <v>50.257599999999996</v>
      </c>
      <c r="D194">
        <f>'Monthly Haver'!E197</f>
        <v>50.797699999999999</v>
      </c>
      <c r="E194">
        <f>'Monthly Haver'!G197</f>
        <v>51.474899999999998</v>
      </c>
      <c r="F194">
        <f>'Monthly Haver'!H197</f>
        <v>51.489199999999997</v>
      </c>
      <c r="G194">
        <f>'Monthly Haver'!I197</f>
        <v>49.41</v>
      </c>
      <c r="H194">
        <f>'Monthly Haver'!J197</f>
        <v>52.901299999999999</v>
      </c>
      <c r="I194">
        <f>GDS_Monthly!O311</f>
        <v>136.44737829896599</v>
      </c>
      <c r="J194">
        <f>GDS_Monthly!D311</f>
        <v>117.03784170916813</v>
      </c>
      <c r="K194">
        <f>GDS_Monthly!AH311</f>
        <v>1092.8984806999999</v>
      </c>
      <c r="L194">
        <f>GDS_Monthly!AI311</f>
        <v>1104.0739441000001</v>
      </c>
      <c r="M194">
        <f>GDS_Monthly!N311</f>
        <v>5.6229756623730127</v>
      </c>
      <c r="N194">
        <f>GDS_Monthly!C311</f>
        <v>106.70722081372777</v>
      </c>
      <c r="O194">
        <f>GDS_Monthly!F311</f>
        <v>2.063277130161985</v>
      </c>
      <c r="P194">
        <f>GDS_Monthly!G311</f>
        <v>2.7420068645556852</v>
      </c>
      <c r="Q194">
        <f>GDS_Monthly!T311</f>
        <v>112.0392004518272</v>
      </c>
      <c r="R194">
        <f>GDS_Monthly!V311</f>
        <v>111.26964152848311</v>
      </c>
      <c r="S194">
        <f>GDS_Monthly!W311</f>
        <v>104.53710202094211</v>
      </c>
      <c r="T194">
        <f>GDS_Monthly!X311</f>
        <v>120.26763392248431</v>
      </c>
      <c r="U194">
        <f>GDS_Monthly!AA311</f>
        <v>108.3778445890709</v>
      </c>
      <c r="V194">
        <f>GDS_Monthly!AC311</f>
        <v>122.68218499496599</v>
      </c>
      <c r="W194">
        <f>GDS_Monthly!AE311</f>
        <v>108.3428519152921</v>
      </c>
      <c r="X194">
        <f>GDS_Monthly!AF311</f>
        <v>104.44124502391486</v>
      </c>
      <c r="Y194">
        <f>OECD!B194</f>
        <v>100.3934</v>
      </c>
      <c r="Z194">
        <f>'Monthly Haver'!K197</f>
        <v>108.27733000000001</v>
      </c>
      <c r="AA194" s="8">
        <f>OECD!C194</f>
        <v>108.78</v>
      </c>
    </row>
    <row r="195" spans="1:27">
      <c r="A195" t="str">
        <f>'Monthly Haver'!A198</f>
        <v>Feb-2015</v>
      </c>
      <c r="B195">
        <f>'Monthly Haver'!C198</f>
        <v>53.836599999999997</v>
      </c>
      <c r="C195">
        <f>'Monthly Haver'!D198</f>
        <v>51.072800000000001</v>
      </c>
      <c r="D195">
        <f>'Monthly Haver'!E198</f>
        <v>50.860599999999998</v>
      </c>
      <c r="E195">
        <f>'Monthly Haver'!G198</f>
        <v>51.570700000000002</v>
      </c>
      <c r="F195">
        <f>'Monthly Haver'!H198</f>
        <v>51.804499999999997</v>
      </c>
      <c r="G195">
        <f>'Monthly Haver'!I198</f>
        <v>49.8626</v>
      </c>
      <c r="H195">
        <f>'Monthly Haver'!J198</f>
        <v>54.105699999999999</v>
      </c>
      <c r="I195">
        <f>GDS_Monthly!O312</f>
        <v>136.79832406394922</v>
      </c>
      <c r="J195">
        <f>GDS_Monthly!D312</f>
        <v>117.22419489405125</v>
      </c>
      <c r="K195">
        <f>GDS_Monthly!AH312</f>
        <v>1080.3000797</v>
      </c>
      <c r="L195">
        <f>GDS_Monthly!AI312</f>
        <v>1104.4371801</v>
      </c>
      <c r="M195">
        <f>GDS_Monthly!N312</f>
        <v>5.6122091875566706</v>
      </c>
      <c r="N195">
        <f>GDS_Monthly!C312</f>
        <v>106.31363017306036</v>
      </c>
      <c r="O195">
        <f>GDS_Monthly!F312</f>
        <v>2.1340057693547023</v>
      </c>
      <c r="P195">
        <f>GDS_Monthly!G312</f>
        <v>2.6778927818010336</v>
      </c>
      <c r="Q195">
        <f>GDS_Monthly!T312</f>
        <v>112.36698461281132</v>
      </c>
      <c r="R195">
        <f>GDS_Monthly!V312</f>
        <v>111.55375472740279</v>
      </c>
      <c r="S195">
        <f>GDS_Monthly!W312</f>
        <v>101.53081644144117</v>
      </c>
      <c r="T195">
        <f>GDS_Monthly!X312</f>
        <v>115.80855490697304</v>
      </c>
      <c r="U195">
        <f>GDS_Monthly!AA312</f>
        <v>105.68205111926582</v>
      </c>
      <c r="V195">
        <f>GDS_Monthly!AC312</f>
        <v>134.81149262355953</v>
      </c>
      <c r="W195">
        <f>GDS_Monthly!AE312</f>
        <v>126.22782138919656</v>
      </c>
      <c r="X195">
        <f>GDS_Monthly!AF312</f>
        <v>105.56562253230312</v>
      </c>
      <c r="Y195">
        <f>OECD!B195</f>
        <v>100.38290000000001</v>
      </c>
      <c r="Z195">
        <f>'Monthly Haver'!K198</f>
        <v>109.15075</v>
      </c>
      <c r="AA195" s="8">
        <f>OECD!C195</f>
        <v>108.66</v>
      </c>
    </row>
    <row r="196" spans="1:27">
      <c r="A196" t="str">
        <f>'Monthly Haver'!A199</f>
        <v>Mar-2015</v>
      </c>
      <c r="B196">
        <f>'Monthly Haver'!C199</f>
        <v>54.1723</v>
      </c>
      <c r="C196">
        <f>'Monthly Haver'!D199</f>
        <v>52.280299999999997</v>
      </c>
      <c r="D196">
        <f>'Monthly Haver'!E199</f>
        <v>50.627499999999998</v>
      </c>
      <c r="E196">
        <f>'Monthly Haver'!G199</f>
        <v>51.555399999999999</v>
      </c>
      <c r="F196">
        <f>'Monthly Haver'!H199</f>
        <v>51.397500000000001</v>
      </c>
      <c r="G196">
        <f>'Monthly Haver'!I199</f>
        <v>49.325800000000001</v>
      </c>
      <c r="H196">
        <f>'Monthly Haver'!J199</f>
        <v>54.997999999999998</v>
      </c>
      <c r="I196">
        <f>GDS_Monthly!O313</f>
        <v>137.0021325259182</v>
      </c>
      <c r="J196">
        <f>GDS_Monthly!D313</f>
        <v>117.32593262360157</v>
      </c>
      <c r="K196">
        <f>GDS_Monthly!AH313</f>
        <v>1086.6961727</v>
      </c>
      <c r="L196">
        <f>GDS_Monthly!AI313</f>
        <v>1060.5613331</v>
      </c>
      <c r="M196">
        <f>GDS_Monthly!N313</f>
        <v>5.6005616930882107</v>
      </c>
      <c r="N196">
        <f>GDS_Monthly!C313</f>
        <v>106.45584569611671</v>
      </c>
      <c r="O196">
        <f>GDS_Monthly!F313</f>
        <v>2.1616697005493539</v>
      </c>
      <c r="P196">
        <f>GDS_Monthly!G313</f>
        <v>2.6338918017717905</v>
      </c>
      <c r="Q196">
        <f>GDS_Monthly!T313</f>
        <v>112.77264726806524</v>
      </c>
      <c r="R196">
        <f>GDS_Monthly!V313</f>
        <v>111.86299245204654</v>
      </c>
      <c r="S196">
        <f>GDS_Monthly!W313</f>
        <v>98.953824602244197</v>
      </c>
      <c r="T196">
        <f>GDS_Monthly!X313</f>
        <v>113.23017846738291</v>
      </c>
      <c r="U196">
        <f>GDS_Monthly!AA313</f>
        <v>102.62661382597395</v>
      </c>
      <c r="V196">
        <f>GDS_Monthly!AC313</f>
        <v>129.40491903923888</v>
      </c>
      <c r="W196">
        <f>GDS_Monthly!AE313</f>
        <v>123.82118054737896</v>
      </c>
      <c r="X196">
        <f>GDS_Monthly!AF313</f>
        <v>102.78567431946654</v>
      </c>
      <c r="Y196">
        <f>OECD!B196</f>
        <v>100.3591</v>
      </c>
      <c r="Z196">
        <f>'Monthly Haver'!K199</f>
        <v>110.81075</v>
      </c>
      <c r="AA196" s="8">
        <f>OECD!C196</f>
        <v>109.14</v>
      </c>
    </row>
    <row r="197" spans="1:27">
      <c r="A197" t="str">
        <f>'Monthly Haver'!A200</f>
        <v>Apr-2015</v>
      </c>
      <c r="B197">
        <f>'Monthly Haver'!C200</f>
        <v>53.749699999999997</v>
      </c>
      <c r="C197">
        <f>'Monthly Haver'!D200</f>
        <v>52.444099999999999</v>
      </c>
      <c r="D197">
        <f>'Monthly Haver'!E200</f>
        <v>50.325699999999998</v>
      </c>
      <c r="E197">
        <f>'Monthly Haver'!G200</f>
        <v>52.056100000000001</v>
      </c>
      <c r="F197">
        <f>'Monthly Haver'!H200</f>
        <v>50.732500000000002</v>
      </c>
      <c r="G197">
        <f>'Monthly Haver'!I200</f>
        <v>49.476100000000002</v>
      </c>
      <c r="H197">
        <f>'Monthly Haver'!J200</f>
        <v>54.699300000000001</v>
      </c>
      <c r="I197">
        <f>GDS_Monthly!O314</f>
        <v>135.04389953554045</v>
      </c>
      <c r="J197">
        <f>GDS_Monthly!D314</f>
        <v>117.48733429519635</v>
      </c>
      <c r="K197">
        <f>GDS_Monthly!AH314</f>
        <v>1082.2637227</v>
      </c>
      <c r="L197">
        <f>GDS_Monthly!AI314</f>
        <v>1067.0710371</v>
      </c>
      <c r="M197">
        <f>GDS_Monthly!N314</f>
        <v>5.6054077016486756</v>
      </c>
      <c r="N197">
        <f>GDS_Monthly!C314</f>
        <v>105.22712818793713</v>
      </c>
      <c r="O197">
        <f>GDS_Monthly!F314</f>
        <v>2.0480613694735412</v>
      </c>
      <c r="P197">
        <f>GDS_Monthly!G314</f>
        <v>2.6486979202952248</v>
      </c>
      <c r="Q197">
        <f>GDS_Monthly!T314</f>
        <v>113.00767776540219</v>
      </c>
      <c r="R197">
        <f>GDS_Monthly!V314</f>
        <v>112.13345030636843</v>
      </c>
      <c r="S197">
        <f>GDS_Monthly!W314</f>
        <v>100.88369550291691</v>
      </c>
      <c r="T197">
        <f>GDS_Monthly!X314</f>
        <v>111.07290804929457</v>
      </c>
      <c r="U197">
        <f>GDS_Monthly!AA314</f>
        <v>103.41080869921099</v>
      </c>
      <c r="V197">
        <f>GDS_Monthly!AC314</f>
        <v>131.37908561468635</v>
      </c>
      <c r="W197">
        <f>GDS_Monthly!AE314</f>
        <v>134.67257279201232</v>
      </c>
      <c r="X197">
        <f>GDS_Monthly!AF314</f>
        <v>103.86826027014314</v>
      </c>
      <c r="Y197">
        <f>OECD!B197</f>
        <v>100.3212</v>
      </c>
      <c r="Z197">
        <f>'Monthly Haver'!K200</f>
        <v>109.32863999999999</v>
      </c>
      <c r="AA197" s="8">
        <f>OECD!C197</f>
        <v>109.86</v>
      </c>
    </row>
    <row r="198" spans="1:27">
      <c r="A198" t="str">
        <f>'Monthly Haver'!A201</f>
        <v>May-2015</v>
      </c>
      <c r="B198">
        <f>'Monthly Haver'!C201</f>
        <v>53.261200000000002</v>
      </c>
      <c r="C198">
        <f>'Monthly Haver'!D201</f>
        <v>53.464700000000001</v>
      </c>
      <c r="D198">
        <f>'Monthly Haver'!E201</f>
        <v>49.935600000000001</v>
      </c>
      <c r="E198">
        <f>'Monthly Haver'!G201</f>
        <v>52.277799999999999</v>
      </c>
      <c r="F198">
        <f>'Monthly Haver'!H201</f>
        <v>50.955500000000001</v>
      </c>
      <c r="G198">
        <f>'Monthly Haver'!I201</f>
        <v>49.093000000000004</v>
      </c>
      <c r="H198">
        <f>'Monthly Haver'!J201</f>
        <v>53.988999999999997</v>
      </c>
      <c r="I198">
        <f>GDS_Monthly!O315</f>
        <v>137.37926964101962</v>
      </c>
      <c r="J198">
        <f>GDS_Monthly!D315</f>
        <v>117.23881269609262</v>
      </c>
      <c r="K198">
        <f>GDS_Monthly!AH315</f>
        <v>1056.2370037000001</v>
      </c>
      <c r="L198">
        <f>GDS_Monthly!AI315</f>
        <v>1073.0433911</v>
      </c>
      <c r="M198">
        <f>GDS_Monthly!N315</f>
        <v>5.6281780306712976</v>
      </c>
      <c r="N198">
        <f>GDS_Monthly!C315</f>
        <v>105.61406600712711</v>
      </c>
      <c r="O198">
        <f>GDS_Monthly!F315</f>
        <v>2.2444691450873329</v>
      </c>
      <c r="P198">
        <f>GDS_Monthly!G315</f>
        <v>2.5701071761055383</v>
      </c>
      <c r="Q198">
        <f>GDS_Monthly!T315</f>
        <v>113.34315796976284</v>
      </c>
      <c r="R198">
        <f>GDS_Monthly!V315</f>
        <v>112.38988049282234</v>
      </c>
      <c r="S198">
        <f>GDS_Monthly!W315</f>
        <v>100.7662559194556</v>
      </c>
      <c r="T198">
        <f>GDS_Monthly!X315</f>
        <v>117.01630292815963</v>
      </c>
      <c r="U198">
        <f>GDS_Monthly!AA315</f>
        <v>105.03188509445251</v>
      </c>
      <c r="V198">
        <f>GDS_Monthly!AC315</f>
        <v>138.45460930679454</v>
      </c>
      <c r="W198">
        <f>GDS_Monthly!AE315</f>
        <v>144.4327946219386</v>
      </c>
      <c r="X198">
        <f>GDS_Monthly!AF315</f>
        <v>105.67410450205212</v>
      </c>
      <c r="Y198">
        <f>OECD!B198</f>
        <v>100.2666</v>
      </c>
      <c r="Z198">
        <f>'Monthly Haver'!K201</f>
        <v>110.09966</v>
      </c>
      <c r="AA198" s="8">
        <f>OECD!C198</f>
        <v>110.38</v>
      </c>
    </row>
    <row r="199" spans="1:27">
      <c r="A199" t="str">
        <f>'Monthly Haver'!A202</f>
        <v>Jun-2015</v>
      </c>
      <c r="B199">
        <f>'Monthly Haver'!C202</f>
        <v>53.179400000000001</v>
      </c>
      <c r="C199">
        <f>'Monthly Haver'!D202</f>
        <v>54.079900000000002</v>
      </c>
      <c r="D199">
        <f>'Monthly Haver'!E202</f>
        <v>50.891500000000001</v>
      </c>
      <c r="E199">
        <f>'Monthly Haver'!G202</f>
        <v>51.542099999999998</v>
      </c>
      <c r="F199">
        <f>'Monthly Haver'!H202</f>
        <v>50.866199999999999</v>
      </c>
      <c r="G199">
        <f>'Monthly Haver'!I202</f>
        <v>49.079900000000002</v>
      </c>
      <c r="H199">
        <f>'Monthly Haver'!J202</f>
        <v>53.299199999999999</v>
      </c>
      <c r="I199">
        <f>GDS_Monthly!O316</f>
        <v>137.89189574645346</v>
      </c>
      <c r="J199">
        <f>GDS_Monthly!D316</f>
        <v>117.71554886555575</v>
      </c>
      <c r="K199">
        <f>GDS_Monthly!AH316</f>
        <v>1092.6640167</v>
      </c>
      <c r="L199">
        <f>GDS_Monthly!AI316</f>
        <v>1087.5179370999999</v>
      </c>
      <c r="M199">
        <f>GDS_Monthly!N316</f>
        <v>5.6181575587010881</v>
      </c>
      <c r="N199">
        <f>GDS_Monthly!C316</f>
        <v>105.95339946252339</v>
      </c>
      <c r="O199">
        <f>GDS_Monthly!F316</f>
        <v>2.4794342926458106</v>
      </c>
      <c r="P199">
        <f>GDS_Monthly!G316</f>
        <v>2.5301435621444375</v>
      </c>
      <c r="Q199">
        <f>GDS_Monthly!T316</f>
        <v>113.57953221740071</v>
      </c>
      <c r="R199">
        <f>GDS_Monthly!V316</f>
        <v>112.63384804406213</v>
      </c>
      <c r="S199">
        <f>GDS_Monthly!W316</f>
        <v>100.30179498230194</v>
      </c>
      <c r="T199">
        <f>GDS_Monthly!X316</f>
        <v>111.96508174677936</v>
      </c>
      <c r="U199">
        <f>GDS_Monthly!AA316</f>
        <v>103.62872925562831</v>
      </c>
      <c r="V199">
        <f>GDS_Monthly!AC316</f>
        <v>135.12384242452833</v>
      </c>
      <c r="W199">
        <f>GDS_Monthly!AE316</f>
        <v>141.63215544277966</v>
      </c>
      <c r="X199">
        <f>GDS_Monthly!AF316</f>
        <v>103.4497199746622</v>
      </c>
      <c r="Y199">
        <f>OECD!B199</f>
        <v>100.20140000000001</v>
      </c>
      <c r="Z199">
        <f>'Monthly Haver'!K202</f>
        <v>111.99244</v>
      </c>
      <c r="AA199" s="8">
        <f>OECD!C199</f>
        <v>110.71</v>
      </c>
    </row>
    <row r="200" spans="1:27">
      <c r="A200" t="str">
        <f>'Monthly Haver'!A203</f>
        <v>Jul-2015</v>
      </c>
      <c r="B200">
        <f>'Monthly Haver'!C203</f>
        <v>53.7926</v>
      </c>
      <c r="C200">
        <f>'Monthly Haver'!D203</f>
        <v>53.366100000000003</v>
      </c>
      <c r="D200">
        <f>'Monthly Haver'!E203</f>
        <v>50.080399999999997</v>
      </c>
      <c r="E200">
        <f>'Monthly Haver'!G203</f>
        <v>51.644399999999997</v>
      </c>
      <c r="F200">
        <f>'Monthly Haver'!H203</f>
        <v>50.664999999999999</v>
      </c>
      <c r="G200">
        <f>'Monthly Haver'!I203</f>
        <v>49.382300000000001</v>
      </c>
      <c r="H200">
        <f>'Monthly Haver'!J203</f>
        <v>53.816800000000001</v>
      </c>
      <c r="I200">
        <f>GDS_Monthly!O317</f>
        <v>138.7500667531059</v>
      </c>
      <c r="J200">
        <f>GDS_Monthly!D317</f>
        <v>118.02121142839377</v>
      </c>
      <c r="K200">
        <f>GDS_Monthly!AH317</f>
        <v>1084.4724437</v>
      </c>
      <c r="L200">
        <f>GDS_Monthly!AI317</f>
        <v>1074.2954841000001</v>
      </c>
      <c r="M200">
        <f>GDS_Monthly!N317</f>
        <v>5.6178465224733136</v>
      </c>
      <c r="N200">
        <f>GDS_Monthly!C317</f>
        <v>103.93238447652055</v>
      </c>
      <c r="O200">
        <f>GDS_Monthly!F317</f>
        <v>2.3944057483836714</v>
      </c>
      <c r="P200">
        <f>GDS_Monthly!G317</f>
        <v>2.5193695001368965</v>
      </c>
      <c r="Q200">
        <f>GDS_Monthly!T317</f>
        <v>113.79454037906724</v>
      </c>
      <c r="R200">
        <f>GDS_Monthly!V317</f>
        <v>112.84419065518748</v>
      </c>
      <c r="S200">
        <f>GDS_Monthly!W317</f>
        <v>100.15579315832466</v>
      </c>
      <c r="T200">
        <f>GDS_Monthly!X317</f>
        <v>102.11717167630133</v>
      </c>
      <c r="U200">
        <f>GDS_Monthly!AA317</f>
        <v>100.12626868151516</v>
      </c>
      <c r="V200">
        <f>GDS_Monthly!AC317</f>
        <v>123.65505530050159</v>
      </c>
      <c r="W200">
        <f>GDS_Monthly!AE317</f>
        <v>126.58698780625139</v>
      </c>
      <c r="X200">
        <f>GDS_Monthly!AF317</f>
        <v>99.37195082044893</v>
      </c>
      <c r="Y200">
        <f>OECD!B200</f>
        <v>100.1234</v>
      </c>
      <c r="Z200">
        <f>'Monthly Haver'!K203</f>
        <v>113.38925999999999</v>
      </c>
      <c r="AA200" s="8">
        <f>OECD!C200</f>
        <v>110.65</v>
      </c>
    </row>
    <row r="201" spans="1:27">
      <c r="A201" t="str">
        <f>'Monthly Haver'!A204</f>
        <v>Aug-2015</v>
      </c>
      <c r="B201">
        <f>'Monthly Haver'!C204</f>
        <v>52.966900000000003</v>
      </c>
      <c r="C201">
        <f>'Monthly Haver'!D204</f>
        <v>52.161700000000003</v>
      </c>
      <c r="D201">
        <f>'Monthly Haver'!E204</f>
        <v>49.785499999999999</v>
      </c>
      <c r="E201">
        <f>'Monthly Haver'!G204</f>
        <v>51.611800000000002</v>
      </c>
      <c r="F201">
        <f>'Monthly Haver'!H204</f>
        <v>50.3521</v>
      </c>
      <c r="G201">
        <f>'Monthly Haver'!I204</f>
        <v>48.784799999999997</v>
      </c>
      <c r="H201">
        <f>'Monthly Haver'!J204</f>
        <v>54.103499999999997</v>
      </c>
      <c r="I201">
        <f>GDS_Monthly!O318</f>
        <v>138.69071154999409</v>
      </c>
      <c r="J201">
        <f>GDS_Monthly!D318</f>
        <v>118.18050020037218</v>
      </c>
      <c r="K201">
        <f>GDS_Monthly!AH318</f>
        <v>1052.4182206999999</v>
      </c>
      <c r="L201">
        <f>GDS_Monthly!AI318</f>
        <v>1042.0247041</v>
      </c>
      <c r="M201">
        <f>GDS_Monthly!N318</f>
        <v>5.6114700939295465</v>
      </c>
      <c r="N201">
        <f>GDS_Monthly!C318</f>
        <v>105.89080317817877</v>
      </c>
      <c r="O201">
        <f>GDS_Monthly!F318</f>
        <v>2.1960635175073859</v>
      </c>
      <c r="P201">
        <f>GDS_Monthly!G318</f>
        <v>2.5232386882710971</v>
      </c>
      <c r="Q201">
        <f>GDS_Monthly!T318</f>
        <v>113.94288363354718</v>
      </c>
      <c r="R201">
        <f>GDS_Monthly!V318</f>
        <v>113.04860885830874</v>
      </c>
      <c r="S201">
        <f>GDS_Monthly!W318</f>
        <v>97.086476707333503</v>
      </c>
      <c r="T201">
        <f>GDS_Monthly!X318</f>
        <v>100.69209081115039</v>
      </c>
      <c r="U201">
        <f>GDS_Monthly!AA318</f>
        <v>97.729234069603237</v>
      </c>
      <c r="V201">
        <f>GDS_Monthly!AC318</f>
        <v>109.45031067908991</v>
      </c>
      <c r="W201">
        <f>GDS_Monthly!AE318</f>
        <v>105.8469757638324</v>
      </c>
      <c r="X201">
        <f>GDS_Monthly!AF318</f>
        <v>97.14347173344521</v>
      </c>
      <c r="Y201">
        <f>OECD!B201</f>
        <v>100.0406</v>
      </c>
      <c r="Z201">
        <f>'Monthly Haver'!K204</f>
        <v>115.06005</v>
      </c>
      <c r="AA201" s="8">
        <f>OECD!C201</f>
        <v>110.06</v>
      </c>
    </row>
    <row r="202" spans="1:27">
      <c r="A202" t="str">
        <f>'Monthly Haver'!A205</f>
        <v>Sep-2015</v>
      </c>
      <c r="B202">
        <f>'Monthly Haver'!C205</f>
        <v>52.506799999999998</v>
      </c>
      <c r="C202">
        <f>'Monthly Haver'!D205</f>
        <v>51.9343</v>
      </c>
      <c r="D202">
        <f>'Monthly Haver'!E205</f>
        <v>48.998600000000003</v>
      </c>
      <c r="E202">
        <f>'Monthly Haver'!G205</f>
        <v>51.386000000000003</v>
      </c>
      <c r="F202">
        <f>'Monthly Haver'!H205</f>
        <v>50.21</v>
      </c>
      <c r="G202">
        <f>'Monthly Haver'!I205</f>
        <v>50.123600000000003</v>
      </c>
      <c r="H202">
        <f>'Monthly Haver'!J205</f>
        <v>53.019599999999997</v>
      </c>
      <c r="I202">
        <f>GDS_Monthly!O319</f>
        <v>137.09895557232133</v>
      </c>
      <c r="J202">
        <f>GDS_Monthly!D319</f>
        <v>118.5912369479275</v>
      </c>
      <c r="K202">
        <f>GDS_Monthly!AH319</f>
        <v>1047.1911817</v>
      </c>
      <c r="L202">
        <f>GDS_Monthly!AI319</f>
        <v>1053.9243381000001</v>
      </c>
      <c r="M202">
        <f>GDS_Monthly!N319</f>
        <v>5.5896491467703324</v>
      </c>
      <c r="N202">
        <f>GDS_Monthly!C319</f>
        <v>105.90877959483213</v>
      </c>
      <c r="O202">
        <f>GDS_Monthly!F319</f>
        <v>2.256910805038121</v>
      </c>
      <c r="P202">
        <f>GDS_Monthly!G319</f>
        <v>2.4716374835021711</v>
      </c>
      <c r="Q202">
        <f>GDS_Monthly!T319</f>
        <v>113.91630723535229</v>
      </c>
      <c r="R202">
        <f>GDS_Monthly!V319</f>
        <v>113.29398131513575</v>
      </c>
      <c r="S202">
        <f>GDS_Monthly!W319</f>
        <v>96.290023318034102</v>
      </c>
      <c r="T202">
        <f>GDS_Monthly!X319</f>
        <v>100.78193889706249</v>
      </c>
      <c r="U202">
        <f>GDS_Monthly!AA319</f>
        <v>97.070148961657267</v>
      </c>
      <c r="V202">
        <f>GDS_Monthly!AC319</f>
        <v>110.0178683139095</v>
      </c>
      <c r="W202">
        <f>GDS_Monthly!AE319</f>
        <v>106.80016833867278</v>
      </c>
      <c r="X202">
        <f>GDS_Monthly!AF319</f>
        <v>94.95763465938596</v>
      </c>
      <c r="Y202">
        <f>OECD!B202</f>
        <v>99.967089999999999</v>
      </c>
      <c r="Z202">
        <f>'Monthly Haver'!K205</f>
        <v>114.12487</v>
      </c>
      <c r="AA202" s="8">
        <f>OECD!C202</f>
        <v>110.1</v>
      </c>
    </row>
    <row r="203" spans="1:27">
      <c r="A203" t="str">
        <f>'Monthly Haver'!A206</f>
        <v>Oct-2015</v>
      </c>
      <c r="B203">
        <f>'Monthly Haver'!C206</f>
        <v>52.619500000000002</v>
      </c>
      <c r="C203">
        <f>'Monthly Haver'!D206</f>
        <v>52.145000000000003</v>
      </c>
      <c r="D203">
        <f>'Monthly Haver'!E206</f>
        <v>50.881500000000003</v>
      </c>
      <c r="E203">
        <f>'Monthly Haver'!G206</f>
        <v>50.924500000000002</v>
      </c>
      <c r="F203">
        <f>'Monthly Haver'!H206</f>
        <v>50.880499999999998</v>
      </c>
      <c r="G203">
        <f>'Monthly Haver'!I206</f>
        <v>49.177700000000002</v>
      </c>
      <c r="H203">
        <f>'Monthly Haver'!J206</f>
        <v>53.25</v>
      </c>
      <c r="I203">
        <f>GDS_Monthly!O320</f>
        <v>135.89656108041697</v>
      </c>
      <c r="J203">
        <f>GDS_Monthly!D320</f>
        <v>118.59115945101308</v>
      </c>
      <c r="K203">
        <f>GDS_Monthly!AH320</f>
        <v>1049.5114616999999</v>
      </c>
      <c r="L203">
        <f>GDS_Monthly!AI320</f>
        <v>1053.9557190999999</v>
      </c>
      <c r="M203">
        <f>GDS_Monthly!N320</f>
        <v>5.5947336513548924</v>
      </c>
      <c r="N203">
        <f>GDS_Monthly!C320</f>
        <v>105.45411032987417</v>
      </c>
      <c r="O203">
        <f>GDS_Monthly!F320</f>
        <v>2.0535289849575351</v>
      </c>
      <c r="P203">
        <f>GDS_Monthly!G320</f>
        <v>2.471088565073805</v>
      </c>
      <c r="Q203">
        <f>GDS_Monthly!T320</f>
        <v>114.06683612811052</v>
      </c>
      <c r="R203">
        <f>GDS_Monthly!V320</f>
        <v>113.52456717646282</v>
      </c>
      <c r="S203">
        <f>GDS_Monthly!W320</f>
        <v>96.824129614598888</v>
      </c>
      <c r="T203">
        <f>GDS_Monthly!X320</f>
        <v>98.074391896142444</v>
      </c>
      <c r="U203">
        <f>GDS_Monthly!AA320</f>
        <v>97.337137110531458</v>
      </c>
      <c r="V203">
        <f>GDS_Monthly!AC320</f>
        <v>109.52116586678811</v>
      </c>
      <c r="W203">
        <f>GDS_Monthly!AE320</f>
        <v>108.34932659651354</v>
      </c>
      <c r="X203">
        <f>GDS_Monthly!AF320</f>
        <v>94.936023612254274</v>
      </c>
      <c r="Y203">
        <f>OECD!B203</f>
        <v>99.904750000000007</v>
      </c>
      <c r="Z203">
        <f>'Monthly Haver'!K206</f>
        <v>112.80417</v>
      </c>
      <c r="AA203" s="8">
        <f>OECD!C203</f>
        <v>110.19</v>
      </c>
    </row>
    <row r="204" spans="1:27">
      <c r="A204" t="str">
        <f>'Monthly Haver'!A207</f>
        <v>Nov-2015</v>
      </c>
      <c r="B204">
        <f>'Monthly Haver'!C207</f>
        <v>53.0501</v>
      </c>
      <c r="C204">
        <f>'Monthly Haver'!D207</f>
        <v>51.643099999999997</v>
      </c>
      <c r="D204">
        <f>'Monthly Haver'!E207</f>
        <v>50.780500000000004</v>
      </c>
      <c r="E204">
        <f>'Monthly Haver'!G207</f>
        <v>51.2943</v>
      </c>
      <c r="F204">
        <f>'Monthly Haver'!H207</f>
        <v>50.865200000000002</v>
      </c>
      <c r="G204">
        <f>'Monthly Haver'!I207</f>
        <v>48.566200000000002</v>
      </c>
      <c r="H204">
        <f>'Monthly Haver'!J207</f>
        <v>53.705800000000004</v>
      </c>
      <c r="I204">
        <f>GDS_Monthly!O321</f>
        <v>136.96111881620391</v>
      </c>
      <c r="J204">
        <f>GDS_Monthly!D321</f>
        <v>118.3899572063775</v>
      </c>
      <c r="K204">
        <f>GDS_Monthly!AH321</f>
        <v>1023.0758287</v>
      </c>
      <c r="L204">
        <f>GDS_Monthly!AI321</f>
        <v>1017.1496601</v>
      </c>
      <c r="M204">
        <f>GDS_Monthly!N321</f>
        <v>5.5857891563741191</v>
      </c>
      <c r="N204">
        <f>GDS_Monthly!C321</f>
        <v>104.58531434056117</v>
      </c>
      <c r="O204">
        <f>GDS_Monthly!F321</f>
        <v>2.2075805204823133</v>
      </c>
      <c r="P204">
        <f>GDS_Monthly!G321</f>
        <v>2.4685512034884098</v>
      </c>
      <c r="Q204">
        <f>GDS_Monthly!T321</f>
        <v>114.24402223167903</v>
      </c>
      <c r="R204">
        <f>GDS_Monthly!V321</f>
        <v>113.72070143113231</v>
      </c>
      <c r="S204">
        <f>GDS_Monthly!W321</f>
        <v>92.771726312220267</v>
      </c>
      <c r="T204">
        <f>GDS_Monthly!X321</f>
        <v>90.213975294242474</v>
      </c>
      <c r="U204">
        <f>GDS_Monthly!AA321</f>
        <v>92.477505783988761</v>
      </c>
      <c r="V204">
        <f>GDS_Monthly!AC321</f>
        <v>101.64846627834204</v>
      </c>
      <c r="W204">
        <f>GDS_Monthly!AE321</f>
        <v>101.21109981155668</v>
      </c>
      <c r="X204">
        <f>GDS_Monthly!AF321</f>
        <v>94.191101085437424</v>
      </c>
      <c r="Y204">
        <f>OECD!B204</f>
        <v>99.843260000000001</v>
      </c>
      <c r="Z204">
        <f>'Monthly Haver'!K207</f>
        <v>113.92594</v>
      </c>
      <c r="AA204" s="8">
        <f>OECD!C204</f>
        <v>110.73</v>
      </c>
    </row>
    <row r="205" spans="1:27">
      <c r="A205" t="str">
        <f>'Monthly Haver'!A208</f>
        <v>Dec-2015</v>
      </c>
      <c r="B205">
        <f>'Monthly Haver'!C208</f>
        <v>51.993000000000002</v>
      </c>
      <c r="C205">
        <f>'Monthly Haver'!D208</f>
        <v>51.621299999999998</v>
      </c>
      <c r="D205">
        <f>'Monthly Haver'!E208</f>
        <v>50.191200000000002</v>
      </c>
      <c r="E205">
        <f>'Monthly Haver'!G208</f>
        <v>51.327100000000002</v>
      </c>
      <c r="F205">
        <f>'Monthly Haver'!H208</f>
        <v>50.582999999999998</v>
      </c>
      <c r="G205">
        <f>'Monthly Haver'!I208</f>
        <v>49.451300000000003</v>
      </c>
      <c r="H205">
        <f>'Monthly Haver'!J208</f>
        <v>52.8384</v>
      </c>
      <c r="I205">
        <f>GDS_Monthly!O322</f>
        <v>138.25908587831532</v>
      </c>
      <c r="J205">
        <f>GDS_Monthly!D322</f>
        <v>118.4159640461107</v>
      </c>
      <c r="K205">
        <f>GDS_Monthly!AH322</f>
        <v>1028.6810997</v>
      </c>
      <c r="L205">
        <f>GDS_Monthly!AI322</f>
        <v>1033.6910521</v>
      </c>
      <c r="M205">
        <f>GDS_Monthly!N322</f>
        <v>5.571440960961981</v>
      </c>
      <c r="N205">
        <f>GDS_Monthly!C322</f>
        <v>105.07023747344817</v>
      </c>
      <c r="O205">
        <f>GDS_Monthly!F322</f>
        <v>2.0876403604995439</v>
      </c>
      <c r="P205">
        <f>GDS_Monthly!G322</f>
        <v>2.532842286862099</v>
      </c>
      <c r="Q205">
        <f>GDS_Monthly!T322</f>
        <v>114.3441885045612</v>
      </c>
      <c r="R205">
        <f>GDS_Monthly!V322</f>
        <v>113.90079254489712</v>
      </c>
      <c r="S205">
        <f>GDS_Monthly!W322</f>
        <v>92.353059783830545</v>
      </c>
      <c r="T205">
        <f>GDS_Monthly!X322</f>
        <v>86.013738406525448</v>
      </c>
      <c r="U205">
        <f>GDS_Monthly!AA322</f>
        <v>90.96113030496214</v>
      </c>
      <c r="V205">
        <f>GDS_Monthly!AC322</f>
        <v>90.453390875178229</v>
      </c>
      <c r="W205">
        <f>GDS_Monthly!AE322</f>
        <v>85.53271763160167</v>
      </c>
      <c r="X205">
        <f>GDS_Monthly!AF322</f>
        <v>93.850880430170307</v>
      </c>
      <c r="Y205">
        <f>OECD!B205</f>
        <v>99.780460000000005</v>
      </c>
      <c r="Z205">
        <f>'Monthly Haver'!K208</f>
        <v>113.83208</v>
      </c>
      <c r="AA205" s="8">
        <f>OECD!C205</f>
        <v>110.58</v>
      </c>
    </row>
    <row r="206" spans="1:27">
      <c r="A206" t="str">
        <f>'Monthly Haver'!A209</f>
        <v>Jan-2016</v>
      </c>
      <c r="B206">
        <f>'Monthly Haver'!C209</f>
        <v>52.203699999999998</v>
      </c>
      <c r="C206">
        <f>'Monthly Haver'!D209</f>
        <v>51.370399999999997</v>
      </c>
      <c r="D206">
        <f>'Monthly Haver'!E209</f>
        <v>50.039200000000001</v>
      </c>
      <c r="E206">
        <f>'Monthly Haver'!G209</f>
        <v>51.615099999999998</v>
      </c>
      <c r="F206">
        <f>'Monthly Haver'!H209</f>
        <v>50.738399999999999</v>
      </c>
      <c r="G206">
        <f>'Monthly Haver'!I209</f>
        <v>49.241999999999997</v>
      </c>
      <c r="H206">
        <f>'Monthly Haver'!J209</f>
        <v>52.749400000000001</v>
      </c>
      <c r="I206">
        <f>GDS_Monthly!O323</f>
        <v>138.55461346179868</v>
      </c>
      <c r="J206">
        <f>GDS_Monthly!D323</f>
        <v>119.34314027646768</v>
      </c>
      <c r="K206">
        <f>GDS_Monthly!AH323</f>
        <v>968.97600269999998</v>
      </c>
      <c r="L206">
        <f>GDS_Monthly!AI323</f>
        <v>972.72928409999997</v>
      </c>
      <c r="M206">
        <f>GDS_Monthly!N323</f>
        <v>5.5561968313619507</v>
      </c>
      <c r="N206">
        <f>GDS_Monthly!C323</f>
        <v>105.13994184446078</v>
      </c>
      <c r="O206">
        <f>GDS_Monthly!F323</f>
        <v>2.1098415179430061</v>
      </c>
      <c r="P206">
        <f>GDS_Monthly!G323</f>
        <v>2.472419192154121</v>
      </c>
      <c r="Q206">
        <f>GDS_Monthly!T323</f>
        <v>114.42462136297162</v>
      </c>
      <c r="R206">
        <f>GDS_Monthly!V323</f>
        <v>114.11321686139414</v>
      </c>
      <c r="S206">
        <f>GDS_Monthly!W323</f>
        <v>92.319382649549951</v>
      </c>
      <c r="T206">
        <f>GDS_Monthly!X323</f>
        <v>85.259094514423865</v>
      </c>
      <c r="U206">
        <f>GDS_Monthly!AA323</f>
        <v>90.710579101982816</v>
      </c>
      <c r="V206">
        <f>GDS_Monthly!AC323</f>
        <v>77.52824756886973</v>
      </c>
      <c r="W206">
        <f>GDS_Monthly!AE323</f>
        <v>70.151346700445643</v>
      </c>
      <c r="X206">
        <f>GDS_Monthly!AF323</f>
        <v>93.88156370468073</v>
      </c>
      <c r="Y206">
        <f>OECD!B206</f>
        <v>99.720039999999997</v>
      </c>
      <c r="Z206">
        <f>'Monthly Haver'!K209</f>
        <v>115.68652</v>
      </c>
      <c r="AA206" s="8">
        <f>OECD!C206</f>
        <v>110.58</v>
      </c>
    </row>
    <row r="207" spans="1:27">
      <c r="A207" t="str">
        <f>'Monthly Haver'!A210</f>
        <v>Feb-2016</v>
      </c>
      <c r="B207">
        <f>'Monthly Haver'!C210</f>
        <v>51.3367</v>
      </c>
      <c r="C207">
        <f>'Monthly Haver'!D210</f>
        <v>51.762900000000002</v>
      </c>
      <c r="D207">
        <f>'Monthly Haver'!E210</f>
        <v>49.235100000000003</v>
      </c>
      <c r="E207">
        <f>'Monthly Haver'!G210</f>
        <v>51.054499999999997</v>
      </c>
      <c r="F207">
        <f>'Monthly Haver'!H210</f>
        <v>49.842399999999998</v>
      </c>
      <c r="G207">
        <f>'Monthly Haver'!I210</f>
        <v>48.4251</v>
      </c>
      <c r="H207">
        <f>'Monthly Haver'!J210</f>
        <v>50.682600000000001</v>
      </c>
      <c r="I207">
        <f>GDS_Monthly!O324</f>
        <v>139.44119995346091</v>
      </c>
      <c r="J207">
        <f>GDS_Monthly!D324</f>
        <v>119.45698604484159</v>
      </c>
      <c r="K207">
        <f>GDS_Monthly!AH324</f>
        <v>1003.5341297</v>
      </c>
      <c r="L207">
        <f>GDS_Monthly!AI324</f>
        <v>1010.1008720999999</v>
      </c>
      <c r="M207">
        <f>GDS_Monthly!N324</f>
        <v>5.5638232546621111</v>
      </c>
      <c r="N207">
        <f>GDS_Monthly!C324</f>
        <v>104.28507261621631</v>
      </c>
      <c r="O207">
        <f>GDS_Monthly!F324</f>
        <v>1.9521030935738026</v>
      </c>
      <c r="P207">
        <f>GDS_Monthly!G324</f>
        <v>2.4791473299216538</v>
      </c>
      <c r="Q207">
        <f>GDS_Monthly!T324</f>
        <v>114.54764938077247</v>
      </c>
      <c r="R207">
        <f>GDS_Monthly!V324</f>
        <v>114.34043746143394</v>
      </c>
      <c r="S207">
        <f>GDS_Monthly!W324</f>
        <v>93.628967327861588</v>
      </c>
      <c r="T207">
        <f>GDS_Monthly!X324</f>
        <v>89.321625926464662</v>
      </c>
      <c r="U207">
        <f>GDS_Monthly!AA324</f>
        <v>93.752833351623821</v>
      </c>
      <c r="V207">
        <f>GDS_Monthly!AC324</f>
        <v>78.139429970967072</v>
      </c>
      <c r="W207">
        <f>GDS_Monthly!AE324</f>
        <v>72.263759318848486</v>
      </c>
      <c r="X207">
        <f>GDS_Monthly!AF324</f>
        <v>94.17520612301486</v>
      </c>
      <c r="Y207">
        <f>OECD!B207</f>
        <v>99.667599999999993</v>
      </c>
      <c r="Z207">
        <f>'Monthly Haver'!K210</f>
        <v>114.31194000000001</v>
      </c>
      <c r="AA207" s="8">
        <f>OECD!C207</f>
        <v>110.39</v>
      </c>
    </row>
    <row r="208" spans="1:27">
      <c r="A208" t="str">
        <f>'Monthly Haver'!A211</f>
        <v>Mar-2016</v>
      </c>
      <c r="B208">
        <f>'Monthly Haver'!C211</f>
        <v>51.090600000000002</v>
      </c>
      <c r="C208">
        <f>'Monthly Haver'!D211</f>
        <v>52.033799999999999</v>
      </c>
      <c r="D208">
        <f>'Monthly Haver'!E211</f>
        <v>49.593499999999999</v>
      </c>
      <c r="E208">
        <f>'Monthly Haver'!G211</f>
        <v>50.682899999999997</v>
      </c>
      <c r="F208">
        <f>'Monthly Haver'!H211</f>
        <v>50.551900000000003</v>
      </c>
      <c r="G208">
        <f>'Monthly Haver'!I211</f>
        <v>48.7453</v>
      </c>
      <c r="H208">
        <f>'Monthly Haver'!J211</f>
        <v>51.358600000000003</v>
      </c>
      <c r="I208">
        <f>GDS_Monthly!O325</f>
        <v>138.8040201011718</v>
      </c>
      <c r="J208">
        <f>GDS_Monthly!D325</f>
        <v>119.0592745015401</v>
      </c>
      <c r="K208">
        <f>GDS_Monthly!AH325</f>
        <v>996.27850169999999</v>
      </c>
      <c r="L208">
        <f>GDS_Monthly!AI325</f>
        <v>994.90248910000003</v>
      </c>
      <c r="M208">
        <f>GDS_Monthly!N325</f>
        <v>5.568548456471607</v>
      </c>
      <c r="N208">
        <f>GDS_Monthly!C325</f>
        <v>104.44899724334964</v>
      </c>
      <c r="O208">
        <f>GDS_Monthly!F325</f>
        <v>1.9453469422915333</v>
      </c>
      <c r="P208">
        <f>GDS_Monthly!G325</f>
        <v>2.551103260444008</v>
      </c>
      <c r="Q208">
        <f>GDS_Monthly!T325</f>
        <v>114.84422383917267</v>
      </c>
      <c r="R208">
        <f>GDS_Monthly!V325</f>
        <v>114.5616066886185</v>
      </c>
      <c r="S208">
        <f>GDS_Monthly!W325</f>
        <v>97.082943643197424</v>
      </c>
      <c r="T208">
        <f>GDS_Monthly!X325</f>
        <v>96.920185415412945</v>
      </c>
      <c r="U208">
        <f>GDS_Monthly!AA325</f>
        <v>97.857178662447353</v>
      </c>
      <c r="V208">
        <f>GDS_Monthly!AC325</f>
        <v>87.463135407191231</v>
      </c>
      <c r="W208">
        <f>GDS_Monthly!AE325</f>
        <v>86.754830738021909</v>
      </c>
      <c r="X208">
        <f>GDS_Monthly!AF325</f>
        <v>95.497933831427503</v>
      </c>
      <c r="Y208">
        <f>OECD!B208</f>
        <v>99.638549999999995</v>
      </c>
      <c r="Z208">
        <f>'Monthly Haver'!K211</f>
        <v>112.06254</v>
      </c>
      <c r="AA208" s="8">
        <f>OECD!C208</f>
        <v>110.96</v>
      </c>
    </row>
    <row r="209" spans="1:27">
      <c r="A209" t="str">
        <f>'Monthly Haver'!A212</f>
        <v>Apr-2016</v>
      </c>
      <c r="B209">
        <f>'Monthly Haver'!C212</f>
        <v>51.403500000000001</v>
      </c>
      <c r="C209">
        <f>'Monthly Haver'!D212</f>
        <v>52.979399999999998</v>
      </c>
      <c r="D209">
        <f>'Monthly Haver'!E212</f>
        <v>49.365200000000002</v>
      </c>
      <c r="E209">
        <f>'Monthly Haver'!G212</f>
        <v>50.623100000000001</v>
      </c>
      <c r="F209">
        <f>'Monthly Haver'!H212</f>
        <v>50.118099999999998</v>
      </c>
      <c r="G209">
        <f>'Monthly Haver'!I212</f>
        <v>47.647199999999998</v>
      </c>
      <c r="H209">
        <f>'Monthly Haver'!J212</f>
        <v>51.721899999999998</v>
      </c>
      <c r="I209">
        <f>GDS_Monthly!O326</f>
        <v>139.04701153401959</v>
      </c>
      <c r="J209">
        <f>GDS_Monthly!D326</f>
        <v>119.58600082803335</v>
      </c>
      <c r="K209">
        <f>GDS_Monthly!AH326</f>
        <v>1008.1607417</v>
      </c>
      <c r="L209">
        <f>GDS_Monthly!AI326</f>
        <v>1028.6297981</v>
      </c>
      <c r="M209">
        <f>GDS_Monthly!N326</f>
        <v>5.5657540283628419</v>
      </c>
      <c r="N209">
        <f>GDS_Monthly!C326</f>
        <v>104.19916787259992</v>
      </c>
      <c r="O209">
        <f>GDS_Monthly!F326</f>
        <v>1.8669046908408751</v>
      </c>
      <c r="P209">
        <f>GDS_Monthly!G326</f>
        <v>2.5323062796093194</v>
      </c>
      <c r="Q209">
        <f>GDS_Monthly!T326</f>
        <v>115.07023969498331</v>
      </c>
      <c r="R209">
        <f>GDS_Monthly!V326</f>
        <v>114.76467304682869</v>
      </c>
      <c r="S209">
        <f>GDS_Monthly!W326</f>
        <v>100.06911140313098</v>
      </c>
      <c r="T209">
        <f>GDS_Monthly!X326</f>
        <v>99.066807240186719</v>
      </c>
      <c r="U209">
        <f>GDS_Monthly!AA326</f>
        <v>99.868779666366507</v>
      </c>
      <c r="V209">
        <f>GDS_Monthly!AC326</f>
        <v>92.259661396779279</v>
      </c>
      <c r="W209">
        <f>GDS_Monthly!AE326</f>
        <v>93.787939502004974</v>
      </c>
      <c r="X209">
        <f>GDS_Monthly!AF326</f>
        <v>100.1493349754807</v>
      </c>
      <c r="Y209">
        <f>OECD!B209</f>
        <v>99.634119999999996</v>
      </c>
      <c r="Z209">
        <f>'Monthly Haver'!K212</f>
        <v>110.3972</v>
      </c>
      <c r="AA209" s="8">
        <f>OECD!C209</f>
        <v>111.64</v>
      </c>
    </row>
    <row r="210" spans="1:27">
      <c r="A210" t="str">
        <f>'Monthly Haver'!A213</f>
        <v>May-2016</v>
      </c>
      <c r="B210">
        <f>'Monthly Haver'!C213</f>
        <v>51.233899999999998</v>
      </c>
      <c r="C210">
        <f>'Monthly Haver'!D213</f>
        <v>53.5428</v>
      </c>
      <c r="D210">
        <f>'Monthly Haver'!E213</f>
        <v>49.112299999999998</v>
      </c>
      <c r="E210">
        <f>'Monthly Haver'!G213</f>
        <v>50.614400000000003</v>
      </c>
      <c r="F210">
        <f>'Monthly Haver'!H213</f>
        <v>50.057699999999997</v>
      </c>
      <c r="G210">
        <f>'Monthly Haver'!I213</f>
        <v>48.421100000000003</v>
      </c>
      <c r="H210">
        <f>'Monthly Haver'!J213</f>
        <v>51.315300000000001</v>
      </c>
      <c r="I210">
        <f>GDS_Monthly!O327</f>
        <v>48.847969127922525</v>
      </c>
      <c r="J210">
        <f>GDS_Monthly!D327</f>
        <v>119.52164001013148</v>
      </c>
      <c r="K210">
        <f>GDS_Monthly!AH327</f>
        <v>1011.7316067</v>
      </c>
      <c r="L210">
        <f>GDS_Monthly!AI327</f>
        <v>1020.8288231</v>
      </c>
      <c r="M210">
        <f>GDS_Monthly!N327</f>
        <v>5.5599036077631148</v>
      </c>
      <c r="N210">
        <f>GDS_Monthly!C327</f>
        <v>103.97256374719325</v>
      </c>
      <c r="O210">
        <f>GDS_Monthly!F327</f>
        <v>1.9505250940838821</v>
      </c>
      <c r="P210">
        <f>GDS_Monthly!G327</f>
        <v>2.5271296571289672</v>
      </c>
      <c r="Q210">
        <f>GDS_Monthly!T327</f>
        <v>115.31249964084529</v>
      </c>
      <c r="R210">
        <f>GDS_Monthly!V327</f>
        <v>115.02566735072384</v>
      </c>
      <c r="S210">
        <f>GDS_Monthly!W327</f>
        <v>101.44126822142564</v>
      </c>
      <c r="T210">
        <f>GDS_Monthly!X327</f>
        <v>95.82934425151565</v>
      </c>
      <c r="U210">
        <f>GDS_Monthly!AA327</f>
        <v>100.02109350855014</v>
      </c>
      <c r="V210">
        <f>GDS_Monthly!AC327</f>
        <v>101.39348721169345</v>
      </c>
      <c r="W210">
        <f>GDS_Monthly!AE327</f>
        <v>105.65004591201587</v>
      </c>
      <c r="X210">
        <f>GDS_Monthly!AF327</f>
        <v>100.82513908279107</v>
      </c>
      <c r="Y210">
        <f>OECD!B210</f>
        <v>99.648160000000004</v>
      </c>
      <c r="Z210">
        <f>'Monthly Haver'!K213</f>
        <v>112.35709</v>
      </c>
      <c r="AA210" s="8">
        <f>OECD!C210</f>
        <v>112.92</v>
      </c>
    </row>
    <row r="211" spans="1:27">
      <c r="A211" t="str">
        <f>'Monthly Haver'!A214</f>
        <v>Jun-2016</v>
      </c>
      <c r="B211">
        <f>'Monthly Haver'!C214</f>
        <v>51.458300000000001</v>
      </c>
      <c r="C211">
        <f>'Monthly Haver'!D214</f>
        <v>53.197200000000002</v>
      </c>
      <c r="D211">
        <f>'Monthly Haver'!E214</f>
        <v>49.677399999999999</v>
      </c>
      <c r="E211">
        <f>'Monthly Haver'!G214</f>
        <v>50.720700000000001</v>
      </c>
      <c r="F211">
        <f>'Monthly Haver'!H214</f>
        <v>50.270299999999999</v>
      </c>
      <c r="G211">
        <f>'Monthly Haver'!I214</f>
        <v>48.788699999999999</v>
      </c>
      <c r="H211">
        <f>'Monthly Haver'!J214</f>
        <v>51.387500000000003</v>
      </c>
      <c r="I211">
        <f>GDS_Monthly!O328</f>
        <v>49.34848039045923</v>
      </c>
      <c r="J211">
        <f>GDS_Monthly!D328</f>
        <v>120.45489395472495</v>
      </c>
      <c r="K211">
        <f>GDS_Monthly!AH328</f>
        <v>1041.0441046999999</v>
      </c>
      <c r="L211">
        <f>GDS_Monthly!AI328</f>
        <v>1038.4737680999999</v>
      </c>
      <c r="M211">
        <f>GDS_Monthly!N328</f>
        <v>5.5591314977165736</v>
      </c>
      <c r="N211">
        <f>GDS_Monthly!C328</f>
        <v>105.17160411096519</v>
      </c>
      <c r="O211">
        <f>GDS_Monthly!F328</f>
        <v>1.8307248048880935</v>
      </c>
      <c r="P211">
        <f>GDS_Monthly!G328</f>
        <v>2.4940317000917842</v>
      </c>
      <c r="Q211">
        <f>GDS_Monthly!T328</f>
        <v>115.61315933496491</v>
      </c>
      <c r="R211">
        <f>GDS_Monthly!V328</f>
        <v>115.22845071188492</v>
      </c>
      <c r="S211">
        <f>GDS_Monthly!W328</f>
        <v>103.57827172650637</v>
      </c>
      <c r="T211">
        <f>GDS_Monthly!X328</f>
        <v>95.013983045756376</v>
      </c>
      <c r="U211">
        <f>GDS_Monthly!AA328</f>
        <v>100.99282721166234</v>
      </c>
      <c r="V211">
        <f>GDS_Monthly!AC328</f>
        <v>106.41502625387807</v>
      </c>
      <c r="W211">
        <f>GDS_Monthly!AE328</f>
        <v>109.86158991053651</v>
      </c>
      <c r="X211">
        <f>GDS_Monthly!AF328</f>
        <v>100.71253130987934</v>
      </c>
      <c r="Y211">
        <f>OECD!B211</f>
        <v>99.678210000000007</v>
      </c>
      <c r="Z211">
        <f>'Monthly Haver'!K214</f>
        <v>114.00440999999999</v>
      </c>
      <c r="AA211" s="8">
        <f>OECD!C211</f>
        <v>113.41</v>
      </c>
    </row>
    <row r="212" spans="1:27">
      <c r="A212" t="str">
        <f>'Monthly Haver'!A215</f>
        <v>Jul-2016</v>
      </c>
      <c r="B212">
        <f>'Monthly Haver'!C215</f>
        <v>51.841900000000003</v>
      </c>
      <c r="C212">
        <f>'Monthly Haver'!D215</f>
        <v>53.210599999999999</v>
      </c>
      <c r="D212">
        <f>'Monthly Haver'!E215</f>
        <v>49.8705</v>
      </c>
      <c r="E212">
        <f>'Monthly Haver'!G215</f>
        <v>50.841200000000001</v>
      </c>
      <c r="F212">
        <f>'Monthly Haver'!H215</f>
        <v>50.924599999999998</v>
      </c>
      <c r="G212">
        <f>'Monthly Haver'!I215</f>
        <v>49.028199999999998</v>
      </c>
      <c r="H212">
        <f>'Monthly Haver'!J215</f>
        <v>51.4148</v>
      </c>
      <c r="I212">
        <f>GDS_Monthly!O329</f>
        <v>49.669433294238161</v>
      </c>
      <c r="J212">
        <f>GDS_Monthly!D329</f>
        <v>120.34211987976281</v>
      </c>
      <c r="K212">
        <f>GDS_Monthly!AH329</f>
        <v>1016.1839197</v>
      </c>
      <c r="L212">
        <f>GDS_Monthly!AI329</f>
        <v>1020.4874021000001</v>
      </c>
      <c r="M212">
        <f>GDS_Monthly!N329</f>
        <v>5.5149561129055593</v>
      </c>
      <c r="N212">
        <f>GDS_Monthly!C329</f>
        <v>105.33483773615787</v>
      </c>
      <c r="O212">
        <f>GDS_Monthly!F329</f>
        <v>1.5722236190044783</v>
      </c>
      <c r="P212">
        <f>GDS_Monthly!G329</f>
        <v>2.4726257168226797</v>
      </c>
      <c r="Q212">
        <f>GDS_Monthly!T329</f>
        <v>115.78333108558043</v>
      </c>
      <c r="R212">
        <f>GDS_Monthly!V329</f>
        <v>115.42769526961922</v>
      </c>
      <c r="S212">
        <f>GDS_Monthly!W329</f>
        <v>103.88291064856783</v>
      </c>
      <c r="T212">
        <f>GDS_Monthly!X329</f>
        <v>100.44101819604782</v>
      </c>
      <c r="U212">
        <f>GDS_Monthly!AA329</f>
        <v>103.40411407112028</v>
      </c>
      <c r="V212">
        <f>GDS_Monthly!AC329</f>
        <v>101.99512771569695</v>
      </c>
      <c r="W212">
        <f>GDS_Monthly!AE329</f>
        <v>103.17066781685605</v>
      </c>
      <c r="X212">
        <f>GDS_Monthly!AF329</f>
        <v>102.73150174388816</v>
      </c>
      <c r="Y212">
        <f>OECD!B212</f>
        <v>99.720140000000001</v>
      </c>
      <c r="Z212">
        <f>'Monthly Haver'!K215</f>
        <v>114.51033</v>
      </c>
      <c r="AA212" s="8">
        <f>OECD!C212</f>
        <v>113.98</v>
      </c>
    </row>
    <row r="213" spans="1:27">
      <c r="A213" t="str">
        <f>'Monthly Haver'!A216</f>
        <v>Aug-2016</v>
      </c>
      <c r="B213">
        <f>'Monthly Haver'!C216</f>
        <v>51.986899999999999</v>
      </c>
      <c r="C213">
        <f>'Monthly Haver'!D216</f>
        <v>52.868000000000002</v>
      </c>
      <c r="D213">
        <f>'Monthly Haver'!E216</f>
        <v>50.253700000000002</v>
      </c>
      <c r="E213">
        <f>'Monthly Haver'!G216</f>
        <v>50.427</v>
      </c>
      <c r="F213">
        <f>'Monthly Haver'!H216</f>
        <v>50.710599999999999</v>
      </c>
      <c r="G213">
        <f>'Monthly Haver'!I216</f>
        <v>49.1541</v>
      </c>
      <c r="H213">
        <f>'Monthly Haver'!J216</f>
        <v>51.515500000000003</v>
      </c>
      <c r="I213">
        <f>GDS_Monthly!O330</f>
        <v>49.909029145371491</v>
      </c>
      <c r="J213">
        <f>GDS_Monthly!D330</f>
        <v>120.82347015712276</v>
      </c>
      <c r="K213">
        <f>GDS_Monthly!AH330</f>
        <v>1048.7937247</v>
      </c>
      <c r="L213">
        <f>GDS_Monthly!AI330</f>
        <v>1045.6719241000001</v>
      </c>
      <c r="M213">
        <f>GDS_Monthly!N330</f>
        <v>5.5059726644583371</v>
      </c>
      <c r="N213">
        <f>GDS_Monthly!C330</f>
        <v>106.61720596853944</v>
      </c>
      <c r="O213">
        <f>GDS_Monthly!F330</f>
        <v>1.6645913671645012</v>
      </c>
      <c r="P213">
        <f>GDS_Monthly!G330</f>
        <v>2.4504460115598032</v>
      </c>
      <c r="Q213">
        <f>GDS_Monthly!T330</f>
        <v>115.88610228887559</v>
      </c>
      <c r="R213">
        <f>GDS_Monthly!V330</f>
        <v>115.62798819375799</v>
      </c>
      <c r="S213">
        <f>GDS_Monthly!W330</f>
        <v>102.12454834463537</v>
      </c>
      <c r="T213">
        <f>GDS_Monthly!X330</f>
        <v>102.24091448124405</v>
      </c>
      <c r="U213">
        <f>GDS_Monthly!AA330</f>
        <v>102.98752131569141</v>
      </c>
      <c r="V213">
        <f>GDS_Monthly!AC330</f>
        <v>103.76623548299237</v>
      </c>
      <c r="W213">
        <f>GDS_Monthly!AE330</f>
        <v>103.94332810698218</v>
      </c>
      <c r="X213">
        <f>GDS_Monthly!AF330</f>
        <v>101.43791549803811</v>
      </c>
      <c r="Y213">
        <f>OECD!B213</f>
        <v>99.774760000000001</v>
      </c>
      <c r="Z213">
        <f>'Monthly Haver'!K216</f>
        <v>113.07805</v>
      </c>
      <c r="AA213" s="8">
        <f>OECD!C213</f>
        <v>114.21</v>
      </c>
    </row>
    <row r="214" spans="1:27">
      <c r="A214" t="str">
        <f>'Monthly Haver'!A217</f>
        <v>Sep-2016</v>
      </c>
      <c r="B214">
        <f>'Monthly Haver'!C217</f>
        <v>51.887099999999997</v>
      </c>
      <c r="C214">
        <f>'Monthly Haver'!D217</f>
        <v>52.906599999999997</v>
      </c>
      <c r="D214">
        <f>'Monthly Haver'!E217</f>
        <v>50.389000000000003</v>
      </c>
      <c r="E214">
        <f>'Monthly Haver'!G217</f>
        <v>50.4861</v>
      </c>
      <c r="F214">
        <f>'Monthly Haver'!H217</f>
        <v>51.026499999999999</v>
      </c>
      <c r="G214">
        <f>'Monthly Haver'!I217</f>
        <v>49.292000000000002</v>
      </c>
      <c r="H214">
        <f>'Monthly Haver'!J217</f>
        <v>51.722000000000001</v>
      </c>
      <c r="I214">
        <f>GDS_Monthly!O331</f>
        <v>49.972525193288156</v>
      </c>
      <c r="J214">
        <f>GDS_Monthly!D331</f>
        <v>121.01365829772175</v>
      </c>
      <c r="K214">
        <f>GDS_Monthly!AH331</f>
        <v>1050.3312827</v>
      </c>
      <c r="L214">
        <f>GDS_Monthly!AI331</f>
        <v>1046.0094870999999</v>
      </c>
      <c r="M214">
        <f>GDS_Monthly!N331</f>
        <v>5.5068271743470181</v>
      </c>
      <c r="N214">
        <f>GDS_Monthly!C331</f>
        <v>106.97865950269751</v>
      </c>
      <c r="O214">
        <f>GDS_Monthly!F331</f>
        <v>1.713236459046291</v>
      </c>
      <c r="P214">
        <f>GDS_Monthly!G331</f>
        <v>2.4232075455568243</v>
      </c>
      <c r="Q214">
        <f>GDS_Monthly!T331</f>
        <v>116.10071086522034</v>
      </c>
      <c r="R214">
        <f>GDS_Monthly!V331</f>
        <v>115.82419205041941</v>
      </c>
      <c r="S214">
        <f>GDS_Monthly!W331</f>
        <v>101.70664702702703</v>
      </c>
      <c r="T214">
        <f>GDS_Monthly!X331</f>
        <v>100.00722517053428</v>
      </c>
      <c r="U214">
        <f>GDS_Monthly!AA331</f>
        <v>102.09935683292626</v>
      </c>
      <c r="V214">
        <f>GDS_Monthly!AC331</f>
        <v>105.1746378713013</v>
      </c>
      <c r="W214">
        <f>GDS_Monthly!AE331</f>
        <v>104.45842159804651</v>
      </c>
      <c r="X214">
        <f>GDS_Monthly!AF331</f>
        <v>101.38272305920114</v>
      </c>
      <c r="Y214">
        <f>OECD!B214</f>
        <v>99.847160000000002</v>
      </c>
      <c r="Z214">
        <f>'Monthly Haver'!K217</f>
        <v>113.35992</v>
      </c>
      <c r="AA214" s="8">
        <f>OECD!C214</f>
        <v>114.66999999999999</v>
      </c>
    </row>
    <row r="215" spans="1:27">
      <c r="A215" t="str">
        <f>'Monthly Haver'!A218</f>
        <v>Oct-2016</v>
      </c>
      <c r="B215">
        <f>'Monthly Haver'!C218</f>
        <v>53.076300000000003</v>
      </c>
      <c r="C215">
        <f>'Monthly Haver'!D218</f>
        <v>54.720399999999998</v>
      </c>
      <c r="D215">
        <f>'Monthly Haver'!E218</f>
        <v>50.452199999999998</v>
      </c>
      <c r="E215">
        <f>'Monthly Haver'!G218</f>
        <v>50.752600000000001</v>
      </c>
      <c r="F215">
        <f>'Monthly Haver'!H218</f>
        <v>51.905799999999999</v>
      </c>
      <c r="G215">
        <f>'Monthly Haver'!I218</f>
        <v>49.534399999999998</v>
      </c>
      <c r="H215">
        <f>'Monthly Haver'!J218</f>
        <v>52.996200000000002</v>
      </c>
      <c r="I215">
        <f>GDS_Monthly!O332</f>
        <v>50.279431446851618</v>
      </c>
      <c r="J215">
        <f>GDS_Monthly!D332</f>
        <v>121.69576712262023</v>
      </c>
      <c r="K215">
        <f>GDS_Monthly!AH332</f>
        <v>1036.0737517</v>
      </c>
      <c r="L215">
        <f>GDS_Monthly!AI332</f>
        <v>1030.9517231</v>
      </c>
      <c r="M215">
        <f>GDS_Monthly!N332</f>
        <v>5.5588416018468934</v>
      </c>
      <c r="N215">
        <f>GDS_Monthly!C332</f>
        <v>106.7450576792742</v>
      </c>
      <c r="O215">
        <f>GDS_Monthly!F332</f>
        <v>1.7908552270029918</v>
      </c>
      <c r="P215">
        <f>GDS_Monthly!G332</f>
        <v>2.398155939327967</v>
      </c>
      <c r="Q215">
        <f>GDS_Monthly!T332</f>
        <v>116.36491402625072</v>
      </c>
      <c r="R215">
        <f>GDS_Monthly!V332</f>
        <v>116.00057703349118</v>
      </c>
      <c r="S215">
        <f>GDS_Monthly!W332</f>
        <v>100.64342220885253</v>
      </c>
      <c r="T215">
        <f>GDS_Monthly!X332</f>
        <v>101.12997903625592</v>
      </c>
      <c r="U215">
        <f>GDS_Monthly!AA332</f>
        <v>100.87566037196071</v>
      </c>
      <c r="V215">
        <f>GDS_Monthly!AC332</f>
        <v>114.80598055149173</v>
      </c>
      <c r="W215">
        <f>GDS_Monthly!AE332</f>
        <v>115.85060079837596</v>
      </c>
      <c r="X215">
        <f>GDS_Monthly!AF332</f>
        <v>100.69869858266971</v>
      </c>
      <c r="Y215">
        <f>OECD!B215</f>
        <v>99.931920000000005</v>
      </c>
      <c r="Z215">
        <f>'Monthly Haver'!K218</f>
        <v>113.89323</v>
      </c>
      <c r="AA215" s="8">
        <f>OECD!C215</f>
        <v>114.94</v>
      </c>
    </row>
    <row r="216" spans="1:27">
      <c r="A216" t="str">
        <f>'Monthly Haver'!A219</f>
        <v>Nov-2016</v>
      </c>
      <c r="B216">
        <f>'Monthly Haver'!C219</f>
        <v>53.334499999999998</v>
      </c>
      <c r="C216">
        <f>'Monthly Haver'!D219</f>
        <v>55.738700000000001</v>
      </c>
      <c r="D216">
        <f>'Monthly Haver'!E219</f>
        <v>50.747</v>
      </c>
      <c r="E216">
        <f>'Monthly Haver'!G219</f>
        <v>51.1143</v>
      </c>
      <c r="F216">
        <f>'Monthly Haver'!H219</f>
        <v>51.926499999999997</v>
      </c>
      <c r="G216">
        <f>'Monthly Haver'!I219</f>
        <v>49.631999999999998</v>
      </c>
      <c r="H216">
        <f>'Monthly Haver'!J219</f>
        <v>53.304400000000001</v>
      </c>
      <c r="I216">
        <f>GDS_Monthly!O333</f>
        <v>51.397207098131162</v>
      </c>
      <c r="J216">
        <f>GDS_Monthly!D333</f>
        <v>122.38856217704608</v>
      </c>
      <c r="K216">
        <f>GDS_Monthly!AH333</f>
        <v>1062.7953027000001</v>
      </c>
      <c r="L216">
        <f>GDS_Monthly!AI333</f>
        <v>1056.9639090999999</v>
      </c>
      <c r="M216">
        <f>GDS_Monthly!N333</f>
        <v>5.5230606068573707</v>
      </c>
      <c r="N216">
        <f>GDS_Monthly!C333</f>
        <v>108.09216659427297</v>
      </c>
      <c r="O216">
        <f>GDS_Monthly!F333</f>
        <v>1.9926024855022206</v>
      </c>
      <c r="P216">
        <f>GDS_Monthly!G333</f>
        <v>2.3996668144329396</v>
      </c>
      <c r="Q216">
        <f>GDS_Monthly!T333</f>
        <v>116.58270993337673</v>
      </c>
      <c r="R216">
        <f>GDS_Monthly!V333</f>
        <v>116.21400015899044</v>
      </c>
      <c r="S216">
        <f>GDS_Monthly!W333</f>
        <v>101.19577735032286</v>
      </c>
      <c r="T216">
        <f>GDS_Monthly!X333</f>
        <v>115.2364308092223</v>
      </c>
      <c r="U216">
        <f>GDS_Monthly!AA333</f>
        <v>103.67633185133319</v>
      </c>
      <c r="V216">
        <f>GDS_Monthly!AC333</f>
        <v>108.0049017611355</v>
      </c>
      <c r="W216">
        <f>GDS_Monthly!AE333</f>
        <v>107.40604821649015</v>
      </c>
      <c r="X216">
        <f>GDS_Monthly!AF333</f>
        <v>102.70372778280245</v>
      </c>
      <c r="Y216">
        <f>OECD!B216</f>
        <v>100.0235</v>
      </c>
      <c r="Z216">
        <f>'Monthly Haver'!K219</f>
        <v>115.78691000000001</v>
      </c>
      <c r="AA216" s="8">
        <f>OECD!C216</f>
        <v>115.01</v>
      </c>
    </row>
    <row r="217" spans="1:27">
      <c r="A217" t="str">
        <f>'Monthly Haver'!A220</f>
        <v>Dec-2016</v>
      </c>
      <c r="B217">
        <f>'Monthly Haver'!C220</f>
        <v>53.6646</v>
      </c>
      <c r="C217">
        <f>'Monthly Haver'!D220</f>
        <v>57.078699999999998</v>
      </c>
      <c r="D217">
        <f>'Monthly Haver'!E220</f>
        <v>50.974600000000002</v>
      </c>
      <c r="E217">
        <f>'Monthly Haver'!G220</f>
        <v>51.881399999999999</v>
      </c>
      <c r="F217">
        <f>'Monthly Haver'!H220</f>
        <v>52.566200000000002</v>
      </c>
      <c r="G217">
        <f>'Monthly Haver'!I220</f>
        <v>49.990299999999998</v>
      </c>
      <c r="H217">
        <f>'Monthly Haver'!J220</f>
        <v>53.371499999999997</v>
      </c>
      <c r="I217">
        <f>GDS_Monthly!O334</f>
        <v>51.868297663648335</v>
      </c>
      <c r="J217">
        <f>GDS_Monthly!D334</f>
        <v>122.96855677434657</v>
      </c>
      <c r="K217">
        <f>GDS_Monthly!AH334</f>
        <v>1079.8857487</v>
      </c>
      <c r="L217">
        <f>GDS_Monthly!AI334</f>
        <v>1073.7827411000001</v>
      </c>
      <c r="M217">
        <f>GDS_Monthly!N334</f>
        <v>5.5018679958467995</v>
      </c>
      <c r="N217">
        <f>GDS_Monthly!C334</f>
        <v>108.66090630709228</v>
      </c>
      <c r="O217">
        <f>GDS_Monthly!F334</f>
        <v>2.2861995620438931</v>
      </c>
      <c r="P217">
        <f>GDS_Monthly!G334</f>
        <v>2.4707531043186832</v>
      </c>
      <c r="Q217">
        <f>GDS_Monthly!T334</f>
        <v>116.87838892274031</v>
      </c>
      <c r="R217">
        <f>GDS_Monthly!V334</f>
        <v>116.43465653154131</v>
      </c>
      <c r="S217">
        <f>GDS_Monthly!W334</f>
        <v>102.32674944892257</v>
      </c>
      <c r="T217">
        <f>GDS_Monthly!X334</f>
        <v>119.5333919129355</v>
      </c>
      <c r="U217">
        <f>GDS_Monthly!AA334</f>
        <v>103.75372405433482</v>
      </c>
      <c r="V217">
        <f>GDS_Monthly!AC334</f>
        <v>123.05412880800317</v>
      </c>
      <c r="W217">
        <f>GDS_Monthly!AE334</f>
        <v>126.70142138137567</v>
      </c>
      <c r="X217">
        <f>GDS_Monthly!AF334</f>
        <v>105.80372430612641</v>
      </c>
      <c r="Y217">
        <f>OECD!B217</f>
        <v>100.1105</v>
      </c>
      <c r="Z217">
        <f>'Monthly Haver'!K220</f>
        <v>117.50534</v>
      </c>
      <c r="AA217" s="8">
        <f>OECD!C217</f>
        <v>115.67</v>
      </c>
    </row>
    <row r="218" spans="1:27">
      <c r="A218" t="str">
        <f>'Monthly Haver'!A221</f>
        <v>Jan-2017</v>
      </c>
      <c r="B218">
        <f>'Monthly Haver'!C221</f>
        <v>54.260399999999997</v>
      </c>
      <c r="C218">
        <f>'Monthly Haver'!D221</f>
        <v>57.393900000000002</v>
      </c>
      <c r="D218">
        <f>'Monthly Haver'!E221</f>
        <v>51.780700000000003</v>
      </c>
      <c r="E218">
        <f>'Monthly Haver'!G221</f>
        <v>52.012799999999999</v>
      </c>
      <c r="F218">
        <f>'Monthly Haver'!H221</f>
        <v>52.562199999999997</v>
      </c>
      <c r="G218">
        <f>'Monthly Haver'!I221</f>
        <v>49.7896</v>
      </c>
      <c r="H218">
        <f>'Monthly Haver'!J221</f>
        <v>53.941099999999999</v>
      </c>
      <c r="I218">
        <f>GDS_Monthly!O335</f>
        <v>52.409728106778807</v>
      </c>
      <c r="J218">
        <f>GDS_Monthly!D335</f>
        <v>122.88102660758236</v>
      </c>
      <c r="K218">
        <f>GDS_Monthly!AH335</f>
        <v>1092.3534897</v>
      </c>
      <c r="L218">
        <f>GDS_Monthly!AI335</f>
        <v>1077.7443951</v>
      </c>
      <c r="M218">
        <f>GDS_Monthly!N335</f>
        <v>5.5459155418984194</v>
      </c>
      <c r="N218">
        <f>GDS_Monthly!C335</f>
        <v>108.52724799587875</v>
      </c>
      <c r="O218">
        <f>GDS_Monthly!F335</f>
        <v>2.3555287838900858</v>
      </c>
      <c r="P218">
        <f>GDS_Monthly!G335</f>
        <v>2.3924011879622569</v>
      </c>
      <c r="Q218">
        <f>GDS_Monthly!T335</f>
        <v>117.27542234058393</v>
      </c>
      <c r="R218">
        <f>GDS_Monthly!V335</f>
        <v>116.69677305418298</v>
      </c>
      <c r="S218">
        <f>GDS_Monthly!W335</f>
        <v>106.5366290159841</v>
      </c>
      <c r="T218">
        <f>GDS_Monthly!X335</f>
        <v>121.36834449701475</v>
      </c>
      <c r="U218">
        <f>GDS_Monthly!AA335</f>
        <v>107.32945698309595</v>
      </c>
      <c r="V218">
        <f>GDS_Monthly!AC335</f>
        <v>128.32723219950617</v>
      </c>
      <c r="W218">
        <f>GDS_Monthly!AE335</f>
        <v>128.75250829014144</v>
      </c>
      <c r="X218">
        <f>GDS_Monthly!AF335</f>
        <v>109.73920607798925</v>
      </c>
      <c r="Y218">
        <f>OECD!B218</f>
        <v>100.1836</v>
      </c>
      <c r="Z218">
        <f>'Monthly Haver'!K221</f>
        <v>117.36363</v>
      </c>
      <c r="AA218" s="8">
        <f>OECD!C218</f>
        <v>116.24</v>
      </c>
    </row>
    <row r="219" spans="1:27">
      <c r="A219" t="str">
        <f>'Monthly Haver'!A222</f>
        <v>Feb-2017</v>
      </c>
      <c r="B219">
        <f>'Monthly Haver'!C222</f>
        <v>53.813000000000002</v>
      </c>
      <c r="C219">
        <f>'Monthly Haver'!D222</f>
        <v>56.319000000000003</v>
      </c>
      <c r="D219">
        <f>'Monthly Haver'!E222</f>
        <v>52.198300000000003</v>
      </c>
      <c r="E219">
        <f>'Monthly Haver'!G222</f>
        <v>52.030999999999999</v>
      </c>
      <c r="F219">
        <f>'Monthly Haver'!H222</f>
        <v>52.817399999999999</v>
      </c>
      <c r="G219">
        <f>'Monthly Haver'!I222</f>
        <v>49.361899999999999</v>
      </c>
      <c r="H219">
        <f>'Monthly Haver'!J222</f>
        <v>53.293900000000001</v>
      </c>
      <c r="I219">
        <f>GDS_Monthly!O336</f>
        <v>52.415935235052835</v>
      </c>
      <c r="J219">
        <f>GDS_Monthly!D336</f>
        <v>123.15485097171033</v>
      </c>
      <c r="K219">
        <f>GDS_Monthly!AH336</f>
        <v>1097.7573967000001</v>
      </c>
      <c r="L219">
        <f>GDS_Monthly!AI336</f>
        <v>1077.8085731000001</v>
      </c>
      <c r="M219">
        <f>GDS_Monthly!N336</f>
        <v>5.5123149884852101</v>
      </c>
      <c r="N219">
        <f>GDS_Monthly!C336</f>
        <v>109.82511731039254</v>
      </c>
      <c r="O219">
        <f>GDS_Monthly!F336</f>
        <v>2.2624280320452752</v>
      </c>
      <c r="P219">
        <f>GDS_Monthly!G336</f>
        <v>2.3792684873223271</v>
      </c>
      <c r="Q219">
        <f>GDS_Monthly!T336</f>
        <v>117.46604922294026</v>
      </c>
      <c r="R219">
        <f>GDS_Monthly!V336</f>
        <v>116.89145103122642</v>
      </c>
      <c r="S219">
        <f>GDS_Monthly!W336</f>
        <v>107.02278794316925</v>
      </c>
      <c r="T219">
        <f>GDS_Monthly!X336</f>
        <v>128.72324522746189</v>
      </c>
      <c r="U219">
        <f>GDS_Monthly!AA336</f>
        <v>109.70901737217828</v>
      </c>
      <c r="V219">
        <f>GDS_Monthly!AC336</f>
        <v>126.00415149998044</v>
      </c>
      <c r="W219">
        <f>GDS_Monthly!AE336</f>
        <v>130.13372780786449</v>
      </c>
      <c r="X219">
        <f>GDS_Monthly!AF336</f>
        <v>111.52106643538532</v>
      </c>
      <c r="Y219">
        <f>OECD!B219</f>
        <v>100.24509999999999</v>
      </c>
      <c r="Z219">
        <f>'Monthly Haver'!K222</f>
        <v>116.22493</v>
      </c>
      <c r="AA219" s="8">
        <f>OECD!C219</f>
        <v>116.77</v>
      </c>
    </row>
    <row r="220" spans="1:27">
      <c r="A220" t="str">
        <f>'Monthly Haver'!A223</f>
        <v>Mar-2017</v>
      </c>
      <c r="B220">
        <f>'Monthly Haver'!C223</f>
        <v>53.623699999999999</v>
      </c>
      <c r="C220">
        <f>'Monthly Haver'!D223</f>
        <v>56.194200000000002</v>
      </c>
      <c r="D220">
        <f>'Monthly Haver'!E223</f>
        <v>52.156999999999996</v>
      </c>
      <c r="E220">
        <f>'Monthly Haver'!G223</f>
        <v>51.7485</v>
      </c>
      <c r="F220">
        <f>'Monthly Haver'!H223</f>
        <v>52.806600000000003</v>
      </c>
      <c r="G220">
        <f>'Monthly Haver'!I223</f>
        <v>49.174300000000002</v>
      </c>
      <c r="H220">
        <f>'Monthly Haver'!J223</f>
        <v>53.656500000000001</v>
      </c>
      <c r="I220">
        <f>GDS_Monthly!O337</f>
        <v>52.627461499048231</v>
      </c>
      <c r="J220">
        <f>GDS_Monthly!D337</f>
        <v>123.98469708769973</v>
      </c>
      <c r="K220">
        <f>GDS_Monthly!AH337</f>
        <v>1125.9108467000001</v>
      </c>
      <c r="L220">
        <f>GDS_Monthly!AI337</f>
        <v>1115.1933091000001</v>
      </c>
      <c r="M220">
        <f>GDS_Monthly!N337</f>
        <v>5.4785270909379662</v>
      </c>
      <c r="N220">
        <f>GDS_Monthly!C337</f>
        <v>111.66048837575983</v>
      </c>
      <c r="O220">
        <f>GDS_Monthly!F337</f>
        <v>2.3757480911291502</v>
      </c>
      <c r="P220">
        <f>GDS_Monthly!G337</f>
        <v>2.44126511102073</v>
      </c>
      <c r="Q220">
        <f>GDS_Monthly!T337</f>
        <v>117.52218931472405</v>
      </c>
      <c r="R220">
        <f>GDS_Monthly!V337</f>
        <v>117.05889665528527</v>
      </c>
      <c r="S220">
        <f>GDS_Monthly!W337</f>
        <v>103.43533644775873</v>
      </c>
      <c r="T220">
        <f>GDS_Monthly!X337</f>
        <v>127.21434467125029</v>
      </c>
      <c r="U220">
        <f>GDS_Monthly!AA337</f>
        <v>107.09928618675031</v>
      </c>
      <c r="V220">
        <f>GDS_Monthly!AC337</f>
        <v>116.32086556178676</v>
      </c>
      <c r="W220">
        <f>GDS_Monthly!AE337</f>
        <v>121.93844410981143</v>
      </c>
      <c r="X220">
        <f>GDS_Monthly!AF337</f>
        <v>107.77318825530148</v>
      </c>
      <c r="Y220">
        <f>OECD!B220</f>
        <v>100.2998</v>
      </c>
      <c r="Z220">
        <f>'Monthly Haver'!K223</f>
        <v>115.30238</v>
      </c>
      <c r="AA220" s="8">
        <f>OECD!C220</f>
        <v>117.29</v>
      </c>
    </row>
    <row r="221" spans="1:27">
      <c r="A221" t="str">
        <f>'Monthly Haver'!A224</f>
        <v>Apr-2017</v>
      </c>
      <c r="B221">
        <f>'Monthly Haver'!C224</f>
        <v>53.505899999999997</v>
      </c>
      <c r="C221">
        <f>'Monthly Haver'!D224</f>
        <v>56.116599999999998</v>
      </c>
      <c r="D221">
        <f>'Monthly Haver'!E224</f>
        <v>52.1646</v>
      </c>
      <c r="E221">
        <f>'Monthly Haver'!G224</f>
        <v>51.413800000000002</v>
      </c>
      <c r="F221">
        <f>'Monthly Haver'!H224</f>
        <v>52.576999999999998</v>
      </c>
      <c r="G221">
        <f>'Monthly Haver'!I224</f>
        <v>49.567</v>
      </c>
      <c r="H221">
        <f>'Monthly Haver'!J224</f>
        <v>53.697200000000002</v>
      </c>
      <c r="I221">
        <f>GDS_Monthly!O338</f>
        <v>52.569509202460388</v>
      </c>
      <c r="J221">
        <f>GDS_Monthly!D338</f>
        <v>124.17726403491535</v>
      </c>
      <c r="K221">
        <f>GDS_Monthly!AH338</f>
        <v>1102.4269767000001</v>
      </c>
      <c r="L221">
        <f>GDS_Monthly!AI338</f>
        <v>1096.1278941</v>
      </c>
      <c r="M221">
        <f>GDS_Monthly!N338</f>
        <v>5.4060695209850413</v>
      </c>
      <c r="N221">
        <f>GDS_Monthly!C338</f>
        <v>111.009750661613</v>
      </c>
      <c r="O221">
        <f>GDS_Monthly!F338</f>
        <v>2.2920552979001219</v>
      </c>
      <c r="P221">
        <f>GDS_Monthly!G338</f>
        <v>2.4168265996842875</v>
      </c>
      <c r="Q221">
        <f>GDS_Monthly!T338</f>
        <v>117.74378233182881</v>
      </c>
      <c r="R221">
        <f>GDS_Monthly!V338</f>
        <v>117.26012342732453</v>
      </c>
      <c r="S221">
        <f>GDS_Monthly!W338</f>
        <v>102.80470979601672</v>
      </c>
      <c r="T221">
        <f>GDS_Monthly!X338</f>
        <v>116.89217128901055</v>
      </c>
      <c r="U221">
        <f>GDS_Monthly!AA338</f>
        <v>105.14099778543797</v>
      </c>
      <c r="V221">
        <f>GDS_Monthly!AC338</f>
        <v>119.41713705986399</v>
      </c>
      <c r="W221">
        <f>GDS_Monthly!AE338</f>
        <v>124.52005075640672</v>
      </c>
      <c r="X221">
        <f>GDS_Monthly!AF338</f>
        <v>107.82553822017698</v>
      </c>
      <c r="Y221">
        <f>OECD!B221</f>
        <v>100.354</v>
      </c>
      <c r="Z221">
        <f>'Monthly Haver'!K224</f>
        <v>115.20014</v>
      </c>
      <c r="AA221" s="8">
        <f>OECD!C221</f>
        <v>117.33</v>
      </c>
    </row>
    <row r="222" spans="1:27">
      <c r="A222" t="str">
        <f>'Monthly Haver'!A225</f>
        <v>May-2017</v>
      </c>
      <c r="B222">
        <f>'Monthly Haver'!C225</f>
        <v>53.901899999999998</v>
      </c>
      <c r="C222">
        <f>'Monthly Haver'!D225</f>
        <v>54.806199999999997</v>
      </c>
      <c r="D222">
        <f>'Monthly Haver'!E225</f>
        <v>51.9253</v>
      </c>
      <c r="E222">
        <f>'Monthly Haver'!G225</f>
        <v>51.954300000000003</v>
      </c>
      <c r="F222">
        <f>'Monthly Haver'!H225</f>
        <v>52.425199999999997</v>
      </c>
      <c r="G222">
        <f>'Monthly Haver'!I225</f>
        <v>49.701900000000002</v>
      </c>
      <c r="H222">
        <f>'Monthly Haver'!J225</f>
        <v>53.8521</v>
      </c>
      <c r="I222">
        <f>GDS_Monthly!O339</f>
        <v>54.456405862471449</v>
      </c>
      <c r="J222">
        <f>GDS_Monthly!D339</f>
        <v>124.75636572718895</v>
      </c>
      <c r="K222">
        <f>GDS_Monthly!AH339</f>
        <v>1135.4467867000001</v>
      </c>
      <c r="L222">
        <f>GDS_Monthly!AI339</f>
        <v>1115.7593141</v>
      </c>
      <c r="M222">
        <f>GDS_Monthly!N339</f>
        <v>5.4202409478177485</v>
      </c>
      <c r="N222">
        <f>GDS_Monthly!C339</f>
        <v>110.67472060198446</v>
      </c>
      <c r="O222">
        <f>GDS_Monthly!F339</f>
        <v>2.2782759734758677</v>
      </c>
      <c r="P222">
        <f>GDS_Monthly!G339</f>
        <v>2.4098445697116713</v>
      </c>
      <c r="Q222">
        <f>GDS_Monthly!T339</f>
        <v>117.82791262432252</v>
      </c>
      <c r="R222">
        <f>GDS_Monthly!V339</f>
        <v>117.45543665521261</v>
      </c>
      <c r="S222">
        <f>GDS_Monthly!W339</f>
        <v>105.2184556262368</v>
      </c>
      <c r="T222">
        <f>GDS_Monthly!X339</f>
        <v>111.66543300852901</v>
      </c>
      <c r="U222">
        <f>GDS_Monthly!AA339</f>
        <v>104.6216831073836</v>
      </c>
      <c r="V222">
        <f>GDS_Monthly!AC339</f>
        <v>114.93747017465044</v>
      </c>
      <c r="W222">
        <f>GDS_Monthly!AE339</f>
        <v>117.83550401067687</v>
      </c>
      <c r="X222">
        <f>GDS_Monthly!AF339</f>
        <v>107.95206233526704</v>
      </c>
      <c r="Y222">
        <f>OECD!B222</f>
        <v>100.4141</v>
      </c>
      <c r="Z222">
        <f>'Monthly Haver'!K225</f>
        <v>115.02882</v>
      </c>
      <c r="AA222" s="8">
        <f>OECD!C222</f>
        <v>117.48</v>
      </c>
    </row>
    <row r="223" spans="1:27">
      <c r="A223" t="str">
        <f>'Monthly Haver'!A226</f>
        <v>Jun-2017</v>
      </c>
      <c r="B223">
        <f>'Monthly Haver'!C226</f>
        <v>54.063800000000001</v>
      </c>
      <c r="C223">
        <f>'Monthly Haver'!D226</f>
        <v>54.752099999999999</v>
      </c>
      <c r="D223">
        <f>'Monthly Haver'!E226</f>
        <v>52.1877</v>
      </c>
      <c r="E223">
        <f>'Monthly Haver'!G226</f>
        <v>52.098100000000002</v>
      </c>
      <c r="F223">
        <f>'Monthly Haver'!H226</f>
        <v>52.436799999999998</v>
      </c>
      <c r="G223">
        <f>'Monthly Haver'!I226</f>
        <v>49.670099999999998</v>
      </c>
      <c r="H223">
        <f>'Monthly Haver'!J226</f>
        <v>53.783700000000003</v>
      </c>
      <c r="I223">
        <f>GDS_Monthly!O340</f>
        <v>54.839722823614153</v>
      </c>
      <c r="J223">
        <f>GDS_Monthly!D340</f>
        <v>125.12084149171656</v>
      </c>
      <c r="K223">
        <f>GDS_Monthly!AH340</f>
        <v>1140.2873156999999</v>
      </c>
      <c r="L223">
        <f>GDS_Monthly!AI340</f>
        <v>1126.2636591</v>
      </c>
      <c r="M223">
        <f>GDS_Monthly!N340</f>
        <v>5.3779559223305107</v>
      </c>
      <c r="N223">
        <f>GDS_Monthly!C340</f>
        <v>110.68212992592471</v>
      </c>
      <c r="O223">
        <f>GDS_Monthly!F340</f>
        <v>2.1099422392917631</v>
      </c>
      <c r="P223">
        <f>GDS_Monthly!G340</f>
        <v>2.4447164232193668</v>
      </c>
      <c r="Q223">
        <f>GDS_Monthly!T340</f>
        <v>117.9484528354343</v>
      </c>
      <c r="R223">
        <f>GDS_Monthly!V340</f>
        <v>117.65488494067304</v>
      </c>
      <c r="S223">
        <f>GDS_Monthly!W340</f>
        <v>104.5174124848143</v>
      </c>
      <c r="T223">
        <f>GDS_Monthly!X340</f>
        <v>109.86004533234309</v>
      </c>
      <c r="U223">
        <f>GDS_Monthly!AA340</f>
        <v>103.84662085431445</v>
      </c>
      <c r="V223">
        <f>GDS_Monthly!AC340</f>
        <v>108.24398577103489</v>
      </c>
      <c r="W223">
        <f>GDS_Monthly!AE340</f>
        <v>108.20895451019361</v>
      </c>
      <c r="X223">
        <f>GDS_Monthly!AF340</f>
        <v>103.24935080200309</v>
      </c>
      <c r="Y223">
        <f>OECD!B223</f>
        <v>100.4808</v>
      </c>
      <c r="Z223">
        <f>'Monthly Haver'!K226</f>
        <v>114.73954999999999</v>
      </c>
      <c r="AA223" s="8">
        <f>OECD!C223</f>
        <v>117.46</v>
      </c>
    </row>
    <row r="224" spans="1:27">
      <c r="A224" t="str">
        <f>'Monthly Haver'!A227</f>
        <v>Jul-2017</v>
      </c>
      <c r="B224">
        <f>'Monthly Haver'!C227</f>
        <v>54.201500000000003</v>
      </c>
      <c r="C224">
        <f>'Monthly Haver'!D227</f>
        <v>54.773800000000001</v>
      </c>
      <c r="D224">
        <f>'Monthly Haver'!E227</f>
        <v>51.999600000000001</v>
      </c>
      <c r="E224">
        <f>'Monthly Haver'!G227</f>
        <v>52.3416</v>
      </c>
      <c r="F224">
        <f>'Monthly Haver'!H227</f>
        <v>52.582799999999999</v>
      </c>
      <c r="G224">
        <f>'Monthly Haver'!I227</f>
        <v>49.4163</v>
      </c>
      <c r="H224">
        <f>'Monthly Haver'!J227</f>
        <v>53.644399999999997</v>
      </c>
      <c r="I224">
        <f>GDS_Monthly!O341</f>
        <v>55.252465091019729</v>
      </c>
      <c r="J224">
        <f>GDS_Monthly!D341</f>
        <v>125.3170758301162</v>
      </c>
      <c r="K224">
        <f>GDS_Monthly!AH341</f>
        <v>1132.6324967</v>
      </c>
      <c r="L224">
        <f>GDS_Monthly!AI341</f>
        <v>1116.8989051000001</v>
      </c>
      <c r="M224">
        <f>GDS_Monthly!N341</f>
        <v>5.3733268395869072</v>
      </c>
      <c r="N224">
        <f>GDS_Monthly!C341</f>
        <v>111.64468206942303</v>
      </c>
      <c r="O224">
        <f>GDS_Monthly!F341</f>
        <v>2.3114130261555195</v>
      </c>
      <c r="P224">
        <f>GDS_Monthly!G341</f>
        <v>2.4188906824758858</v>
      </c>
      <c r="Q224">
        <f>GDS_Monthly!T341</f>
        <v>118.11120824694932</v>
      </c>
      <c r="R224">
        <f>GDS_Monthly!V341</f>
        <v>117.85938620602496</v>
      </c>
      <c r="S224">
        <f>GDS_Monthly!W341</f>
        <v>106.86400798733676</v>
      </c>
      <c r="T224">
        <f>GDS_Monthly!X341</f>
        <v>117.18691473769763</v>
      </c>
      <c r="U224">
        <f>GDS_Monthly!AA341</f>
        <v>106.02328473228677</v>
      </c>
      <c r="V224">
        <f>GDS_Monthly!AC341</f>
        <v>112.0388183851602</v>
      </c>
      <c r="W224">
        <f>GDS_Monthly!AE341</f>
        <v>110.8338762981204</v>
      </c>
      <c r="X224">
        <f>GDS_Monthly!AF341</f>
        <v>102.59224262707602</v>
      </c>
      <c r="Y224">
        <f>OECD!B224</f>
        <v>100.5501</v>
      </c>
      <c r="Z224">
        <f>'Monthly Haver'!K227</f>
        <v>113.12188999999999</v>
      </c>
      <c r="AA224" s="8">
        <f>OECD!C224</f>
        <v>117.78</v>
      </c>
    </row>
    <row r="225" spans="1:27">
      <c r="A225" t="str">
        <f>'Monthly Haver'!A228</f>
        <v>Aug-2017</v>
      </c>
      <c r="B225">
        <f>'Monthly Haver'!C228</f>
        <v>54.547199999999997</v>
      </c>
      <c r="C225">
        <f>'Monthly Haver'!D228</f>
        <v>55.616500000000002</v>
      </c>
      <c r="D225">
        <f>'Monthly Haver'!E228</f>
        <v>52.777299999999997</v>
      </c>
      <c r="E225">
        <f>'Monthly Haver'!G228</f>
        <v>52.529499999999999</v>
      </c>
      <c r="F225">
        <f>'Monthly Haver'!H228</f>
        <v>53.049399999999999</v>
      </c>
      <c r="G225">
        <f>'Monthly Haver'!I228</f>
        <v>48.982599999999998</v>
      </c>
      <c r="H225">
        <f>'Monthly Haver'!J228</f>
        <v>54.020899999999997</v>
      </c>
      <c r="I225">
        <f>GDS_Monthly!O342</f>
        <v>55.58842084186022</v>
      </c>
      <c r="J225">
        <f>GDS_Monthly!D342</f>
        <v>126.44226278064548</v>
      </c>
      <c r="K225">
        <f>GDS_Monthly!AH342</f>
        <v>1165.3975127000001</v>
      </c>
      <c r="L225">
        <f>GDS_Monthly!AI342</f>
        <v>1153.3087951</v>
      </c>
      <c r="M225">
        <f>GDS_Monthly!N342</f>
        <v>5.3550179716489623</v>
      </c>
      <c r="N225">
        <f>GDS_Monthly!C342</f>
        <v>111.64617552362384</v>
      </c>
      <c r="O225">
        <f>GDS_Monthly!F342</f>
        <v>2.2292931297742409</v>
      </c>
      <c r="P225">
        <f>GDS_Monthly!G342</f>
        <v>2.4075060147519296</v>
      </c>
      <c r="Q225">
        <f>GDS_Monthly!T342</f>
        <v>118.43162867922248</v>
      </c>
      <c r="R225">
        <f>GDS_Monthly!V342</f>
        <v>118.07391553344517</v>
      </c>
      <c r="S225">
        <f>GDS_Monthly!W342</f>
        <v>102.08084936005673</v>
      </c>
      <c r="T225">
        <f>GDS_Monthly!X342</f>
        <v>127.01562782119035</v>
      </c>
      <c r="U225">
        <f>GDS_Monthly!AA342</f>
        <v>106.59164039331219</v>
      </c>
      <c r="V225">
        <f>GDS_Monthly!AC342</f>
        <v>118.28756164305609</v>
      </c>
      <c r="W225">
        <f>GDS_Monthly!AE342</f>
        <v>114.85279184808849</v>
      </c>
      <c r="X225">
        <f>GDS_Monthly!AF342</f>
        <v>102.76680908299606</v>
      </c>
      <c r="Y225">
        <f>OECD!B225</f>
        <v>100.62139999999999</v>
      </c>
      <c r="Z225">
        <f>'Monthly Haver'!K228</f>
        <v>111.75108</v>
      </c>
      <c r="AA225" s="8">
        <f>OECD!C225</f>
        <v>117.88</v>
      </c>
    </row>
    <row r="226" spans="1:27">
      <c r="A226" t="str">
        <f>'Monthly Haver'!A229</f>
        <v>Sep-2017</v>
      </c>
      <c r="B226">
        <f>'Monthly Haver'!C229</f>
        <v>54.306100000000001</v>
      </c>
      <c r="C226">
        <f>'Monthly Haver'!D229</f>
        <v>57.078099999999999</v>
      </c>
      <c r="D226">
        <f>'Monthly Haver'!E229</f>
        <v>52.057600000000001</v>
      </c>
      <c r="E226">
        <f>'Monthly Haver'!G229</f>
        <v>52.402799999999999</v>
      </c>
      <c r="F226">
        <f>'Monthly Haver'!H229</f>
        <v>53.097499999999997</v>
      </c>
      <c r="G226">
        <f>'Monthly Haver'!I229</f>
        <v>48.980899999999998</v>
      </c>
      <c r="H226">
        <f>'Monthly Haver'!J229</f>
        <v>53.791600000000003</v>
      </c>
      <c r="I226">
        <f>GDS_Monthly!O343</f>
        <v>56.153342354942779</v>
      </c>
      <c r="J226">
        <f>GDS_Monthly!D343</f>
        <v>126.5692776916209</v>
      </c>
      <c r="K226">
        <f>GDS_Monthly!AH343</f>
        <v>1175.5235757</v>
      </c>
      <c r="L226">
        <f>GDS_Monthly!AI343</f>
        <v>1165.8659381</v>
      </c>
      <c r="M226">
        <f>GDS_Monthly!N343</f>
        <v>5.3271029142699691</v>
      </c>
      <c r="N226">
        <f>GDS_Monthly!C343</f>
        <v>112.09132321905565</v>
      </c>
      <c r="O226">
        <f>GDS_Monthly!F343</f>
        <v>2.2553882485467773</v>
      </c>
      <c r="P226">
        <f>GDS_Monthly!G343</f>
        <v>2.3681637762610221</v>
      </c>
      <c r="Q226">
        <f>GDS_Monthly!T343</f>
        <v>118.73315762514932</v>
      </c>
      <c r="R226">
        <f>GDS_Monthly!V343</f>
        <v>118.27873269884867</v>
      </c>
      <c r="S226">
        <f>GDS_Monthly!W343</f>
        <v>100.84922316811497</v>
      </c>
      <c r="T226">
        <f>GDS_Monthly!X343</f>
        <v>126.10273634640276</v>
      </c>
      <c r="U226">
        <f>GDS_Monthly!AA343</f>
        <v>106.50764285167254</v>
      </c>
      <c r="V226">
        <f>GDS_Monthly!AC343</f>
        <v>126.22738689536985</v>
      </c>
      <c r="W226">
        <f>GDS_Monthly!AE343</f>
        <v>120.90013226054998</v>
      </c>
      <c r="X226">
        <f>GDS_Monthly!AF343</f>
        <v>102.86293658643682</v>
      </c>
      <c r="Y226">
        <f>OECD!B226</f>
        <v>100.68429999999999</v>
      </c>
      <c r="Z226">
        <f>'Monthly Haver'!K229</f>
        <v>110.54371999999999</v>
      </c>
      <c r="AA226" s="8">
        <f>OECD!C226</f>
        <v>117.88</v>
      </c>
    </row>
    <row r="227" spans="1:27">
      <c r="A227" t="str">
        <f>'Monthly Haver'!A230</f>
        <v>Oct-2017</v>
      </c>
      <c r="B227">
        <f>'Monthly Haver'!C230</f>
        <v>54.048900000000003</v>
      </c>
      <c r="C227">
        <f>'Monthly Haver'!D230</f>
        <v>56.6158</v>
      </c>
      <c r="D227">
        <f>'Monthly Haver'!E230</f>
        <v>52.244900000000001</v>
      </c>
      <c r="E227">
        <f>'Monthly Haver'!G230</f>
        <v>52.540300000000002</v>
      </c>
      <c r="F227">
        <f>'Monthly Haver'!H230</f>
        <v>53.287100000000002</v>
      </c>
      <c r="G227">
        <f>'Monthly Haver'!I230</f>
        <v>49.271700000000003</v>
      </c>
      <c r="H227">
        <f>'Monthly Haver'!J230</f>
        <v>54.076300000000003</v>
      </c>
      <c r="I227">
        <f>GDS_Monthly!O344</f>
        <v>55.944709870204576</v>
      </c>
      <c r="J227">
        <f>GDS_Monthly!D344</f>
        <v>126.79304727124399</v>
      </c>
      <c r="K227">
        <f>GDS_Monthly!AH344</f>
        <v>1175.3503416999999</v>
      </c>
      <c r="L227">
        <f>GDS_Monthly!AI344</f>
        <v>1146.2598270999999</v>
      </c>
      <c r="M227">
        <f>GDS_Monthly!N344</f>
        <v>5.2784503558426481</v>
      </c>
      <c r="N227">
        <f>GDS_Monthly!C344</f>
        <v>113.70149486736783</v>
      </c>
      <c r="O227">
        <f>GDS_Monthly!F344</f>
        <v>2.3054006580737569</v>
      </c>
      <c r="P227">
        <f>GDS_Monthly!G344</f>
        <v>2.3457331515358213</v>
      </c>
      <c r="Q227">
        <f>GDS_Monthly!T344</f>
        <v>118.88785626641281</v>
      </c>
      <c r="R227">
        <f>GDS_Monthly!V344</f>
        <v>118.44794961551762</v>
      </c>
      <c r="S227">
        <f>GDS_Monthly!W344</f>
        <v>101.65215499046518</v>
      </c>
      <c r="T227">
        <f>GDS_Monthly!X344</f>
        <v>124.23350854481622</v>
      </c>
      <c r="U227">
        <f>GDS_Monthly!AA344</f>
        <v>105.91542153854203</v>
      </c>
      <c r="V227">
        <f>GDS_Monthly!AC344</f>
        <v>130.79862854661053</v>
      </c>
      <c r="W227">
        <f>GDS_Monthly!AE344</f>
        <v>126.42578520801798</v>
      </c>
      <c r="X227">
        <f>GDS_Monthly!AF344</f>
        <v>100.69767408396871</v>
      </c>
      <c r="Y227">
        <f>OECD!B227</f>
        <v>100.73390000000001</v>
      </c>
      <c r="Z227">
        <f>'Monthly Haver'!K230</f>
        <v>112.14972</v>
      </c>
      <c r="AA227" s="8">
        <f>OECD!C227</f>
        <v>119.31</v>
      </c>
    </row>
    <row r="228" spans="1:27">
      <c r="A228" t="str">
        <f>'Monthly Haver'!A231</f>
        <v>Nov-2017</v>
      </c>
      <c r="B228">
        <f>'Monthly Haver'!C231</f>
        <v>54.5944</v>
      </c>
      <c r="C228">
        <f>'Monthly Haver'!D231</f>
        <v>57.338099999999997</v>
      </c>
      <c r="D228">
        <f>'Monthly Haver'!E231</f>
        <v>53.005000000000003</v>
      </c>
      <c r="E228">
        <f>'Monthly Haver'!G231</f>
        <v>52.634399999999999</v>
      </c>
      <c r="F228">
        <f>'Monthly Haver'!H231</f>
        <v>53.7791</v>
      </c>
      <c r="G228">
        <f>'Monthly Haver'!I231</f>
        <v>49.591099999999997</v>
      </c>
      <c r="H228">
        <f>'Monthly Haver'!J231</f>
        <v>53.702500000000001</v>
      </c>
      <c r="I228">
        <f>GDS_Monthly!O345</f>
        <v>66.418482273786424</v>
      </c>
      <c r="J228">
        <f>GDS_Monthly!D345</f>
        <v>128.2382396695657</v>
      </c>
      <c r="K228">
        <f>GDS_Monthly!AH345</f>
        <v>1221.3375837000001</v>
      </c>
      <c r="L228">
        <f>GDS_Monthly!AI345</f>
        <v>1194.2624181000001</v>
      </c>
      <c r="M228">
        <f>GDS_Monthly!N345</f>
        <v>5.2736972589709081</v>
      </c>
      <c r="N228">
        <f>GDS_Monthly!C345</f>
        <v>113.90126018254537</v>
      </c>
      <c r="O228">
        <f>GDS_Monthly!F345</f>
        <v>2.3531035581330069</v>
      </c>
      <c r="P228">
        <f>GDS_Monthly!G345</f>
        <v>2.3756471065124853</v>
      </c>
      <c r="Q228">
        <f>GDS_Monthly!T345</f>
        <v>119.28011489149675</v>
      </c>
      <c r="R228">
        <f>GDS_Monthly!V345</f>
        <v>118.67650342369393</v>
      </c>
      <c r="S228">
        <f>GDS_Monthly!W345</f>
        <v>102.29060043898986</v>
      </c>
      <c r="T228">
        <f>GDS_Monthly!X345</f>
        <v>125.77287629150582</v>
      </c>
      <c r="U228">
        <f>GDS_Monthly!AA345</f>
        <v>106.5297532940393</v>
      </c>
      <c r="V228">
        <f>GDS_Monthly!AC345</f>
        <v>141.56237619991745</v>
      </c>
      <c r="W228">
        <f>GDS_Monthly!AE345</f>
        <v>138.15443056847568</v>
      </c>
      <c r="X228">
        <f>GDS_Monthly!AF345</f>
        <v>101.79668493039823</v>
      </c>
      <c r="Y228">
        <f>OECD!B228</f>
        <v>100.76479999999999</v>
      </c>
      <c r="Z228">
        <f>'Monthly Haver'!K231</f>
        <v>112.28270999999999</v>
      </c>
      <c r="AA228" s="8">
        <f>OECD!C228</f>
        <v>119.63</v>
      </c>
    </row>
    <row r="229" spans="1:27">
      <c r="A229" t="str">
        <f>'Monthly Haver'!A232</f>
        <v>Dec-2017</v>
      </c>
      <c r="B229">
        <f>'Monthly Haver'!C232</f>
        <v>54.756599999999999</v>
      </c>
      <c r="C229">
        <f>'Monthly Haver'!D232</f>
        <v>56.965800000000002</v>
      </c>
      <c r="D229">
        <f>'Monthly Haver'!E232</f>
        <v>53.271700000000003</v>
      </c>
      <c r="E229">
        <f>'Monthly Haver'!G232</f>
        <v>52.792000000000002</v>
      </c>
      <c r="F229">
        <f>'Monthly Haver'!H232</f>
        <v>54.263199999999998</v>
      </c>
      <c r="G229">
        <f>'Monthly Haver'!I232</f>
        <v>49.064900000000002</v>
      </c>
      <c r="H229">
        <f>'Monthly Haver'!J232</f>
        <v>53.847900000000003</v>
      </c>
      <c r="I229">
        <f>GDS_Monthly!O346</f>
        <v>66.996760112959791</v>
      </c>
      <c r="J229">
        <f>GDS_Monthly!D346</f>
        <v>128.992932006448</v>
      </c>
      <c r="K229">
        <f>GDS_Monthly!AH346</f>
        <v>1234.9466457000001</v>
      </c>
      <c r="L229">
        <f>GDS_Monthly!AI346</f>
        <v>1210.5316720999999</v>
      </c>
      <c r="M229">
        <f>GDS_Monthly!N346</f>
        <v>5.2338106523358316</v>
      </c>
      <c r="N229">
        <f>GDS_Monthly!C346</f>
        <v>113.13552773950454</v>
      </c>
      <c r="O229">
        <f>GDS_Monthly!F346</f>
        <v>2.3622603289066952</v>
      </c>
      <c r="P229">
        <f>GDS_Monthly!G346</f>
        <v>2.4243603220198797</v>
      </c>
      <c r="Q229">
        <f>GDS_Monthly!T346</f>
        <v>119.57746560521497</v>
      </c>
      <c r="R229">
        <f>GDS_Monthly!V346</f>
        <v>118.9184659063546</v>
      </c>
      <c r="S229">
        <f>GDS_Monthly!W346</f>
        <v>102.2817265025389</v>
      </c>
      <c r="T229">
        <f>GDS_Monthly!X346</f>
        <v>130.22904947273202</v>
      </c>
      <c r="U229">
        <f>GDS_Monthly!AA346</f>
        <v>107.1360864623534</v>
      </c>
      <c r="V229">
        <f>GDS_Monthly!AC346</f>
        <v>144.91449093229207</v>
      </c>
      <c r="W229">
        <f>GDS_Monthly!AE346</f>
        <v>140.33619885701941</v>
      </c>
      <c r="X229">
        <f>GDS_Monthly!AF346</f>
        <v>104.1630012820321</v>
      </c>
      <c r="Y229">
        <f>OECD!B229</f>
        <v>100.7754</v>
      </c>
      <c r="Z229">
        <f>'Monthly Haver'!K232</f>
        <v>111.53635</v>
      </c>
      <c r="AA229" s="8">
        <f>OECD!C229</f>
        <v>120.37</v>
      </c>
    </row>
    <row r="230" spans="1:27">
      <c r="A230" t="str">
        <f>'Monthly Haver'!A233</f>
        <v>Jan-2018</v>
      </c>
      <c r="B230">
        <f>'Monthly Haver'!C233</f>
        <v>55.066400000000002</v>
      </c>
      <c r="C230">
        <f>'Monthly Haver'!D233</f>
        <v>57.570900000000002</v>
      </c>
      <c r="D230">
        <f>'Monthly Haver'!E233</f>
        <v>53.2879</v>
      </c>
      <c r="E230">
        <f>'Monthly Haver'!G233</f>
        <v>52.801900000000003</v>
      </c>
      <c r="F230">
        <f>'Monthly Haver'!H233</f>
        <v>54.156700000000001</v>
      </c>
      <c r="G230">
        <f>'Monthly Haver'!I233</f>
        <v>49.586100000000002</v>
      </c>
      <c r="H230">
        <f>'Monthly Haver'!J233</f>
        <v>54.203800000000001</v>
      </c>
      <c r="I230">
        <f>GDS_Monthly!O347</f>
        <v>66.557545496285428</v>
      </c>
      <c r="J230">
        <f>GDS_Monthly!D347</f>
        <v>128.84019505454739</v>
      </c>
      <c r="K230">
        <f>GDS_Monthly!AH347</f>
        <v>1269.7887357</v>
      </c>
      <c r="L230">
        <f>GDS_Monthly!AI347</f>
        <v>1224.6154931000001</v>
      </c>
      <c r="M230">
        <f>GDS_Monthly!N347</f>
        <v>5.2181829898344239</v>
      </c>
      <c r="N230">
        <f>GDS_Monthly!C347</f>
        <v>113.97661260176686</v>
      </c>
      <c r="O230">
        <f>GDS_Monthly!F347</f>
        <v>2.4175878161226154</v>
      </c>
      <c r="P230">
        <f>GDS_Monthly!G347</f>
        <v>2.434888858993733</v>
      </c>
      <c r="Q230">
        <f>GDS_Monthly!T347</f>
        <v>119.95463641855272</v>
      </c>
      <c r="R230">
        <f>GDS_Monthly!V347</f>
        <v>119.13116651999161</v>
      </c>
      <c r="S230">
        <f>GDS_Monthly!W347</f>
        <v>105.81764855552785</v>
      </c>
      <c r="T230">
        <f>GDS_Monthly!X347</f>
        <v>136.61150821375409</v>
      </c>
      <c r="U230">
        <f>GDS_Monthly!AA347</f>
        <v>111.6636784564692</v>
      </c>
      <c r="V230">
        <f>GDS_Monthly!AC347</f>
        <v>156.13208576856292</v>
      </c>
      <c r="W230">
        <f>GDS_Monthly!AE347</f>
        <v>149.21765589818671</v>
      </c>
      <c r="X230">
        <f>GDS_Monthly!AF347</f>
        <v>109.77127671396141</v>
      </c>
      <c r="Y230">
        <f>OECD!B230</f>
        <v>100.76860000000001</v>
      </c>
      <c r="Z230">
        <f>'Monthly Haver'!K233</f>
        <v>108.9807</v>
      </c>
      <c r="AA230" s="8">
        <f>OECD!C230</f>
        <v>121.73</v>
      </c>
    </row>
    <row r="231" spans="1:27">
      <c r="A231" t="str">
        <f>'Monthly Haver'!A234</f>
        <v>Feb-2018</v>
      </c>
      <c r="B231">
        <f>'Monthly Haver'!C234</f>
        <v>55.298299999999998</v>
      </c>
      <c r="C231">
        <f>'Monthly Haver'!D234</f>
        <v>57.496299999999998</v>
      </c>
      <c r="D231">
        <f>'Monthly Haver'!E234</f>
        <v>52.732999999999997</v>
      </c>
      <c r="E231">
        <f>'Monthly Haver'!G234</f>
        <v>52.883200000000002</v>
      </c>
      <c r="F231">
        <f>'Monthly Haver'!H234</f>
        <v>53.923499999999997</v>
      </c>
      <c r="G231">
        <f>'Monthly Haver'!I234</f>
        <v>50.361699999999999</v>
      </c>
      <c r="H231">
        <f>'Monthly Haver'!J234</f>
        <v>54.813299999999998</v>
      </c>
      <c r="I231">
        <f>GDS_Monthly!O348</f>
        <v>66.56724925172422</v>
      </c>
      <c r="J231">
        <f>GDS_Monthly!D348</f>
        <v>129.03415090690868</v>
      </c>
      <c r="K231">
        <f>GDS_Monthly!AH348</f>
        <v>1280.2489547</v>
      </c>
      <c r="L231">
        <f>GDS_Monthly!AI348</f>
        <v>1253.5151401000001</v>
      </c>
      <c r="M231">
        <f>GDS_Monthly!N348</f>
        <v>5.2060227716779481</v>
      </c>
      <c r="N231">
        <f>GDS_Monthly!C348</f>
        <v>115.05977763547132</v>
      </c>
      <c r="O231">
        <f>GDS_Monthly!F348</f>
        <v>2.6609474579430445</v>
      </c>
      <c r="P231">
        <f>GDS_Monthly!G348</f>
        <v>2.4220119959386848</v>
      </c>
      <c r="Q231">
        <f>GDS_Monthly!T348</f>
        <v>120.16684619595088</v>
      </c>
      <c r="R231">
        <f>GDS_Monthly!V348</f>
        <v>119.38522678807331</v>
      </c>
      <c r="S231">
        <f>GDS_Monthly!W348</f>
        <v>105.89334425494337</v>
      </c>
      <c r="T231">
        <f>GDS_Monthly!X348</f>
        <v>137.61906552022822</v>
      </c>
      <c r="U231">
        <f>GDS_Monthly!AA348</f>
        <v>112.01644573400873</v>
      </c>
      <c r="V231">
        <f>GDS_Monthly!AC348</f>
        <v>148.23869328013834</v>
      </c>
      <c r="W231">
        <f>GDS_Monthly!AE348</f>
        <v>141.80523389164009</v>
      </c>
      <c r="X231">
        <f>GDS_Monthly!AF348</f>
        <v>110.35302939193006</v>
      </c>
      <c r="Y231">
        <f>OECD!B231</f>
        <v>100.744</v>
      </c>
      <c r="Z231">
        <f>'Monthly Haver'!K234</f>
        <v>109.01333</v>
      </c>
      <c r="AA231" s="8">
        <f>OECD!C231</f>
        <v>121.82</v>
      </c>
    </row>
    <row r="232" spans="1:27">
      <c r="A232" t="str">
        <f>'Monthly Haver'!A235</f>
        <v>Mar-2018</v>
      </c>
      <c r="B232">
        <f>'Monthly Haver'!C235</f>
        <v>54.091700000000003</v>
      </c>
      <c r="C232">
        <f>'Monthly Haver'!D235</f>
        <v>56.3887</v>
      </c>
      <c r="D232">
        <f>'Monthly Haver'!E235</f>
        <v>51.641800000000003</v>
      </c>
      <c r="E232">
        <f>'Monthly Haver'!G235</f>
        <v>52.671599999999998</v>
      </c>
      <c r="F232">
        <f>'Monthly Haver'!H235</f>
        <v>53.1419</v>
      </c>
      <c r="G232">
        <f>'Monthly Haver'!I235</f>
        <v>49.684800000000003</v>
      </c>
      <c r="H232">
        <f>'Monthly Haver'!J235</f>
        <v>53.213200000000001</v>
      </c>
      <c r="I232">
        <f>GDS_Monthly!O349</f>
        <v>66.639686745880525</v>
      </c>
      <c r="J232">
        <f>GDS_Monthly!D349</f>
        <v>129.38188732268711</v>
      </c>
      <c r="K232">
        <f>GDS_Monthly!AH349</f>
        <v>1274.3290717</v>
      </c>
      <c r="L232">
        <f>GDS_Monthly!AI349</f>
        <v>1239.6688400999999</v>
      </c>
      <c r="M232">
        <f>GDS_Monthly!N349</f>
        <v>5.1913001252058066</v>
      </c>
      <c r="N232">
        <f>GDS_Monthly!C349</f>
        <v>114.62883838965716</v>
      </c>
      <c r="O232">
        <f>GDS_Monthly!F349</f>
        <v>2.589119651590305</v>
      </c>
      <c r="P232">
        <f>GDS_Monthly!G349</f>
        <v>2.4765709401841707</v>
      </c>
      <c r="Q232">
        <f>GDS_Monthly!T349</f>
        <v>120.20752205376672</v>
      </c>
      <c r="R232">
        <f>GDS_Monthly!V349</f>
        <v>119.56455723966992</v>
      </c>
      <c r="S232">
        <f>GDS_Monthly!W349</f>
        <v>106.90542239454022</v>
      </c>
      <c r="T232">
        <f>GDS_Monthly!X349</f>
        <v>132.46644058924042</v>
      </c>
      <c r="U232">
        <f>GDS_Monthly!AA349</f>
        <v>111.42711537578381</v>
      </c>
      <c r="V232">
        <f>GDS_Monthly!AC349</f>
        <v>147.97158536221465</v>
      </c>
      <c r="W232">
        <f>GDS_Monthly!AE349</f>
        <v>143.343643107487</v>
      </c>
      <c r="X232">
        <f>GDS_Monthly!AF349</f>
        <v>110.59138830262094</v>
      </c>
      <c r="Y232">
        <f>OECD!B232</f>
        <v>100.69199999999999</v>
      </c>
      <c r="Z232">
        <f>'Monthly Haver'!K235</f>
        <v>108.83337</v>
      </c>
      <c r="AA232" s="8">
        <f>OECD!C232</f>
        <v>121.99</v>
      </c>
    </row>
    <row r="233" spans="1:27">
      <c r="A233" t="str">
        <f>'Monthly Haver'!A236</f>
        <v>Apr-2018</v>
      </c>
      <c r="B233">
        <f>'Monthly Haver'!C236</f>
        <v>54.901200000000003</v>
      </c>
      <c r="C233">
        <f>'Monthly Haver'!D236</f>
        <v>56.647199999999998</v>
      </c>
      <c r="D233">
        <f>'Monthly Haver'!E236</f>
        <v>51.081800000000001</v>
      </c>
      <c r="E233">
        <f>'Monthly Haver'!G236</f>
        <v>52.783299999999997</v>
      </c>
      <c r="F233">
        <f>'Monthly Haver'!H236</f>
        <v>53.257100000000001</v>
      </c>
      <c r="G233">
        <f>'Monthly Haver'!I236</f>
        <v>49.6995</v>
      </c>
      <c r="H233">
        <f>'Monthly Haver'!J236</f>
        <v>53.790799999999997</v>
      </c>
      <c r="I233">
        <f>GDS_Monthly!O350</f>
        <v>65.026294611286545</v>
      </c>
      <c r="J233">
        <f>GDS_Monthly!D350</f>
        <v>129.79625433488971</v>
      </c>
      <c r="K233">
        <f>GDS_Monthly!AH350</f>
        <v>1269.0644897</v>
      </c>
      <c r="L233">
        <f>GDS_Monthly!AI350</f>
        <v>1243.2323630999999</v>
      </c>
      <c r="M233">
        <f>GDS_Monthly!N350</f>
        <v>5.173212880336199</v>
      </c>
      <c r="N233">
        <f>GDS_Monthly!C350</f>
        <v>114.31807517376878</v>
      </c>
      <c r="O233">
        <f>GDS_Monthly!F350</f>
        <v>2.5855925092365397</v>
      </c>
      <c r="P233">
        <f>GDS_Monthly!G350</f>
        <v>2.4791946867892358</v>
      </c>
      <c r="Q233">
        <f>GDS_Monthly!T350</f>
        <v>120.40723585870259</v>
      </c>
      <c r="R233">
        <f>GDS_Monthly!V350</f>
        <v>119.78533181669697</v>
      </c>
      <c r="S233">
        <f>GDS_Monthly!W350</f>
        <v>106.71889200595579</v>
      </c>
      <c r="T233">
        <f>GDS_Monthly!X350</f>
        <v>133.89184750268973</v>
      </c>
      <c r="U233">
        <f>GDS_Monthly!AA350</f>
        <v>111.51372500041472</v>
      </c>
      <c r="V233">
        <f>GDS_Monthly!AC350</f>
        <v>152.74296883599979</v>
      </c>
      <c r="W233">
        <f>GDS_Monthly!AE350</f>
        <v>153.86468410190969</v>
      </c>
      <c r="X233">
        <f>GDS_Monthly!AF350</f>
        <v>109.69182929370605</v>
      </c>
      <c r="Y233">
        <f>OECD!B233</f>
        <v>100.61539999999999</v>
      </c>
      <c r="Z233">
        <f>'Monthly Haver'!K236</f>
        <v>108.83994</v>
      </c>
      <c r="AA233" s="8">
        <f>OECD!C233</f>
        <v>122.11</v>
      </c>
    </row>
    <row r="234" spans="1:27">
      <c r="A234" t="str">
        <f>'Monthly Haver'!A237</f>
        <v>May-2018</v>
      </c>
      <c r="B234">
        <f>'Monthly Haver'!C237</f>
        <v>54.132399999999997</v>
      </c>
      <c r="C234">
        <f>'Monthly Haver'!D237</f>
        <v>57.509500000000003</v>
      </c>
      <c r="D234">
        <f>'Monthly Haver'!E237</f>
        <v>50.798099999999998</v>
      </c>
      <c r="E234">
        <f>'Monthly Haver'!G237</f>
        <v>52.5334</v>
      </c>
      <c r="F234">
        <f>'Monthly Haver'!H237</f>
        <v>52.965600000000002</v>
      </c>
      <c r="G234">
        <f>'Monthly Haver'!I237</f>
        <v>49.470799999999997</v>
      </c>
      <c r="H234">
        <f>'Monthly Haver'!J237</f>
        <v>54.299100000000003</v>
      </c>
      <c r="I234">
        <f>GDS_Monthly!O351</f>
        <v>65.710873176499931</v>
      </c>
      <c r="J234">
        <f>GDS_Monthly!D351</f>
        <v>129.67168265557788</v>
      </c>
      <c r="K234">
        <f>GDS_Monthly!AH351</f>
        <v>1285.0678507</v>
      </c>
      <c r="L234">
        <f>GDS_Monthly!AI351</f>
        <v>1241.1169970999999</v>
      </c>
      <c r="M234">
        <f>GDS_Monthly!N351</f>
        <v>5.1363173641509983</v>
      </c>
      <c r="N234">
        <f>GDS_Monthly!C351</f>
        <v>115.22310345230841</v>
      </c>
      <c r="O234">
        <f>GDS_Monthly!F351</f>
        <v>2.5627804212268384</v>
      </c>
      <c r="P234">
        <f>GDS_Monthly!G351</f>
        <v>2.5096235115354806</v>
      </c>
      <c r="Q234">
        <f>GDS_Monthly!T351</f>
        <v>120.75004563790766</v>
      </c>
      <c r="R234">
        <f>GDS_Monthly!V351</f>
        <v>120.0571430101474</v>
      </c>
      <c r="S234">
        <f>GDS_Monthly!W351</f>
        <v>108.3625263785131</v>
      </c>
      <c r="T234">
        <f>GDS_Monthly!X351</f>
        <v>134.34934249560143</v>
      </c>
      <c r="U234">
        <f>GDS_Monthly!AA351</f>
        <v>111.94435394812878</v>
      </c>
      <c r="V234">
        <f>GDS_Monthly!AC351</f>
        <v>163.58003250947678</v>
      </c>
      <c r="W234">
        <f>GDS_Monthly!AE351</f>
        <v>167.07797555754371</v>
      </c>
      <c r="X234">
        <f>GDS_Monthly!AF351</f>
        <v>110.07146504973407</v>
      </c>
      <c r="Y234">
        <f>OECD!B234</f>
        <v>100.52889999999999</v>
      </c>
      <c r="Z234">
        <f>'Monthly Haver'!K237</f>
        <v>112.58188</v>
      </c>
      <c r="AA234" s="8">
        <f>OECD!C234</f>
        <v>121.97</v>
      </c>
    </row>
    <row r="235" spans="1:27">
      <c r="A235" t="str">
        <f>'Monthly Haver'!A238</f>
        <v>Jun-2018</v>
      </c>
      <c r="B235">
        <f>'Monthly Haver'!C238</f>
        <v>54.278199999999998</v>
      </c>
      <c r="C235">
        <f>'Monthly Haver'!D238</f>
        <v>58.612499999999997</v>
      </c>
      <c r="D235">
        <f>'Monthly Haver'!E238</f>
        <v>50.528599999999997</v>
      </c>
      <c r="E235">
        <f>'Monthly Haver'!G238</f>
        <v>52.684699999999999</v>
      </c>
      <c r="F235">
        <f>'Monthly Haver'!H238</f>
        <v>52.8444</v>
      </c>
      <c r="G235">
        <f>'Monthly Haver'!I238</f>
        <v>49.148499999999999</v>
      </c>
      <c r="H235">
        <f>'Monthly Haver'!J238</f>
        <v>54.6205</v>
      </c>
      <c r="I235">
        <f>GDS_Monthly!O352</f>
        <v>66.146747021973994</v>
      </c>
      <c r="J235">
        <f>GDS_Monthly!D352</f>
        <v>130.0145560307912</v>
      </c>
      <c r="K235">
        <f>GDS_Monthly!AH352</f>
        <v>1271.3739187000001</v>
      </c>
      <c r="L235">
        <f>GDS_Monthly!AI352</f>
        <v>1243.3567740999999</v>
      </c>
      <c r="M235">
        <f>GDS_Monthly!N352</f>
        <v>5.1570442963648615</v>
      </c>
      <c r="N235">
        <f>GDS_Monthly!C352</f>
        <v>114.40700799975988</v>
      </c>
      <c r="O235">
        <f>GDS_Monthly!F352</f>
        <v>2.6146298460615247</v>
      </c>
      <c r="P235">
        <f>GDS_Monthly!G352</f>
        <v>2.7313957080946452</v>
      </c>
      <c r="Q235">
        <f>GDS_Monthly!T352</f>
        <v>121.0700595602213</v>
      </c>
      <c r="R235">
        <f>GDS_Monthly!V352</f>
        <v>120.22670979852354</v>
      </c>
      <c r="S235">
        <f>GDS_Monthly!W352</f>
        <v>104.08010576570329</v>
      </c>
      <c r="T235">
        <f>GDS_Monthly!X352</f>
        <v>135.3144991089612</v>
      </c>
      <c r="U235">
        <f>GDS_Monthly!AA352</f>
        <v>109.87141919809292</v>
      </c>
      <c r="V235">
        <f>GDS_Monthly!AC352</f>
        <v>163.92932391484666</v>
      </c>
      <c r="W235">
        <f>GDS_Monthly!AE352</f>
        <v>165.23983489110779</v>
      </c>
      <c r="X235">
        <f>GDS_Monthly!AF352</f>
        <v>110.54823964239554</v>
      </c>
      <c r="Y235">
        <f>OECD!B235</f>
        <v>100.4348</v>
      </c>
      <c r="Z235">
        <f>'Monthly Haver'!K238</f>
        <v>114.70826</v>
      </c>
      <c r="AA235" s="8">
        <f>OECD!C235</f>
        <v>122.3</v>
      </c>
    </row>
    <row r="236" spans="1:27">
      <c r="A236" t="str">
        <f>'Monthly Haver'!A239</f>
        <v>Jul-2018</v>
      </c>
      <c r="B236">
        <f>'Monthly Haver'!C239</f>
        <v>53.667000000000002</v>
      </c>
      <c r="C236">
        <f>'Monthly Haver'!D239</f>
        <v>57.9129</v>
      </c>
      <c r="D236">
        <f>'Monthly Haver'!E239</f>
        <v>50.311100000000003</v>
      </c>
      <c r="E236">
        <f>'Monthly Haver'!G239</f>
        <v>52.465600000000002</v>
      </c>
      <c r="F236">
        <f>'Monthly Haver'!H239</f>
        <v>52.6113</v>
      </c>
      <c r="G236">
        <f>'Monthly Haver'!I239</f>
        <v>49.083300000000001</v>
      </c>
      <c r="H236">
        <f>'Monthly Haver'!J239</f>
        <v>53.999499999999998</v>
      </c>
      <c r="I236">
        <f>GDS_Monthly!O353</f>
        <v>66.576414935618573</v>
      </c>
      <c r="J236">
        <f>GDS_Monthly!D353</f>
        <v>130.48403421885669</v>
      </c>
      <c r="K236">
        <f>GDS_Monthly!AH353</f>
        <v>1288.8675777000001</v>
      </c>
      <c r="L236">
        <f>GDS_Monthly!AI353</f>
        <v>1232.8455021</v>
      </c>
      <c r="M236">
        <f>GDS_Monthly!N353</f>
        <v>5.1144416698547248</v>
      </c>
      <c r="N236">
        <f>GDS_Monthly!C353</f>
        <v>114.52264587479399</v>
      </c>
      <c r="O236">
        <f>GDS_Monthly!F353</f>
        <v>2.5681535663004058</v>
      </c>
      <c r="P236">
        <f>GDS_Monthly!G353</f>
        <v>2.782346414088011</v>
      </c>
      <c r="Q236">
        <f>GDS_Monthly!T353</f>
        <v>121.34907656418908</v>
      </c>
      <c r="R236">
        <f>GDS_Monthly!V353</f>
        <v>120.48863867697909</v>
      </c>
      <c r="S236">
        <f>GDS_Monthly!W353</f>
        <v>101.33013955678165</v>
      </c>
      <c r="T236">
        <f>GDS_Monthly!X353</f>
        <v>126.90834139620853</v>
      </c>
      <c r="U236">
        <f>GDS_Monthly!AA353</f>
        <v>106.07895398769128</v>
      </c>
      <c r="V236">
        <f>GDS_Monthly!AC353</f>
        <v>165.27325628990255</v>
      </c>
      <c r="W236">
        <f>GDS_Monthly!AE353</f>
        <v>167.91817919298322</v>
      </c>
      <c r="X236">
        <f>GDS_Monthly!AF353</f>
        <v>108.61766004526496</v>
      </c>
      <c r="Y236">
        <f>OECD!B236</f>
        <v>100.3302</v>
      </c>
      <c r="Z236">
        <f>'Monthly Haver'!K239</f>
        <v>115.09818</v>
      </c>
      <c r="AA236" s="8">
        <f>OECD!C236</f>
        <v>122.38</v>
      </c>
    </row>
    <row r="237" spans="1:27">
      <c r="A237" t="str">
        <f>'Monthly Haver'!A240</f>
        <v>Aug-2018</v>
      </c>
      <c r="B237">
        <f>'Monthly Haver'!C240</f>
        <v>53.535800000000002</v>
      </c>
      <c r="C237">
        <f>'Monthly Haver'!D240</f>
        <v>57.6372</v>
      </c>
      <c r="D237">
        <f>'Monthly Haver'!E240</f>
        <v>50.093899999999998</v>
      </c>
      <c r="E237">
        <f>'Monthly Haver'!G240</f>
        <v>52.3367</v>
      </c>
      <c r="F237">
        <f>'Monthly Haver'!H240</f>
        <v>52.409300000000002</v>
      </c>
      <c r="G237">
        <f>'Monthly Haver'!I240</f>
        <v>49.187199999999997</v>
      </c>
      <c r="H237">
        <f>'Monthly Haver'!J240</f>
        <v>53.475999999999999</v>
      </c>
      <c r="I237">
        <f>GDS_Monthly!O354</f>
        <v>67.233221066165399</v>
      </c>
      <c r="J237">
        <f>GDS_Monthly!D354</f>
        <v>131.28371445204075</v>
      </c>
      <c r="K237">
        <f>GDS_Monthly!AH354</f>
        <v>1288.9983027000001</v>
      </c>
      <c r="L237">
        <f>GDS_Monthly!AI354</f>
        <v>1241.4495810999999</v>
      </c>
      <c r="M237">
        <f>GDS_Monthly!N354</f>
        <v>5.122086442716042</v>
      </c>
      <c r="N237">
        <f>GDS_Monthly!C354</f>
        <v>115.64650511237886</v>
      </c>
      <c r="O237">
        <f>GDS_Monthly!F354</f>
        <v>2.6332025682381874</v>
      </c>
      <c r="P237">
        <f>GDS_Monthly!G354</f>
        <v>2.8185011424488242</v>
      </c>
      <c r="Q237">
        <f>GDS_Monthly!T354</f>
        <v>121.67873046992264</v>
      </c>
      <c r="R237">
        <f>GDS_Monthly!V354</f>
        <v>120.70055462329883</v>
      </c>
      <c r="S237">
        <f>GDS_Monthly!W354</f>
        <v>97.361344418990285</v>
      </c>
      <c r="T237">
        <f>GDS_Monthly!X354</f>
        <v>125.09954079090188</v>
      </c>
      <c r="U237">
        <f>GDS_Monthly!AA354</f>
        <v>103.12717201939572</v>
      </c>
      <c r="V237">
        <f>GDS_Monthly!AC354</f>
        <v>163.92208569809767</v>
      </c>
      <c r="W237">
        <f>GDS_Monthly!AE354</f>
        <v>165.28162835852461</v>
      </c>
      <c r="X237">
        <f>GDS_Monthly!AF354</f>
        <v>105.97916883833585</v>
      </c>
      <c r="Y237">
        <f>OECD!B237</f>
        <v>100.2107</v>
      </c>
      <c r="Z237">
        <f>'Monthly Haver'!K240</f>
        <v>115.68134999999999</v>
      </c>
      <c r="AA237" s="8">
        <f>OECD!C237</f>
        <v>122.46</v>
      </c>
    </row>
    <row r="238" spans="1:27">
      <c r="A238" t="str">
        <f>'Monthly Haver'!A241</f>
        <v>Sep-2018</v>
      </c>
      <c r="B238">
        <f>'Monthly Haver'!C241</f>
        <v>53.474400000000003</v>
      </c>
      <c r="C238">
        <f>'Monthly Haver'!D241</f>
        <v>57.948300000000003</v>
      </c>
      <c r="D238">
        <f>'Monthly Haver'!E241</f>
        <v>49.692500000000003</v>
      </c>
      <c r="E238">
        <f>'Monthly Haver'!G241</f>
        <v>52.619</v>
      </c>
      <c r="F238">
        <f>'Monthly Haver'!H241</f>
        <v>52.030900000000003</v>
      </c>
      <c r="G238">
        <f>'Monthly Haver'!I241</f>
        <v>49.222799999999999</v>
      </c>
      <c r="H238">
        <f>'Monthly Haver'!J241</f>
        <v>52.943899999999999</v>
      </c>
      <c r="I238">
        <f>GDS_Monthly!O355</f>
        <v>67.486167748493898</v>
      </c>
      <c r="J238">
        <f>GDS_Monthly!D355</f>
        <v>130.97849370040896</v>
      </c>
      <c r="K238">
        <f>GDS_Monthly!AH355</f>
        <v>1273.9350626999999</v>
      </c>
      <c r="L238">
        <f>GDS_Monthly!AI355</f>
        <v>1239.0019440999999</v>
      </c>
      <c r="M238">
        <f>GDS_Monthly!N355</f>
        <v>5.0991849533814646</v>
      </c>
      <c r="N238">
        <f>GDS_Monthly!C355</f>
        <v>115.42221854912434</v>
      </c>
      <c r="O238">
        <f>GDS_Monthly!F355</f>
        <v>2.5832725471443103</v>
      </c>
      <c r="P238">
        <f>GDS_Monthly!G355</f>
        <v>3.0612361936767147</v>
      </c>
      <c r="Q238">
        <f>GDS_Monthly!T355</f>
        <v>121.99553767711573</v>
      </c>
      <c r="R238">
        <f>GDS_Monthly!V355</f>
        <v>120.96660996527055</v>
      </c>
      <c r="S238">
        <f>GDS_Monthly!W355</f>
        <v>98.62668218060314</v>
      </c>
      <c r="T238">
        <f>GDS_Monthly!X355</f>
        <v>124.52451501606619</v>
      </c>
      <c r="U238">
        <f>GDS_Monthly!AA355</f>
        <v>103.62346474614098</v>
      </c>
      <c r="V238">
        <f>GDS_Monthly!AC355</f>
        <v>174.08774663215516</v>
      </c>
      <c r="W238">
        <f>GDS_Monthly!AE355</f>
        <v>174.66010102932151</v>
      </c>
      <c r="X238">
        <f>GDS_Monthly!AF355</f>
        <v>104.79703834732918</v>
      </c>
      <c r="Y238">
        <f>OECD!B238</f>
        <v>100.0753</v>
      </c>
      <c r="Z238">
        <f>'Monthly Haver'!K241</f>
        <v>115.10071000000001</v>
      </c>
      <c r="AA238" s="8">
        <f>OECD!C238</f>
        <v>123.1</v>
      </c>
    </row>
    <row r="239" spans="1:27">
      <c r="A239" t="str">
        <f>'Monthly Haver'!A242</f>
        <v>Oct-2018</v>
      </c>
      <c r="B239">
        <f>'Monthly Haver'!C242</f>
        <v>53.4238</v>
      </c>
      <c r="C239">
        <f>'Monthly Haver'!D242</f>
        <v>58.350200000000001</v>
      </c>
      <c r="D239">
        <f>'Monthly Haver'!E242</f>
        <v>49.937899999999999</v>
      </c>
      <c r="E239">
        <f>'Monthly Haver'!G242</f>
        <v>52.4786</v>
      </c>
      <c r="F239">
        <f>'Monthly Haver'!H242</f>
        <v>51.894500000000001</v>
      </c>
      <c r="G239">
        <f>'Monthly Haver'!I242</f>
        <v>49.386000000000003</v>
      </c>
      <c r="H239">
        <f>'Monthly Haver'!J242</f>
        <v>53.430100000000003</v>
      </c>
      <c r="I239">
        <f>GDS_Monthly!O356</f>
        <v>68.119847342080163</v>
      </c>
      <c r="J239">
        <f>GDS_Monthly!D356</f>
        <v>131.71936190991667</v>
      </c>
      <c r="K239">
        <f>GDS_Monthly!AH356</f>
        <v>1307.7698637000001</v>
      </c>
      <c r="L239">
        <f>GDS_Monthly!AI356</f>
        <v>1254.1486030999999</v>
      </c>
      <c r="M239">
        <f>GDS_Monthly!N356</f>
        <v>5.1258965109021624</v>
      </c>
      <c r="N239">
        <f>GDS_Monthly!C356</f>
        <v>115.859384894372</v>
      </c>
      <c r="O239">
        <f>GDS_Monthly!F356</f>
        <v>2.7615473496242027</v>
      </c>
      <c r="P239">
        <f>GDS_Monthly!G356</f>
        <v>3.1159618809788845</v>
      </c>
      <c r="Q239">
        <f>GDS_Monthly!T356</f>
        <v>122.2992767507407</v>
      </c>
      <c r="R239">
        <f>GDS_Monthly!V356</f>
        <v>121.20696270392799</v>
      </c>
      <c r="S239">
        <f>GDS_Monthly!W356</f>
        <v>100.42137832663246</v>
      </c>
      <c r="T239">
        <f>GDS_Monthly!X356</f>
        <v>127.68475662017556</v>
      </c>
      <c r="U239">
        <f>GDS_Monthly!AA356</f>
        <v>105.53431014452546</v>
      </c>
      <c r="V239">
        <f>GDS_Monthly!AC356</f>
        <v>173.77068540608778</v>
      </c>
      <c r="W239">
        <f>GDS_Monthly!AE356</f>
        <v>179.05631258157891</v>
      </c>
      <c r="X239">
        <f>GDS_Monthly!AF356</f>
        <v>103.14671798088915</v>
      </c>
      <c r="Y239">
        <f>OECD!B239</f>
        <v>99.931820000000002</v>
      </c>
      <c r="Z239">
        <f>'Monthly Haver'!K242</f>
        <v>116.21906</v>
      </c>
      <c r="AA239" s="8">
        <f>OECD!C239</f>
        <v>122.65</v>
      </c>
    </row>
    <row r="240" spans="1:27">
      <c r="A240" t="str">
        <f>'Monthly Haver'!A243</f>
        <v>Nov-2018</v>
      </c>
      <c r="B240">
        <f>'Monthly Haver'!C243</f>
        <v>53.1571</v>
      </c>
      <c r="C240">
        <f>'Monthly Haver'!D243</f>
        <v>56.887799999999999</v>
      </c>
      <c r="D240">
        <f>'Monthly Haver'!E243</f>
        <v>49.910499999999999</v>
      </c>
      <c r="E240">
        <f>'Monthly Haver'!G243</f>
        <v>51.945700000000002</v>
      </c>
      <c r="F240">
        <f>'Monthly Haver'!H243</f>
        <v>51.820700000000002</v>
      </c>
      <c r="G240">
        <f>'Monthly Haver'!I243</f>
        <v>50.162100000000002</v>
      </c>
      <c r="H240">
        <f>'Monthly Haver'!J243</f>
        <v>53.726199999999999</v>
      </c>
      <c r="I240">
        <f>GDS_Monthly!O357</f>
        <v>68.57583011697929</v>
      </c>
      <c r="J240">
        <f>GDS_Monthly!D357</f>
        <v>131.39965955976544</v>
      </c>
      <c r="K240">
        <f>GDS_Monthly!AH357</f>
        <v>1264.1048106999999</v>
      </c>
      <c r="L240">
        <f>GDS_Monthly!AI357</f>
        <v>1229.0979560999999</v>
      </c>
      <c r="M240">
        <f>GDS_Monthly!N357</f>
        <v>5.1272569109659978</v>
      </c>
      <c r="N240">
        <f>GDS_Monthly!C357</f>
        <v>115.38154851604256</v>
      </c>
      <c r="O240">
        <f>GDS_Monthly!F357</f>
        <v>2.6907932852655558</v>
      </c>
      <c r="P240">
        <f>GDS_Monthly!G357</f>
        <v>3.1137971413538739</v>
      </c>
      <c r="Q240">
        <f>GDS_Monthly!T357</f>
        <v>122.24205831957597</v>
      </c>
      <c r="R240">
        <f>GDS_Monthly!V357</f>
        <v>121.3595440484403</v>
      </c>
      <c r="S240">
        <f>GDS_Monthly!W357</f>
        <v>95.855224223726736</v>
      </c>
      <c r="T240">
        <f>GDS_Monthly!X357</f>
        <v>125.88849415410787</v>
      </c>
      <c r="U240">
        <f>GDS_Monthly!AA357</f>
        <v>102.85241530392061</v>
      </c>
      <c r="V240">
        <f>GDS_Monthly!AC357</f>
        <v>149.3363558188704</v>
      </c>
      <c r="W240">
        <f>GDS_Monthly!AE357</f>
        <v>146.29192816983564</v>
      </c>
      <c r="X240">
        <f>GDS_Monthly!AF357</f>
        <v>100.99904434529813</v>
      </c>
      <c r="Y240">
        <f>OECD!B240</f>
        <v>99.792209999999997</v>
      </c>
      <c r="Z240">
        <f>'Monthly Haver'!K243</f>
        <v>116.66649</v>
      </c>
      <c r="AA240" s="8">
        <f>OECD!C240</f>
        <v>121.66</v>
      </c>
    </row>
    <row r="241" spans="1:27">
      <c r="A241" t="str">
        <f>'Monthly Haver'!A244</f>
        <v>Dec-2018</v>
      </c>
      <c r="B241">
        <f>'Monthly Haver'!C244</f>
        <v>52.4801</v>
      </c>
      <c r="C241">
        <f>'Monthly Haver'!D244</f>
        <v>55.554200000000002</v>
      </c>
      <c r="D241">
        <f>'Monthly Haver'!E244</f>
        <v>49.797400000000003</v>
      </c>
      <c r="E241">
        <f>'Monthly Haver'!G244</f>
        <v>51.863700000000001</v>
      </c>
      <c r="F241">
        <f>'Monthly Haver'!H244</f>
        <v>51.383400000000002</v>
      </c>
      <c r="G241">
        <f>'Monthly Haver'!I244</f>
        <v>49.702399999999997</v>
      </c>
      <c r="H241">
        <f>'Monthly Haver'!J244</f>
        <v>53.020400000000002</v>
      </c>
      <c r="I241">
        <f>GDS_Monthly!O358</f>
        <v>68.260750202273073</v>
      </c>
      <c r="J241">
        <f>GDS_Monthly!D358</f>
        <v>131.35979427675588</v>
      </c>
      <c r="K241">
        <f>GDS_Monthly!AH358</f>
        <v>1222.2407197</v>
      </c>
      <c r="L241">
        <f>GDS_Monthly!AI358</f>
        <v>1189.0275061</v>
      </c>
      <c r="M241">
        <f>GDS_Monthly!N358</f>
        <v>5.1476319954740788</v>
      </c>
      <c r="N241">
        <f>GDS_Monthly!C358</f>
        <v>113.78891219843059</v>
      </c>
      <c r="O241">
        <f>GDS_Monthly!F358</f>
        <v>2.3738783184898375</v>
      </c>
      <c r="P241">
        <f>GDS_Monthly!G358</f>
        <v>3.163668629756077</v>
      </c>
      <c r="Q241">
        <f>GDS_Monthly!T358</f>
        <v>122.2249696586825</v>
      </c>
      <c r="R241">
        <f>GDS_Monthly!V358</f>
        <v>121.59280893275297</v>
      </c>
      <c r="S241">
        <f>GDS_Monthly!W358</f>
        <v>98.689926328298</v>
      </c>
      <c r="T241">
        <f>GDS_Monthly!X358</f>
        <v>123.08952675923935</v>
      </c>
      <c r="U241">
        <f>GDS_Monthly!AA358</f>
        <v>103.94345344210386</v>
      </c>
      <c r="V241">
        <f>GDS_Monthly!AC358</f>
        <v>133.34854575769072</v>
      </c>
      <c r="W241">
        <f>GDS_Monthly!AE358</f>
        <v>126.07675794771711</v>
      </c>
      <c r="X241">
        <f>GDS_Monthly!AF358</f>
        <v>103.55922589321774</v>
      </c>
      <c r="Y241">
        <f>OECD!B241</f>
        <v>99.660809999999998</v>
      </c>
      <c r="Z241">
        <f>'Monthly Haver'!K244</f>
        <v>116.50185</v>
      </c>
      <c r="AA241" s="8">
        <f>OECD!C241</f>
        <v>121.41</v>
      </c>
    </row>
    <row r="242" spans="1:27">
      <c r="A242" t="str">
        <f>'Monthly Haver'!A245</f>
        <v>Jan-2019</v>
      </c>
      <c r="B242">
        <f>'Monthly Haver'!C245</f>
        <v>51.834000000000003</v>
      </c>
      <c r="C242">
        <f>'Monthly Haver'!D245</f>
        <v>54.600099999999998</v>
      </c>
      <c r="D242">
        <f>'Monthly Haver'!E245</f>
        <v>49.523299999999999</v>
      </c>
      <c r="E242">
        <f>'Monthly Haver'!G245</f>
        <v>51.615000000000002</v>
      </c>
      <c r="F242">
        <f>'Monthly Haver'!H245</f>
        <v>50.658299999999997</v>
      </c>
      <c r="G242">
        <f>'Monthly Haver'!I245</f>
        <v>49.4803</v>
      </c>
      <c r="H242">
        <f>'Monthly Haver'!J245</f>
        <v>52.672499999999999</v>
      </c>
      <c r="I242">
        <f>GDS_Monthly!O359</f>
        <v>68.900648239314734</v>
      </c>
      <c r="J242">
        <f>GDS_Monthly!D359</f>
        <v>131.50430229275366</v>
      </c>
      <c r="K242">
        <f>GDS_Monthly!AH359</f>
        <v>1267.7213197000001</v>
      </c>
      <c r="L242">
        <f>GDS_Monthly!AI359</f>
        <v>1223.5731651000001</v>
      </c>
      <c r="M242">
        <f>GDS_Monthly!N359</f>
        <v>5.1276595994272762</v>
      </c>
      <c r="N242">
        <f>GDS_Monthly!C359</f>
        <v>112.91561836895646</v>
      </c>
      <c r="O242">
        <f>GDS_Monthly!F359</f>
        <v>2.4168989838045656</v>
      </c>
      <c r="P242">
        <f>GDS_Monthly!G359</f>
        <v>3.0962931225850769</v>
      </c>
      <c r="Q242">
        <f>GDS_Monthly!T359</f>
        <v>122.33422465306056</v>
      </c>
      <c r="R242">
        <f>GDS_Monthly!V359</f>
        <v>121.84383613086219</v>
      </c>
      <c r="S242">
        <f>GDS_Monthly!W359</f>
        <v>100.46654163406639</v>
      </c>
      <c r="T242">
        <f>GDS_Monthly!X359</f>
        <v>124.91861002901555</v>
      </c>
      <c r="U242">
        <f>GDS_Monthly!AA359</f>
        <v>105.86210741543901</v>
      </c>
      <c r="V242">
        <f>GDS_Monthly!AC359</f>
        <v>133.30209756610921</v>
      </c>
      <c r="W242">
        <f>GDS_Monthly!AE359</f>
        <v>131.42337710754234</v>
      </c>
      <c r="X242">
        <f>GDS_Monthly!AF359</f>
        <v>103.53614960111605</v>
      </c>
      <c r="Y242">
        <f>OECD!B242</f>
        <v>99.546970000000002</v>
      </c>
      <c r="Z242">
        <f>'Monthly Haver'!K245</f>
        <v>113.4462</v>
      </c>
      <c r="AA242" s="8">
        <f>OECD!C242</f>
        <v>121.4</v>
      </c>
    </row>
    <row r="243" spans="1:27">
      <c r="A243" t="str">
        <f>'Monthly Haver'!A246</f>
        <v>Feb-2019</v>
      </c>
      <c r="B243">
        <f>'Monthly Haver'!C246</f>
        <v>52.521599999999999</v>
      </c>
      <c r="C243">
        <f>'Monthly Haver'!D246</f>
        <v>54.968899999999998</v>
      </c>
      <c r="D243">
        <f>'Monthly Haver'!E246</f>
        <v>49.513199999999998</v>
      </c>
      <c r="E243">
        <f>'Monthly Haver'!G246</f>
        <v>52.422499999999999</v>
      </c>
      <c r="F243">
        <f>'Monthly Haver'!H246</f>
        <v>50.554499999999997</v>
      </c>
      <c r="G243">
        <f>'Monthly Haver'!I246</f>
        <v>49.004399999999997</v>
      </c>
      <c r="H243">
        <f>'Monthly Haver'!J246</f>
        <v>53.307099999999998</v>
      </c>
      <c r="I243">
        <f>GDS_Monthly!O360</f>
        <v>69.309299248893737</v>
      </c>
      <c r="J243">
        <f>GDS_Monthly!D360</f>
        <v>131.22730141900973</v>
      </c>
      <c r="K243">
        <f>GDS_Monthly!AH360</f>
        <v>1235.9688477</v>
      </c>
      <c r="L243">
        <f>GDS_Monthly!AI360</f>
        <v>1207.8516721000001</v>
      </c>
      <c r="M243">
        <f>GDS_Monthly!N360</f>
        <v>5.096985527413624</v>
      </c>
      <c r="N243">
        <f>GDS_Monthly!C360</f>
        <v>114.96084097321905</v>
      </c>
      <c r="O243">
        <f>GDS_Monthly!F360</f>
        <v>2.3938620105047916</v>
      </c>
      <c r="P243">
        <f>GDS_Monthly!G360</f>
        <v>3.0533721807708556</v>
      </c>
      <c r="Q243">
        <f>GDS_Monthly!T360</f>
        <v>122.61045626131136</v>
      </c>
      <c r="R243">
        <f>GDS_Monthly!V360</f>
        <v>122.07082013894448</v>
      </c>
      <c r="S243">
        <f>GDS_Monthly!W360</f>
        <v>98.772205073072286</v>
      </c>
      <c r="T243">
        <f>GDS_Monthly!X360</f>
        <v>134.63246596083704</v>
      </c>
      <c r="U243">
        <f>GDS_Monthly!AA360</f>
        <v>107.2330292246542</v>
      </c>
      <c r="V243">
        <f>GDS_Monthly!AC360</f>
        <v>136.04881689200963</v>
      </c>
      <c r="W243">
        <f>GDS_Monthly!AE360</f>
        <v>142.52826157374665</v>
      </c>
      <c r="X243">
        <f>GDS_Monthly!AF360</f>
        <v>103.60877950830836</v>
      </c>
      <c r="Y243">
        <f>OECD!B243</f>
        <v>99.454589999999996</v>
      </c>
      <c r="Z243">
        <f>'Monthly Haver'!K246</f>
        <v>113.45129</v>
      </c>
      <c r="AA243" s="8">
        <f>OECD!C243</f>
        <v>121.42</v>
      </c>
    </row>
    <row r="244" spans="1:27">
      <c r="A244" t="str">
        <f>'Monthly Haver'!A247</f>
        <v>Mar-2019</v>
      </c>
      <c r="B244">
        <f>'Monthly Haver'!C247</f>
        <v>52.734299999999998</v>
      </c>
      <c r="C244">
        <f>'Monthly Haver'!D247</f>
        <v>54.444800000000001</v>
      </c>
      <c r="D244">
        <f>'Monthly Haver'!E247</f>
        <v>49.402299999999997</v>
      </c>
      <c r="E244">
        <f>'Monthly Haver'!G247</f>
        <v>51.671199999999999</v>
      </c>
      <c r="F244">
        <f>'Monthly Haver'!H247</f>
        <v>50.492699999999999</v>
      </c>
      <c r="G244">
        <f>'Monthly Haver'!I247</f>
        <v>50.012</v>
      </c>
      <c r="H244">
        <f>'Monthly Haver'!J247</f>
        <v>53.709800000000001</v>
      </c>
      <c r="I244">
        <f>GDS_Monthly!O361</f>
        <v>70.028348612108672</v>
      </c>
      <c r="J244">
        <f>GDS_Monthly!D361</f>
        <v>132.3987987006382</v>
      </c>
      <c r="K244">
        <f>GDS_Monthly!AH361</f>
        <v>1243.9838187</v>
      </c>
      <c r="L244">
        <f>GDS_Monthly!AI361</f>
        <v>1221.5573961</v>
      </c>
      <c r="M244">
        <f>GDS_Monthly!N361</f>
        <v>5.0982954883525862</v>
      </c>
      <c r="N244">
        <f>GDS_Monthly!C361</f>
        <v>113.55819284342567</v>
      </c>
      <c r="O244">
        <f>GDS_Monthly!F361</f>
        <v>2.2877857481152657</v>
      </c>
      <c r="P244">
        <f>GDS_Monthly!G361</f>
        <v>3.1554237806548437</v>
      </c>
      <c r="Q244">
        <f>GDS_Monthly!T361</f>
        <v>122.9977337381779</v>
      </c>
      <c r="R244">
        <f>GDS_Monthly!V361</f>
        <v>122.21843134318571</v>
      </c>
      <c r="S244">
        <f>GDS_Monthly!W361</f>
        <v>98.063109720746482</v>
      </c>
      <c r="T244">
        <f>GDS_Monthly!X361</f>
        <v>136.33539545234868</v>
      </c>
      <c r="U244">
        <f>GDS_Monthly!AA361</f>
        <v>107.22655502922346</v>
      </c>
      <c r="V244">
        <f>GDS_Monthly!AC361</f>
        <v>138.25636650054446</v>
      </c>
      <c r="W244">
        <f>GDS_Monthly!AE361</f>
        <v>148.86004533811609</v>
      </c>
      <c r="X244">
        <f>GDS_Monthly!AF361</f>
        <v>105.40904645448667</v>
      </c>
      <c r="Y244">
        <f>OECD!B244</f>
        <v>99.383960000000002</v>
      </c>
      <c r="Z244">
        <f>'Monthly Haver'!K247</f>
        <v>114.07975</v>
      </c>
      <c r="AA244" s="8">
        <f>OECD!C244</f>
        <v>122.17</v>
      </c>
    </row>
    <row r="245" spans="1:27">
      <c r="A245" t="str">
        <f>'Monthly Haver'!A248</f>
        <v>Apr-2019</v>
      </c>
      <c r="B245" s="13">
        <f>'Monthly Haver'!C248</f>
        <v>52.130200000000002</v>
      </c>
      <c r="C245" s="13">
        <f>'Monthly Haver'!D248</f>
        <v>54.329799999999999</v>
      </c>
      <c r="D245" s="13">
        <f>'Monthly Haver'!E248</f>
        <v>49.456099999999999</v>
      </c>
      <c r="E245" s="13">
        <f>'Monthly Haver'!G248</f>
        <v>51.784199999999998</v>
      </c>
      <c r="F245" s="13">
        <f>'Monthly Haver'!H248</f>
        <v>50.417900000000003</v>
      </c>
      <c r="G245" s="13">
        <f>'Monthly Haver'!I248</f>
        <v>49.485199999999999</v>
      </c>
      <c r="H245" s="13">
        <f>'Monthly Haver'!J248</f>
        <v>52.707999999999998</v>
      </c>
      <c r="I245" s="13">
        <f>GDS_Monthly!O362</f>
        <v>70.363317058281396</v>
      </c>
      <c r="J245" s="13">
        <f>GDS_Monthly!D362</f>
        <v>131.86880844055696</v>
      </c>
      <c r="K245" s="13">
        <f>GDS_Monthly!AH362</f>
        <v>1258.2402047</v>
      </c>
      <c r="L245" s="13">
        <f>GDS_Monthly!AI362</f>
        <v>1206.6252581000001</v>
      </c>
      <c r="M245" s="13">
        <f>GDS_Monthly!N362</f>
        <v>5.05004762485272</v>
      </c>
      <c r="N245" s="13">
        <f>GDS_Monthly!C362</f>
        <v>114.30448701789039</v>
      </c>
      <c r="O245" s="13">
        <f>GDS_Monthly!F362</f>
        <v>2.2292637362911152</v>
      </c>
      <c r="P245" s="13">
        <f>GDS_Monthly!G362</f>
        <v>3.2208125134803982</v>
      </c>
      <c r="Q245" s="13">
        <f>GDS_Monthly!T362</f>
        <v>123.38388746765285</v>
      </c>
      <c r="R245" s="13">
        <f>GDS_Monthly!V362</f>
        <v>122.43063258522275</v>
      </c>
      <c r="S245" s="13">
        <f>GDS_Monthly!W362</f>
        <v>101.56920127626263</v>
      </c>
      <c r="T245" s="13">
        <f>GDS_Monthly!X362</f>
        <v>139.5837227549811</v>
      </c>
      <c r="U245" s="13">
        <f>GDS_Monthly!AA362</f>
        <v>109.34695896415499</v>
      </c>
      <c r="V245" s="13">
        <f>GDS_Monthly!AC362</f>
        <v>143.76829423648795</v>
      </c>
      <c r="W245" s="13">
        <f>GDS_Monthly!AE362</f>
        <v>160.45414525027914</v>
      </c>
      <c r="X245" s="13">
        <f>GDS_Monthly!AF362</f>
        <v>104.6810168967323</v>
      </c>
      <c r="Y245" s="13">
        <f>OECD!B245</f>
        <v>99.325580000000002</v>
      </c>
      <c r="Z245" s="13">
        <f>'Monthly Haver'!K248</f>
        <v>114.212</v>
      </c>
      <c r="AA245" s="8">
        <f>OECD!C245</f>
        <v>122.79</v>
      </c>
    </row>
    <row r="246" spans="1:27">
      <c r="A246" t="str">
        <f>'Monthly Haver'!A249</f>
        <v>May-2019</v>
      </c>
      <c r="B246" s="13">
        <f>'Monthly Haver'!C249</f>
        <v>51.298499999999997</v>
      </c>
      <c r="C246" s="13">
        <f>'Monthly Haver'!D249</f>
        <v>53.836500000000001</v>
      </c>
      <c r="D246" s="13">
        <f>'Monthly Haver'!E249</f>
        <v>49.363199999999999</v>
      </c>
      <c r="E246" s="13">
        <f>'Monthly Haver'!G249</f>
        <v>51.560600000000001</v>
      </c>
      <c r="F246" s="13">
        <f>'Monthly Haver'!H249</f>
        <v>49.816600000000001</v>
      </c>
      <c r="G246" s="13">
        <f>'Monthly Haver'!I249</f>
        <v>49.133099999999999</v>
      </c>
      <c r="H246" s="13">
        <f>'Monthly Haver'!J249</f>
        <v>51.598999999999997</v>
      </c>
      <c r="I246" s="13">
        <f>GDS_Monthly!O363</f>
        <v>70.777930521775332</v>
      </c>
      <c r="J246" s="13">
        <f>GDS_Monthly!D363</f>
        <v>132.41899700005555</v>
      </c>
      <c r="K246" s="13">
        <f>GDS_Monthly!AH363</f>
        <v>1247.4623836999999</v>
      </c>
      <c r="L246" s="13">
        <f>GDS_Monthly!AI363</f>
        <v>1219.6742881</v>
      </c>
      <c r="M246" s="13">
        <f>GDS_Monthly!N363</f>
        <v>5.0521274437201349</v>
      </c>
      <c r="N246" s="13">
        <f>GDS_Monthly!C363</f>
        <v>114.60406663716606</v>
      </c>
      <c r="O246" s="13">
        <f>GDS_Monthly!F363</f>
        <v>2.2304237015277106</v>
      </c>
      <c r="P246" s="13">
        <f>GDS_Monthly!G363</f>
        <v>3.3018345045762403</v>
      </c>
      <c r="Q246" s="13">
        <f>GDS_Monthly!T363</f>
        <v>123.62158874734506</v>
      </c>
      <c r="R246" s="13">
        <f>GDS_Monthly!V363</f>
        <v>122.59773600187687</v>
      </c>
      <c r="S246" s="13">
        <f>GDS_Monthly!W363</f>
        <v>98.094289080567989</v>
      </c>
      <c r="T246" s="13">
        <f>GDS_Monthly!X363</f>
        <v>138.82798101391154</v>
      </c>
      <c r="U246" s="13">
        <f>GDS_Monthly!AA363</f>
        <v>107.3884622827361</v>
      </c>
      <c r="V246" s="13">
        <f>GDS_Monthly!AC363</f>
        <v>139.41055701161275</v>
      </c>
      <c r="W246" s="13">
        <f>GDS_Monthly!AE363</f>
        <v>157.12435658797332</v>
      </c>
      <c r="X246" s="13">
        <f>GDS_Monthly!AF363</f>
        <v>105.43636036340688</v>
      </c>
      <c r="Y246" s="13">
        <f>OECD!B246</f>
        <v>99.269570000000002</v>
      </c>
      <c r="Z246" s="13">
        <f>'Monthly Haver'!K249</f>
        <v>115.33038000000001</v>
      </c>
      <c r="AA246" s="8">
        <f>OECD!C246</f>
        <v>122.29</v>
      </c>
    </row>
    <row r="247" spans="1:27">
      <c r="A247" t="str">
        <f>'Monthly Haver'!A250</f>
        <v>Jun-2019</v>
      </c>
      <c r="B247" s="13">
        <f>'Monthly Haver'!C250</f>
        <v>51.596400000000003</v>
      </c>
      <c r="C247" s="13">
        <f>'Monthly Haver'!D250</f>
        <v>53.692500000000003</v>
      </c>
      <c r="D247" s="13">
        <f>'Monthly Haver'!E250</f>
        <v>49.103000000000002</v>
      </c>
      <c r="E247" s="13">
        <f>'Monthly Haver'!G250</f>
        <v>51.286200000000001</v>
      </c>
      <c r="F247" s="13">
        <f>'Monthly Haver'!H250</f>
        <v>49.398000000000003</v>
      </c>
      <c r="G247" s="13">
        <f>'Monthly Haver'!I250</f>
        <v>49.360700000000001</v>
      </c>
      <c r="H247" s="13">
        <f>'Monthly Haver'!J250</f>
        <v>51.913499999999999</v>
      </c>
      <c r="I247" s="13">
        <f>GDS_Monthly!O364</f>
        <v>71.276356320790484</v>
      </c>
      <c r="J247" s="13">
        <f>GDS_Monthly!D364</f>
        <v>131.45813790802495</v>
      </c>
      <c r="K247" s="13">
        <f>GDS_Monthly!AH364</f>
        <v>1212.4542107</v>
      </c>
      <c r="L247" s="13">
        <f>GDS_Monthly!AI364</f>
        <v>1193.6931130999999</v>
      </c>
      <c r="M247" s="13">
        <f>GDS_Monthly!N364</f>
        <v>5.0383062166696355</v>
      </c>
      <c r="N247" s="13">
        <f>GDS_Monthly!C364</f>
        <v>113.27017007452032</v>
      </c>
      <c r="O247" s="13">
        <f>GDS_Monthly!F364</f>
        <v>2.0072386203374775</v>
      </c>
      <c r="P247" s="13">
        <f>GDS_Monthly!G364</f>
        <v>3.2510657751741068</v>
      </c>
      <c r="Q247" s="13">
        <f>GDS_Monthly!T364</f>
        <v>123.79810825671296</v>
      </c>
      <c r="R247" s="13">
        <f>GDS_Monthly!V364</f>
        <v>122.85774893543187</v>
      </c>
      <c r="S247" s="13">
        <f>GDS_Monthly!W364</f>
        <v>100.21284140868016</v>
      </c>
      <c r="T247" s="13">
        <f>GDS_Monthly!X364</f>
        <v>141.33562362654658</v>
      </c>
      <c r="U247" s="13">
        <f>GDS_Monthly!AA364</f>
        <v>109.9959187497121</v>
      </c>
      <c r="V247" s="13">
        <f>GDS_Monthly!AC364</f>
        <v>123.53231918995917</v>
      </c>
      <c r="W247" s="13">
        <f>GDS_Monthly!AE364</f>
        <v>139.91703988015234</v>
      </c>
      <c r="X247" s="13">
        <f>GDS_Monthly!AF364</f>
        <v>104.95859498860995</v>
      </c>
      <c r="Y247" s="13">
        <f>OECD!B247</f>
        <v>99.219470000000001</v>
      </c>
      <c r="Z247" s="13">
        <f>'Monthly Haver'!K250</f>
        <v>114.9323</v>
      </c>
      <c r="AA247" s="8">
        <f>OECD!C247</f>
        <v>122.42</v>
      </c>
    </row>
    <row r="248" spans="1:27">
      <c r="A248" s="13" t="str">
        <f>'Monthly Haver'!A251</f>
        <v>Jul-2019</v>
      </c>
      <c r="B248" s="18">
        <f>'Monthly Haver'!C251</f>
        <v>52.060699999999997</v>
      </c>
      <c r="C248" s="18">
        <f>'Monthly Haver'!D251</f>
        <v>53.365900000000003</v>
      </c>
      <c r="D248" s="18">
        <f>'Monthly Haver'!E251</f>
        <v>48.980899999999998</v>
      </c>
      <c r="E248" s="18">
        <f>'Monthly Haver'!G251</f>
        <v>51.090200000000003</v>
      </c>
      <c r="F248" s="18">
        <f>'Monthly Haver'!H251</f>
        <v>49.331499999999998</v>
      </c>
      <c r="G248" s="18">
        <f>'Monthly Haver'!I251</f>
        <v>48.792000000000002</v>
      </c>
      <c r="H248" s="18">
        <f>'Monthly Haver'!J251</f>
        <v>52.525799999999997</v>
      </c>
      <c r="I248" s="18">
        <f>GDS_Monthly!O365</f>
        <v>71.532836027412117</v>
      </c>
      <c r="J248" s="18">
        <f>GDS_Monthly!D365</f>
        <v>132.50231154897347</v>
      </c>
      <c r="K248" s="18">
        <f>GDS_Monthly!AH365</f>
        <v>1241.5350307000001</v>
      </c>
      <c r="L248" s="18">
        <f>GDS_Monthly!AI365</f>
        <v>1224.0418850999999</v>
      </c>
      <c r="M248" s="18">
        <f>GDS_Monthly!N365</f>
        <v>5.053650539064658</v>
      </c>
      <c r="N248" s="18">
        <f>GDS_Monthly!C365</f>
        <v>115.40740234525339</v>
      </c>
      <c r="O248" s="18">
        <f>GDS_Monthly!F365</f>
        <v>1.818451391634041</v>
      </c>
      <c r="P248" s="18">
        <f>GDS_Monthly!G365</f>
        <v>3.1420682231272044</v>
      </c>
      <c r="Q248" s="18">
        <f>GDS_Monthly!T365</f>
        <v>124.06543184669432</v>
      </c>
      <c r="R248" s="18">
        <f>GDS_Monthly!V365</f>
        <v>123.11398307764026</v>
      </c>
      <c r="S248" s="18">
        <f>GDS_Monthly!W365</f>
        <v>100.2719739356133</v>
      </c>
      <c r="T248" s="18">
        <f>GDS_Monthly!X365</f>
        <v>147.527668724086</v>
      </c>
      <c r="U248" s="18">
        <f>GDS_Monthly!AA365</f>
        <v>111.79997594582807</v>
      </c>
      <c r="V248" s="18">
        <f>GDS_Monthly!AC365</f>
        <v>126.88977699809683</v>
      </c>
      <c r="W248" s="18">
        <f>GDS_Monthly!AE365</f>
        <v>144.44670037750404</v>
      </c>
      <c r="X248" s="18">
        <f>GDS_Monthly!AF365</f>
        <v>101.49049927442621</v>
      </c>
      <c r="Y248" s="18">
        <f>OECD!B248</f>
        <v>99.182829999999996</v>
      </c>
      <c r="Z248" s="18">
        <f>'Monthly Haver'!K251</f>
        <v>114.73869999999999</v>
      </c>
      <c r="AA248" s="8">
        <f>OECD!C248</f>
        <v>122.93</v>
      </c>
    </row>
    <row r="249" spans="1:27">
      <c r="A249" s="13" t="str">
        <f>'Monthly Haver'!A252</f>
        <v>Aug-2019</v>
      </c>
      <c r="B249" s="18">
        <f>'Monthly Haver'!C252</f>
        <v>51.071100000000001</v>
      </c>
      <c r="C249" s="18">
        <f>'Monthly Haver'!D252</f>
        <v>52.214700000000001</v>
      </c>
      <c r="D249" s="18">
        <f>'Monthly Haver'!E252</f>
        <v>47.9617</v>
      </c>
      <c r="E249" s="18">
        <f>'Monthly Haver'!G252</f>
        <v>50.720700000000001</v>
      </c>
      <c r="F249" s="18">
        <f>'Monthly Haver'!H252</f>
        <v>49.546399999999998</v>
      </c>
      <c r="G249" s="18">
        <f>'Monthly Haver'!I252</f>
        <v>49.368299999999998</v>
      </c>
      <c r="H249" s="18">
        <f>'Monthly Haver'!J252</f>
        <v>51.749299999999998</v>
      </c>
      <c r="I249" s="18">
        <f>GDS_Monthly!O366</f>
        <v>72.073599138157945</v>
      </c>
      <c r="J249" s="18">
        <f>GDS_Monthly!D366</f>
        <v>132.04085528274481</v>
      </c>
      <c r="K249" s="18">
        <f>GDS_Monthly!AH366</f>
        <v>1221.8156627000001</v>
      </c>
      <c r="L249" s="18">
        <f>GDS_Monthly!AI366</f>
        <v>1204.7693231000001</v>
      </c>
      <c r="M249" s="18">
        <f>GDS_Monthly!N366</f>
        <v>5.0348962107142317</v>
      </c>
      <c r="N249" s="18">
        <f>GDS_Monthly!C366</f>
        <v>114.91377617980004</v>
      </c>
      <c r="O249" s="18">
        <f>GDS_Monthly!F366</f>
        <v>1.6690350407215082</v>
      </c>
      <c r="P249" s="18">
        <f>GDS_Monthly!G366</f>
        <v>3.0364877317249293</v>
      </c>
      <c r="Q249" s="18">
        <f>GDS_Monthly!T366</f>
        <v>124.28371179424789</v>
      </c>
      <c r="R249" s="18">
        <f>GDS_Monthly!V366</f>
        <v>123.32609062318222</v>
      </c>
      <c r="S249" s="18">
        <f>GDS_Monthly!W366</f>
        <v>98.260429796590472</v>
      </c>
      <c r="T249" s="18">
        <f>GDS_Monthly!X366</f>
        <v>133.36486957829743</v>
      </c>
      <c r="U249" s="18">
        <f>GDS_Monthly!AA366</f>
        <v>108.93216249732114</v>
      </c>
      <c r="V249" s="18">
        <f>GDS_Monthly!AC366</f>
        <v>118.18012795815469</v>
      </c>
      <c r="W249" s="18">
        <f>GDS_Monthly!AE366</f>
        <v>136.17066557838777</v>
      </c>
      <c r="X249" s="18">
        <f>GDS_Monthly!AF366</f>
        <v>97.621065873412633</v>
      </c>
      <c r="Y249" s="18">
        <f>OECD!B249</f>
        <v>99.16628</v>
      </c>
      <c r="Z249" s="18">
        <f>'Monthly Haver'!K252</f>
        <v>116.47369999999999</v>
      </c>
      <c r="AA249" s="8">
        <f>OECD!C249</f>
        <v>122.33</v>
      </c>
    </row>
    <row r="250" spans="1:27">
      <c r="A250" s="13" t="str">
        <f>'Monthly Haver'!A253</f>
        <v>Sep-2019</v>
      </c>
      <c r="B250" s="18">
        <f>'Monthly Haver'!C253</f>
        <v>50.883200000000002</v>
      </c>
      <c r="C250" s="18">
        <f>'Monthly Haver'!D253</f>
        <v>51.9709</v>
      </c>
      <c r="D250" s="18">
        <f>'Monthly Haver'!E253</f>
        <v>48.203000000000003</v>
      </c>
      <c r="E250" s="18">
        <f>'Monthly Haver'!G253</f>
        <v>50.251300000000001</v>
      </c>
      <c r="F250" s="18">
        <f>'Monthly Haver'!H253</f>
        <v>49.756</v>
      </c>
      <c r="G250" s="18">
        <f>'Monthly Haver'!I253</f>
        <v>49.258600000000001</v>
      </c>
      <c r="H250" s="18">
        <f>'Monthly Haver'!J253</f>
        <v>51.3949</v>
      </c>
      <c r="I250" s="18">
        <f>GDS_Monthly!O367</f>
        <v>72.556219286739307</v>
      </c>
      <c r="J250" s="18">
        <f>GDS_Monthly!D367</f>
        <v>132.21459204216188</v>
      </c>
      <c r="K250" s="18">
        <f>GDS_Monthly!AH367</f>
        <v>1215.2334847</v>
      </c>
      <c r="L250" s="18">
        <f>GDS_Monthly!AI367</f>
        <v>1198.9574651</v>
      </c>
      <c r="M250" s="18">
        <f>GDS_Monthly!N367</f>
        <v>5.0155851863366072</v>
      </c>
      <c r="N250" s="18">
        <f>GDS_Monthly!C367</f>
        <v>113.46376271333695</v>
      </c>
      <c r="O250" s="18">
        <f>GDS_Monthly!F367</f>
        <v>1.7075320581509668</v>
      </c>
      <c r="P250" s="18">
        <f>GDS_Monthly!G367</f>
        <v>3.0001568234500504</v>
      </c>
      <c r="Q250" s="18">
        <f>GDS_Monthly!T367</f>
        <v>124.50922972747875</v>
      </c>
      <c r="R250" s="18">
        <f>GDS_Monthly!V367</f>
        <v>123.50156186317456</v>
      </c>
      <c r="S250" s="18">
        <f>GDS_Monthly!W367</f>
        <v>96.053057750248115</v>
      </c>
      <c r="T250" s="18">
        <f>GDS_Monthly!X367</f>
        <v>134.73112056274007</v>
      </c>
      <c r="U250" s="18">
        <f>GDS_Monthly!AA367</f>
        <v>108.6330393687476</v>
      </c>
      <c r="V250" s="18">
        <f>GDS_Monthly!AC367</f>
        <v>123.74253068228556</v>
      </c>
      <c r="W250" s="18">
        <f>GDS_Monthly!AE367</f>
        <v>142.32623254299719</v>
      </c>
      <c r="X250" s="18">
        <f>GDS_Monthly!AF367</f>
        <v>97.359428717849738</v>
      </c>
      <c r="Y250" s="18">
        <f>OECD!B250</f>
        <v>99.179040000000001</v>
      </c>
      <c r="Z250" s="18">
        <f>'Monthly Haver'!K253</f>
        <v>115.84856000000001</v>
      </c>
      <c r="AA250" s="8">
        <f>OECD!C250</f>
        <v>122.57</v>
      </c>
    </row>
    <row r="251" spans="1:27">
      <c r="A251" s="18" t="str">
        <f>'Monthly Haver'!A254</f>
        <v>Oct-2019</v>
      </c>
      <c r="B251" s="18">
        <f>'Monthly Haver'!C254</f>
        <v>50.798099999999998</v>
      </c>
      <c r="C251" s="18">
        <f>'Monthly Haver'!D254</f>
        <v>53.134700000000002</v>
      </c>
      <c r="D251" s="18">
        <f>'Monthly Haver'!E254</f>
        <v>49.0839</v>
      </c>
      <c r="E251" s="18">
        <f>'Monthly Haver'!G254</f>
        <v>49.826599999999999</v>
      </c>
      <c r="F251" s="18">
        <f>'Monthly Haver'!H254</f>
        <v>49.843499999999999</v>
      </c>
      <c r="G251" s="18">
        <f>'Monthly Haver'!I254</f>
        <v>48.179099999999998</v>
      </c>
      <c r="H251" s="18">
        <f>'Monthly Haver'!J254</f>
        <v>51.018900000000002</v>
      </c>
      <c r="I251" s="18">
        <f>GDS_Monthly!O368</f>
        <v>72.409953200785495</v>
      </c>
      <c r="J251" s="18">
        <f>GDS_Monthly!D368</f>
        <v>131.95115080341409</v>
      </c>
      <c r="K251" s="18">
        <f>GDS_Monthly!AH368</f>
        <v>1217.8030166999999</v>
      </c>
      <c r="L251" s="18">
        <f>GDS_Monthly!AI368</f>
        <v>1209.9095611</v>
      </c>
      <c r="M251" s="18">
        <f>GDS_Monthly!N368</f>
        <v>5.0167478868105766</v>
      </c>
      <c r="N251" s="18">
        <f>GDS_Monthly!C368</f>
        <v>113.33402070125993</v>
      </c>
      <c r="O251" s="18">
        <f>GDS_Monthly!F368</f>
        <v>1.770421921323668</v>
      </c>
      <c r="P251" s="18">
        <f>GDS_Monthly!G368</f>
        <v>2.8017179435927098</v>
      </c>
      <c r="Q251" s="18">
        <f>GDS_Monthly!T368</f>
        <v>124.92708890348511</v>
      </c>
      <c r="R251" s="18">
        <f>GDS_Monthly!V368</f>
        <v>123.67218547022303</v>
      </c>
      <c r="S251" s="18">
        <f>GDS_Monthly!W368</f>
        <v>96.42774735125127</v>
      </c>
      <c r="T251" s="18">
        <f>GDS_Monthly!X368</f>
        <v>131.99762358516924</v>
      </c>
      <c r="U251" s="18">
        <f>GDS_Monthly!AA368</f>
        <v>107.84782899386974</v>
      </c>
      <c r="V251" s="18">
        <f>GDS_Monthly!AC368</f>
        <v>120.50540505135179</v>
      </c>
      <c r="W251" s="18">
        <f>GDS_Monthly!AE368</f>
        <v>135.54600065811735</v>
      </c>
      <c r="X251" s="18">
        <f>GDS_Monthly!AF368</f>
        <v>95.92017897415441</v>
      </c>
      <c r="Y251" s="18">
        <f>OECD!B251</f>
        <v>99.230289999999997</v>
      </c>
      <c r="Z251" s="18">
        <f>'Monthly Haver'!K254</f>
        <v>115.67399</v>
      </c>
      <c r="AA251" s="8">
        <f>OECD!C251</f>
        <v>121.97</v>
      </c>
    </row>
    <row r="252" spans="1:27">
      <c r="A252" s="18" t="str">
        <f>'Monthly Haver'!A255</f>
        <v>Nov-2019</v>
      </c>
      <c r="B252" s="18">
        <f>'Monthly Haver'!C255</f>
        <v>51.168399999999998</v>
      </c>
      <c r="C252" s="18">
        <f>'Monthly Haver'!D255</f>
        <v>53.0593</v>
      </c>
      <c r="D252" s="18">
        <f>'Monthly Haver'!E255</f>
        <v>49.088500000000003</v>
      </c>
      <c r="E252" s="18">
        <f>'Monthly Haver'!G255</f>
        <v>50.8596</v>
      </c>
      <c r="F252" s="18">
        <f>'Monthly Haver'!H255</f>
        <v>50.326999999999998</v>
      </c>
      <c r="G252" s="18">
        <f>'Monthly Haver'!I255</f>
        <v>48.761099999999999</v>
      </c>
      <c r="H252" s="18">
        <f>'Monthly Haver'!J255</f>
        <v>51.630800000000001</v>
      </c>
      <c r="I252" s="18">
        <f>GDS_Monthly!O369</f>
        <v>73.132493010131512</v>
      </c>
      <c r="J252" s="18">
        <f>GDS_Monthly!D369</f>
        <v>132.64747615324691</v>
      </c>
      <c r="K252" s="18">
        <f>GDS_Monthly!AH369</f>
        <v>1203.6110756999999</v>
      </c>
      <c r="L252" s="18">
        <f>GDS_Monthly!AI369</f>
        <v>1199.1340680999999</v>
      </c>
      <c r="M252" s="18">
        <f>GDS_Monthly!N369</f>
        <v>4.9990385713722931</v>
      </c>
      <c r="N252" s="18">
        <f>GDS_Monthly!C369</f>
        <v>113.62491612464909</v>
      </c>
      <c r="O252" s="18">
        <f>GDS_Monthly!F369</f>
        <v>1.7321376384219236</v>
      </c>
      <c r="P252" s="18">
        <f>GDS_Monthly!G369</f>
        <v>2.7300392426821425</v>
      </c>
      <c r="Q252" s="18">
        <f>GDS_Monthly!T369</f>
        <v>125.28325204142581</v>
      </c>
      <c r="R252" s="18">
        <f>GDS_Monthly!V369</f>
        <v>123.87563177923768</v>
      </c>
      <c r="S252" s="18">
        <f>GDS_Monthly!W369</f>
        <v>100.01078203644526</v>
      </c>
      <c r="T252" s="18">
        <f>GDS_Monthly!X369</f>
        <v>126.88952281072542</v>
      </c>
      <c r="U252" s="18">
        <f>GDS_Monthly!AA369</f>
        <v>108.47558688098249</v>
      </c>
      <c r="V252" s="18">
        <f>GDS_Monthly!AC369</f>
        <v>129.10417054079247</v>
      </c>
      <c r="W252" s="18">
        <f>GDS_Monthly!AE369</f>
        <v>142.59580836943252</v>
      </c>
      <c r="X252" s="18">
        <f>GDS_Monthly!AF369</f>
        <v>99.175882076785683</v>
      </c>
      <c r="Y252" s="18">
        <f>OECD!B252</f>
        <v>99.316360000000003</v>
      </c>
      <c r="Z252" s="18">
        <f>'Monthly Haver'!K255</f>
        <v>115.69779</v>
      </c>
      <c r="AA252" s="8">
        <f>OECD!C252</f>
        <v>122.42</v>
      </c>
    </row>
    <row r="253" spans="1:27" s="18" customFormat="1">
      <c r="A253" s="19" t="str">
        <f>'Monthly Haver'!A256</f>
        <v>Dec-2019</v>
      </c>
      <c r="B253" s="19">
        <f>'Monthly Haver'!C256</f>
        <v>51.906700000000001</v>
      </c>
      <c r="C253" s="19">
        <f>'Monthly Haver'!D256</f>
        <v>53.325699999999998</v>
      </c>
      <c r="D253" s="19">
        <f>'Monthly Haver'!E256</f>
        <v>49.351599999999998</v>
      </c>
      <c r="E253" s="19">
        <f>'Monthly Haver'!G256</f>
        <v>50.932099999999998</v>
      </c>
      <c r="F253" s="19">
        <f>'Monthly Haver'!H256</f>
        <v>50.070500000000003</v>
      </c>
      <c r="G253" s="19">
        <f>'Monthly Haver'!I256</f>
        <v>49.223700000000001</v>
      </c>
      <c r="H253" s="19">
        <f>'Monthly Haver'!J256</f>
        <v>51.988700000000001</v>
      </c>
      <c r="I253" s="19">
        <f>GDS_Monthly!O370</f>
        <v>73.386831831655414</v>
      </c>
      <c r="J253" s="19">
        <f>GDS_Monthly!D370</f>
        <v>132.74844455964595</v>
      </c>
      <c r="K253" s="19">
        <f>GDS_Monthly!AH370</f>
        <v>1219.4924106999999</v>
      </c>
      <c r="L253" s="19">
        <f>GDS_Monthly!AI370</f>
        <v>1219.8298701000001</v>
      </c>
      <c r="M253" s="19">
        <f>GDS_Monthly!N370</f>
        <v>4.9814986188692414</v>
      </c>
      <c r="N253" s="19">
        <f>GDS_Monthly!C370</f>
        <v>114.0144301580664</v>
      </c>
      <c r="O253" s="19">
        <f>GDS_Monthly!F370</f>
        <v>1.8686779687910933</v>
      </c>
      <c r="P253" s="19">
        <f>GDS_Monthly!G370</f>
        <v>2.6892117052107056</v>
      </c>
      <c r="Q253" s="19">
        <f>GDS_Monthly!T370</f>
        <v>125.6152416427679</v>
      </c>
      <c r="R253" s="19">
        <f>GDS_Monthly!V370</f>
        <v>124.06316697127036</v>
      </c>
      <c r="S253" s="19">
        <f>GDS_Monthly!W370</f>
        <v>103.73135981722206</v>
      </c>
      <c r="T253" s="19">
        <f>GDS_Monthly!X370</f>
        <v>131.21475254982565</v>
      </c>
      <c r="U253" s="19">
        <f>GDS_Monthly!AA370</f>
        <v>111.30343536645424</v>
      </c>
      <c r="V253" s="19">
        <f>GDS_Monthly!AC370</f>
        <v>132.36824095167262</v>
      </c>
      <c r="W253" s="19">
        <f>GDS_Monthly!AE370</f>
        <v>149.21508218750705</v>
      </c>
      <c r="X253" s="19">
        <f>GDS_Monthly!AF370</f>
        <v>99.143821036657997</v>
      </c>
      <c r="Y253" s="19">
        <f>OECD!B253</f>
        <v>99.432379999999995</v>
      </c>
      <c r="Z253" s="19">
        <f>'Monthly Haver'!K256</f>
        <v>114.88596</v>
      </c>
      <c r="AA253" s="8">
        <f>OECD!C253</f>
        <v>122.74</v>
      </c>
    </row>
    <row r="254" spans="1:27" s="18" customFormat="1">
      <c r="A254" s="19" t="str">
        <f>'Monthly Haver'!A257</f>
        <v>Jan-2020</v>
      </c>
      <c r="B254" s="19">
        <f>'Monthly Haver'!C257</f>
        <v>52.256100000000004</v>
      </c>
      <c r="C254" s="19">
        <f>'Monthly Haver'!D257</f>
        <v>53.894399999999997</v>
      </c>
      <c r="D254" s="19">
        <f>'Monthly Haver'!E257</f>
        <v>49.5242</v>
      </c>
      <c r="E254" s="19">
        <f>'Monthly Haver'!G257</f>
        <v>51.163200000000003</v>
      </c>
      <c r="F254" s="19">
        <f>'Monthly Haver'!H257</f>
        <v>50.357799999999997</v>
      </c>
      <c r="G254" s="19">
        <f>'Monthly Haver'!I257</f>
        <v>48.663600000000002</v>
      </c>
      <c r="H254" s="19">
        <f>'Monthly Haver'!J257</f>
        <v>52.7288</v>
      </c>
      <c r="I254" s="19">
        <f>GDS_Monthly!O371</f>
        <v>68.370955582852019</v>
      </c>
      <c r="J254" s="19">
        <f>GDS_Monthly!D371</f>
        <v>127.98143038791711</v>
      </c>
      <c r="K254" s="19">
        <f>GDS_Monthly!AH371</f>
        <v>1222.9438877</v>
      </c>
      <c r="L254" s="19">
        <f>GDS_Monthly!AI371</f>
        <v>1175.1976531</v>
      </c>
      <c r="M254" s="19">
        <f>GDS_Monthly!N371</f>
        <v>0</v>
      </c>
      <c r="N254" s="19">
        <f>GDS_Monthly!C371</f>
        <v>114.64714606786094</v>
      </c>
      <c r="O254" s="19">
        <f>GDS_Monthly!F371</f>
        <v>1.8092976687987665</v>
      </c>
      <c r="P254" s="19">
        <f>GDS_Monthly!G371</f>
        <v>2.5391059592609304</v>
      </c>
      <c r="Q254" s="19">
        <f>GDS_Monthly!T371</f>
        <v>125.92502813227253</v>
      </c>
      <c r="R254" s="19">
        <f>GDS_Monthly!V371</f>
        <v>124.27877924870742</v>
      </c>
      <c r="S254" s="19">
        <f>GDS_Monthly!W371</f>
        <v>105.36144797899708</v>
      </c>
      <c r="T254" s="19">
        <f>GDS_Monthly!X371</f>
        <v>133.35121804838161</v>
      </c>
      <c r="U254" s="19">
        <f>GDS_Monthly!AA371</f>
        <v>113.98177979485864</v>
      </c>
      <c r="V254" s="19">
        <f>GDS_Monthly!AC371</f>
        <v>127.41432450815657</v>
      </c>
      <c r="W254" s="19">
        <f>GDS_Monthly!AE371</f>
        <v>145.13585605005483</v>
      </c>
      <c r="X254" s="19">
        <f>GDS_Monthly!AF371</f>
        <v>100.33459591496492</v>
      </c>
      <c r="Y254" s="19">
        <f>OECD!B254</f>
        <v>0</v>
      </c>
      <c r="Z254" s="19">
        <f>'Monthly Haver'!K257</f>
        <v>113.84913</v>
      </c>
      <c r="AA254" s="8">
        <f>OECD!C254</f>
        <v>124.64</v>
      </c>
    </row>
    <row r="255" spans="1:27">
      <c r="A255" s="19" t="str">
        <f>'Monthly Haver'!A258</f>
        <v>Feb-2020</v>
      </c>
      <c r="B255" s="19">
        <f>'Monthly Haver'!C258</f>
        <v>46.344099999999997</v>
      </c>
      <c r="C255" s="19">
        <f>'Monthly Haver'!D258</f>
        <v>52.490200000000002</v>
      </c>
      <c r="D255" s="19">
        <f>'Monthly Haver'!E258</f>
        <v>45.179200000000002</v>
      </c>
      <c r="E255" s="19">
        <f>'Monthly Haver'!G258</f>
        <v>49.781399999999998</v>
      </c>
      <c r="F255" s="19">
        <f>'Monthly Haver'!H258</f>
        <v>47.1678</v>
      </c>
      <c r="G255" s="19">
        <f>'Monthly Haver'!I258</f>
        <v>48.115499999999997</v>
      </c>
      <c r="H255" s="19">
        <f>'Monthly Haver'!J258</f>
        <v>47.123899999999999</v>
      </c>
      <c r="I255" s="19">
        <f>GDS_Monthly!O372</f>
        <v>0</v>
      </c>
      <c r="J255" s="19">
        <f>GDS_Monthly!D372</f>
        <v>0</v>
      </c>
      <c r="K255" s="19">
        <f>GDS_Monthly!AH372</f>
        <v>0</v>
      </c>
      <c r="L255" s="19">
        <f>GDS_Monthly!AI372</f>
        <v>0</v>
      </c>
      <c r="M255" s="19">
        <f>GDS_Monthly!N372</f>
        <v>0</v>
      </c>
      <c r="N255" s="19">
        <f>GDS_Monthly!C372</f>
        <v>114.565537747918</v>
      </c>
      <c r="O255" s="19">
        <f>GDS_Monthly!F372</f>
        <v>1.6145329944360574</v>
      </c>
      <c r="P255" s="19">
        <f>GDS_Monthly!G372</f>
        <v>2.385378267983751</v>
      </c>
      <c r="Q255" s="19">
        <f>GDS_Monthly!T372</f>
        <v>126.26048343441599</v>
      </c>
      <c r="R255" s="19">
        <f>GDS_Monthly!V372</f>
        <v>124.47676666120641</v>
      </c>
      <c r="S255" s="19">
        <f>GDS_Monthly!W372</f>
        <v>101.4973764462753</v>
      </c>
      <c r="T255" s="19">
        <f>GDS_Monthly!X372</f>
        <v>126.00289384350455</v>
      </c>
      <c r="U255" s="19">
        <f>GDS_Monthly!AA372</f>
        <v>111.53698350886212</v>
      </c>
      <c r="V255" s="19">
        <f>GDS_Monthly!AC372</f>
        <v>110.31233151655762</v>
      </c>
      <c r="W255" s="19">
        <f>GDS_Monthly!AE372</f>
        <v>126.52869516698097</v>
      </c>
      <c r="X255" s="19">
        <f>GDS_Monthly!AF372</f>
        <v>98.733020949943565</v>
      </c>
      <c r="Y255" s="19">
        <f>OECD!B255</f>
        <v>0</v>
      </c>
      <c r="Z255" s="19">
        <f>'Monthly Haver'!K258</f>
        <v>115.21493</v>
      </c>
      <c r="AA255" s="8">
        <f>OECD!C255</f>
        <v>124.08</v>
      </c>
    </row>
    <row r="256" spans="1:27" s="33" customFormat="1">
      <c r="A256" s="33">
        <f>'Monthly Haver'!A259</f>
        <v>43891</v>
      </c>
      <c r="B256" s="33">
        <f>'Monthly Haver'!C259</f>
        <v>0</v>
      </c>
      <c r="C256" s="33">
        <f>'Monthly Haver'!D259</f>
        <v>0</v>
      </c>
      <c r="D256" s="33">
        <f>'Monthly Haver'!E259</f>
        <v>0</v>
      </c>
      <c r="E256" s="33">
        <f>'Monthly Haver'!G259</f>
        <v>0</v>
      </c>
      <c r="F256" s="33">
        <f>'Monthly Haver'!H259</f>
        <v>0</v>
      </c>
      <c r="G256" s="33">
        <f>'Monthly Haver'!I259</f>
        <v>0</v>
      </c>
      <c r="H256" s="33">
        <f>'Monthly Haver'!J259</f>
        <v>0</v>
      </c>
      <c r="I256" s="33">
        <f>GDS_Monthly!O373</f>
        <v>0</v>
      </c>
      <c r="J256" s="33">
        <f>GDS_Monthly!D373</f>
        <v>0</v>
      </c>
      <c r="K256" s="33">
        <f>GDS_Monthly!AH373</f>
        <v>0</v>
      </c>
      <c r="L256" s="33">
        <f>GDS_Monthly!AI373</f>
        <v>0</v>
      </c>
      <c r="M256" s="33">
        <f>GDS_Monthly!N373</f>
        <v>0</v>
      </c>
      <c r="N256" s="33">
        <f>GDS_Monthly!C373</f>
        <v>0</v>
      </c>
      <c r="O256" s="33">
        <f>GDS_Monthly!F373</f>
        <v>0</v>
      </c>
      <c r="P256" s="33">
        <f>GDS_Monthly!G373</f>
        <v>1.8756743474516826</v>
      </c>
      <c r="Q256" s="33">
        <f>GDS_Monthly!T373</f>
        <v>0</v>
      </c>
      <c r="R256" s="33">
        <f>GDS_Monthly!V373</f>
        <v>0</v>
      </c>
      <c r="S256" s="33">
        <f>GDS_Monthly!W373</f>
        <v>0</v>
      </c>
      <c r="T256" s="33">
        <f>GDS_Monthly!X373</f>
        <v>0</v>
      </c>
      <c r="U256" s="33">
        <f>GDS_Monthly!AA373</f>
        <v>0</v>
      </c>
      <c r="V256" s="33">
        <f>GDS_Monthly!AC373</f>
        <v>0</v>
      </c>
      <c r="W256" s="33">
        <f>GDS_Monthly!AE373</f>
        <v>0</v>
      </c>
      <c r="X256" s="33">
        <f>GDS_Monthly!AF373</f>
        <v>0</v>
      </c>
      <c r="Y256" s="33">
        <f>OECD!B256</f>
        <v>0</v>
      </c>
      <c r="Z256" s="33">
        <f>'Monthly Haver'!K259</f>
        <v>0</v>
      </c>
      <c r="AA256" s="8">
        <f>OECD!C256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0338-0ECA-4F85-9D37-FF95CBF1BEDE}">
  <sheetPr>
    <tabColor rgb="FFFF0000"/>
  </sheetPr>
  <dimension ref="A1:E86"/>
  <sheetViews>
    <sheetView tabSelected="1" zoomScaleNormal="100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E63" sqref="E63:E85"/>
    </sheetView>
  </sheetViews>
  <sheetFormatPr defaultRowHeight="15"/>
  <sheetData>
    <row r="1" spans="1:5">
      <c r="B1" t="s">
        <v>1120</v>
      </c>
      <c r="C1" t="s">
        <v>1125</v>
      </c>
      <c r="D1" t="s">
        <v>1130</v>
      </c>
      <c r="E1" t="s">
        <v>1160</v>
      </c>
    </row>
    <row r="2" spans="1:5">
      <c r="A2" t="s">
        <v>1038</v>
      </c>
      <c r="B2" s="8">
        <f>'Quarterly Haver'!C4</f>
        <v>90.89</v>
      </c>
      <c r="C2" s="8">
        <f>'Quarterly Haver'!D4</f>
        <v>79.09</v>
      </c>
      <c r="D2">
        <f>GDS_Quarterly!V45</f>
        <v>74.884141460986996</v>
      </c>
    </row>
    <row r="3" spans="1:5">
      <c r="A3" t="s">
        <v>1039</v>
      </c>
      <c r="B3" s="8">
        <f>'Quarterly Haver'!C5</f>
        <v>91.28</v>
      </c>
      <c r="C3" s="8">
        <f>'Quarterly Haver'!D5</f>
        <v>79.569999999999993</v>
      </c>
      <c r="D3">
        <f>GDS_Quarterly!V46</f>
        <v>75.464053295599328</v>
      </c>
    </row>
    <row r="4" spans="1:5">
      <c r="A4" t="s">
        <v>1040</v>
      </c>
      <c r="B4" s="8">
        <f>'Quarterly Haver'!C6</f>
        <v>91.69</v>
      </c>
      <c r="C4" s="8">
        <f>'Quarterly Haver'!D6</f>
        <v>80.19</v>
      </c>
      <c r="D4">
        <f>GDS_Quarterly!V47</f>
        <v>76.352560663188612</v>
      </c>
    </row>
    <row r="5" spans="1:5">
      <c r="A5" t="s">
        <v>1041</v>
      </c>
      <c r="B5" s="8">
        <f>'Quarterly Haver'!C7</f>
        <v>92.42</v>
      </c>
      <c r="C5" s="8">
        <f>'Quarterly Haver'!D7</f>
        <v>80.650000000000006</v>
      </c>
      <c r="D5">
        <f>GDS_Quarterly!V48</f>
        <v>77.366934548701821</v>
      </c>
    </row>
    <row r="6" spans="1:5">
      <c r="A6" t="s">
        <v>1042</v>
      </c>
      <c r="B6" s="8">
        <f>'Quarterly Haver'!C8</f>
        <v>92.66</v>
      </c>
      <c r="C6" s="8">
        <f>'Quarterly Haver'!D8</f>
        <v>81.08</v>
      </c>
      <c r="D6">
        <f>GDS_Quarterly!V49</f>
        <v>78.244539955883937</v>
      </c>
    </row>
    <row r="7" spans="1:5">
      <c r="A7" t="s">
        <v>1043</v>
      </c>
      <c r="B7" s="8">
        <f>'Quarterly Haver'!C9</f>
        <v>93.27</v>
      </c>
      <c r="C7" s="8">
        <f>'Quarterly Haver'!D9</f>
        <v>81.77</v>
      </c>
      <c r="D7">
        <f>GDS_Quarterly!V50</f>
        <v>79.135578631851743</v>
      </c>
    </row>
    <row r="8" spans="1:5">
      <c r="A8" t="s">
        <v>1044</v>
      </c>
      <c r="B8" s="8">
        <f>'Quarterly Haver'!C10</f>
        <v>93.74</v>
      </c>
      <c r="C8" s="8">
        <f>'Quarterly Haver'!D10</f>
        <v>82.13</v>
      </c>
      <c r="D8">
        <f>GDS_Quarterly!V51</f>
        <v>79.553245025262527</v>
      </c>
    </row>
    <row r="9" spans="1:5">
      <c r="A9" t="s">
        <v>1045</v>
      </c>
      <c r="B9" s="8">
        <f>'Quarterly Haver'!C11</f>
        <v>94.19</v>
      </c>
      <c r="C9" s="8">
        <f>'Quarterly Haver'!D11</f>
        <v>82.64</v>
      </c>
      <c r="D9">
        <f>GDS_Quarterly!V52</f>
        <v>80.060843599681618</v>
      </c>
    </row>
    <row r="10" spans="1:5">
      <c r="A10" t="s">
        <v>1046</v>
      </c>
      <c r="B10" s="8">
        <f>'Quarterly Haver'!C12</f>
        <v>94.87</v>
      </c>
      <c r="C10" s="8">
        <f>'Quarterly Haver'!D12</f>
        <v>83.24</v>
      </c>
      <c r="D10">
        <f>GDS_Quarterly!V53</f>
        <v>80.389858774626859</v>
      </c>
    </row>
    <row r="11" spans="1:5">
      <c r="A11" t="s">
        <v>1047</v>
      </c>
      <c r="B11" s="8">
        <f>'Quarterly Haver'!C13</f>
        <v>94.56</v>
      </c>
      <c r="C11" s="8">
        <f>'Quarterly Haver'!D13</f>
        <v>83.74</v>
      </c>
      <c r="D11">
        <f>GDS_Quarterly!V54</f>
        <v>80.603237820129607</v>
      </c>
    </row>
    <row r="12" spans="1:5">
      <c r="A12" t="s">
        <v>1048</v>
      </c>
      <c r="B12" s="8">
        <f>'Quarterly Haver'!C14</f>
        <v>95.66</v>
      </c>
      <c r="C12" s="8">
        <f>'Quarterly Haver'!D14</f>
        <v>84.57</v>
      </c>
      <c r="D12">
        <f>GDS_Quarterly!V55</f>
        <v>80.530171891991003</v>
      </c>
    </row>
    <row r="13" spans="1:5">
      <c r="A13" t="s">
        <v>1049</v>
      </c>
      <c r="B13" s="8">
        <f>'Quarterly Haver'!C15</f>
        <v>95.36</v>
      </c>
      <c r="C13" s="8">
        <f>'Quarterly Haver'!D15</f>
        <v>85.16</v>
      </c>
      <c r="D13">
        <f>GDS_Quarterly!V56</f>
        <v>80.704555942647858</v>
      </c>
    </row>
    <row r="14" spans="1:5">
      <c r="A14" t="s">
        <v>1050</v>
      </c>
      <c r="B14" s="8">
        <f>'Quarterly Haver'!C16</f>
        <v>96.23</v>
      </c>
      <c r="C14" s="8">
        <f>'Quarterly Haver'!D16</f>
        <v>86.15</v>
      </c>
      <c r="D14">
        <f>GDS_Quarterly!V57</f>
        <v>81.178151312836306</v>
      </c>
    </row>
    <row r="15" spans="1:5">
      <c r="A15" t="s">
        <v>1051</v>
      </c>
      <c r="B15" s="8">
        <f>'Quarterly Haver'!C17</f>
        <v>96.47</v>
      </c>
      <c r="C15" s="8">
        <f>'Quarterly Haver'!D17</f>
        <v>87.04</v>
      </c>
      <c r="D15">
        <f>GDS_Quarterly!V58</f>
        <v>81.849870496731668</v>
      </c>
    </row>
    <row r="16" spans="1:5">
      <c r="A16" t="s">
        <v>1052</v>
      </c>
      <c r="B16" s="8">
        <f>'Quarterly Haver'!C18</f>
        <v>96.38</v>
      </c>
      <c r="C16" s="8">
        <f>'Quarterly Haver'!D18</f>
        <v>88.05</v>
      </c>
      <c r="D16">
        <f>GDS_Quarterly!V59</f>
        <v>82.34779782059536</v>
      </c>
    </row>
    <row r="17" spans="1:4">
      <c r="A17" t="s">
        <v>1053</v>
      </c>
      <c r="B17" s="8">
        <f>'Quarterly Haver'!C19</f>
        <v>96.73</v>
      </c>
      <c r="C17" s="8">
        <f>'Quarterly Haver'!D19</f>
        <v>88.89</v>
      </c>
      <c r="D17">
        <f>GDS_Quarterly!V60</f>
        <v>82.660626717569471</v>
      </c>
    </row>
    <row r="18" spans="1:4">
      <c r="A18" t="s">
        <v>1054</v>
      </c>
      <c r="B18" s="8">
        <f>'Quarterly Haver'!C20</f>
        <v>96.42</v>
      </c>
      <c r="C18" s="8">
        <f>'Quarterly Haver'!D20</f>
        <v>89.38</v>
      </c>
      <c r="D18">
        <f>GDS_Quarterly!V61</f>
        <v>82.95476442154856</v>
      </c>
    </row>
    <row r="19" spans="1:4">
      <c r="A19" t="s">
        <v>1055</v>
      </c>
      <c r="B19" s="8">
        <f>'Quarterly Haver'!C21</f>
        <v>96.98</v>
      </c>
      <c r="C19" s="8">
        <f>'Quarterly Haver'!D21</f>
        <v>90.39</v>
      </c>
      <c r="D19">
        <f>GDS_Quarterly!V62</f>
        <v>83.480198020732715</v>
      </c>
    </row>
    <row r="20" spans="1:4">
      <c r="A20" t="s">
        <v>1056</v>
      </c>
      <c r="B20" s="8">
        <f>'Quarterly Haver'!C22</f>
        <v>97.77</v>
      </c>
      <c r="C20" s="8">
        <f>'Quarterly Haver'!D22</f>
        <v>91.2</v>
      </c>
      <c r="D20">
        <f>GDS_Quarterly!V63</f>
        <v>84.569959456597076</v>
      </c>
    </row>
    <row r="21" spans="1:4">
      <c r="A21" t="s">
        <v>1057</v>
      </c>
      <c r="B21" s="8">
        <f>'Quarterly Haver'!C23</f>
        <v>97.9</v>
      </c>
      <c r="C21" s="8">
        <f>'Quarterly Haver'!D23</f>
        <v>92.55</v>
      </c>
      <c r="D21">
        <f>GDS_Quarterly!V64</f>
        <v>85.614871664490678</v>
      </c>
    </row>
    <row r="22" spans="1:4">
      <c r="A22" t="s">
        <v>1058</v>
      </c>
      <c r="B22" s="8">
        <f>'Quarterly Haver'!C24</f>
        <v>98.36</v>
      </c>
      <c r="C22" s="8">
        <f>'Quarterly Haver'!D24</f>
        <v>93.21</v>
      </c>
      <c r="D22">
        <f>GDS_Quarterly!V65</f>
        <v>86.340845327601627</v>
      </c>
    </row>
    <row r="23" spans="1:4">
      <c r="A23" t="s">
        <v>1059</v>
      </c>
      <c r="B23" s="8">
        <f>'Quarterly Haver'!C25</f>
        <v>99.06</v>
      </c>
      <c r="C23" s="8">
        <f>'Quarterly Haver'!D25</f>
        <v>94.26</v>
      </c>
      <c r="D23">
        <f>GDS_Quarterly!V66</f>
        <v>87.013011199429968</v>
      </c>
    </row>
    <row r="24" spans="1:4">
      <c r="A24" t="s">
        <v>1060</v>
      </c>
      <c r="B24" s="8">
        <f>'Quarterly Haver'!C26</f>
        <v>99.33</v>
      </c>
      <c r="C24" s="8">
        <f>'Quarterly Haver'!D26</f>
        <v>95.86</v>
      </c>
      <c r="D24">
        <f>GDS_Quarterly!V67</f>
        <v>87.713767570326368</v>
      </c>
    </row>
    <row r="25" spans="1:4">
      <c r="A25" t="s">
        <v>1061</v>
      </c>
      <c r="B25" s="8">
        <f>'Quarterly Haver'!C27</f>
        <v>99.87</v>
      </c>
      <c r="C25" s="8">
        <f>'Quarterly Haver'!D27</f>
        <v>96.73</v>
      </c>
      <c r="D25">
        <f>GDS_Quarterly!V68</f>
        <v>88.356433004069686</v>
      </c>
    </row>
    <row r="26" spans="1:4">
      <c r="A26" t="s">
        <v>1062</v>
      </c>
      <c r="B26" s="8">
        <f>'Quarterly Haver'!C28</f>
        <v>99.34</v>
      </c>
      <c r="C26" s="8">
        <f>'Quarterly Haver'!D28</f>
        <v>98.02</v>
      </c>
      <c r="D26">
        <f>GDS_Quarterly!V69</f>
        <v>89.161507436546032</v>
      </c>
    </row>
    <row r="27" spans="1:4">
      <c r="A27" t="s">
        <v>1063</v>
      </c>
      <c r="B27" s="8">
        <f>'Quarterly Haver'!C29</f>
        <v>99.88</v>
      </c>
      <c r="C27" s="8">
        <f>'Quarterly Haver'!D29</f>
        <v>99.49</v>
      </c>
      <c r="D27">
        <f>GDS_Quarterly!V70</f>
        <v>89.920645898448925</v>
      </c>
    </row>
    <row r="28" spans="1:4">
      <c r="A28" t="s">
        <v>1064</v>
      </c>
      <c r="B28" s="8">
        <f>'Quarterly Haver'!C30</f>
        <v>100.04</v>
      </c>
      <c r="C28" s="8">
        <f>'Quarterly Haver'!D30</f>
        <v>100.74</v>
      </c>
      <c r="D28">
        <f>GDS_Quarterly!V71</f>
        <v>90.837665569411612</v>
      </c>
    </row>
    <row r="29" spans="1:4">
      <c r="A29" t="s">
        <v>1065</v>
      </c>
      <c r="B29" s="8">
        <f>'Quarterly Haver'!C31</f>
        <v>100.74</v>
      </c>
      <c r="C29" s="8">
        <f>'Quarterly Haver'!D31</f>
        <v>101.76</v>
      </c>
      <c r="D29">
        <f>GDS_Quarterly!V72</f>
        <v>91.6943198424879</v>
      </c>
    </row>
    <row r="30" spans="1:4">
      <c r="A30" t="s">
        <v>1066</v>
      </c>
      <c r="B30" s="8">
        <f>'Quarterly Haver'!C32</f>
        <v>101.5</v>
      </c>
      <c r="C30" s="8">
        <f>'Quarterly Haver'!D32</f>
        <v>102.88</v>
      </c>
      <c r="D30">
        <f>GDS_Quarterly!V73</f>
        <v>92.779482888844996</v>
      </c>
    </row>
    <row r="31" spans="1:4">
      <c r="A31" t="s">
        <v>1067</v>
      </c>
      <c r="B31" s="8">
        <f>'Quarterly Haver'!C33</f>
        <v>101.72</v>
      </c>
      <c r="C31" s="8">
        <f>'Quarterly Haver'!D33</f>
        <v>103.59</v>
      </c>
      <c r="D31">
        <f>GDS_Quarterly!V74</f>
        <v>93.486064041804752</v>
      </c>
    </row>
    <row r="32" spans="1:4">
      <c r="A32" t="s">
        <v>1068</v>
      </c>
      <c r="B32" s="8">
        <f>'Quarterly Haver'!C34</f>
        <v>102.12</v>
      </c>
      <c r="C32" s="8">
        <f>'Quarterly Haver'!D34</f>
        <v>104.13</v>
      </c>
      <c r="D32">
        <f>GDS_Quarterly!V75</f>
        <v>94.042667651106868</v>
      </c>
    </row>
    <row r="33" spans="1:4">
      <c r="A33" t="s">
        <v>1069</v>
      </c>
      <c r="B33" s="8">
        <f>'Quarterly Haver'!C35</f>
        <v>103.11</v>
      </c>
      <c r="C33" s="8">
        <f>'Quarterly Haver'!D35</f>
        <v>105.37</v>
      </c>
      <c r="D33">
        <f>GDS_Quarterly!V76</f>
        <v>95.196403169410573</v>
      </c>
    </row>
    <row r="34" spans="1:4">
      <c r="A34" t="s">
        <v>1070</v>
      </c>
      <c r="B34" s="8">
        <f>'Quarterly Haver'!C36</f>
        <v>103.5</v>
      </c>
      <c r="C34" s="8">
        <f>'Quarterly Haver'!D36</f>
        <v>105.66</v>
      </c>
      <c r="D34">
        <f>GDS_Quarterly!V77</f>
        <v>96.126810330997472</v>
      </c>
    </row>
    <row r="35" spans="1:4">
      <c r="A35" t="s">
        <v>1071</v>
      </c>
      <c r="B35" s="8">
        <f>'Quarterly Haver'!C37</f>
        <v>103.68</v>
      </c>
      <c r="C35" s="8">
        <f>'Quarterly Haver'!D37</f>
        <v>105.77</v>
      </c>
      <c r="D35">
        <f>GDS_Quarterly!V78</f>
        <v>96.938428274753136</v>
      </c>
    </row>
    <row r="36" spans="1:4">
      <c r="A36" t="s">
        <v>1072</v>
      </c>
      <c r="B36" s="8">
        <f>'Quarterly Haver'!C38</f>
        <v>103.66</v>
      </c>
      <c r="C36" s="8">
        <f>'Quarterly Haver'!D38</f>
        <v>105.41</v>
      </c>
      <c r="D36">
        <f>GDS_Quarterly!V79</f>
        <v>97.576208447929048</v>
      </c>
    </row>
    <row r="37" spans="1:4">
      <c r="A37" t="s">
        <v>1073</v>
      </c>
      <c r="B37" s="8">
        <f>'Quarterly Haver'!C39</f>
        <v>103.65</v>
      </c>
      <c r="C37" s="8">
        <f>'Quarterly Haver'!D39</f>
        <v>104.83</v>
      </c>
      <c r="D37">
        <f>GDS_Quarterly!V80</f>
        <v>98.546321423208795</v>
      </c>
    </row>
    <row r="38" spans="1:4">
      <c r="A38" t="s">
        <v>1074</v>
      </c>
      <c r="B38" s="8">
        <f>'Quarterly Haver'!C40</f>
        <v>103.83</v>
      </c>
      <c r="C38" s="8">
        <f>'Quarterly Haver'!D40</f>
        <v>103.96</v>
      </c>
      <c r="D38">
        <f>GDS_Quarterly!V81</f>
        <v>98.958675847879761</v>
      </c>
    </row>
    <row r="39" spans="1:4">
      <c r="A39" t="s">
        <v>1075</v>
      </c>
      <c r="B39" s="8">
        <f>'Quarterly Haver'!C41</f>
        <v>104.6</v>
      </c>
      <c r="C39" s="8">
        <f>'Quarterly Haver'!D41</f>
        <v>101.87</v>
      </c>
      <c r="D39">
        <f>GDS_Quarterly!V82</f>
        <v>99.202512004662026</v>
      </c>
    </row>
    <row r="40" spans="1:4">
      <c r="A40" t="s">
        <v>1076</v>
      </c>
      <c r="B40" s="8">
        <f>'Quarterly Haver'!C42</f>
        <v>103.28</v>
      </c>
      <c r="C40" s="8">
        <f>'Quarterly Haver'!D42</f>
        <v>98.91</v>
      </c>
      <c r="D40">
        <f>GDS_Quarterly!V83</f>
        <v>98.844235441763374</v>
      </c>
    </row>
    <row r="41" spans="1:4">
      <c r="A41" t="s">
        <v>1077</v>
      </c>
      <c r="B41" s="8">
        <f>'Quarterly Haver'!C43</f>
        <v>103.52</v>
      </c>
      <c r="C41" s="8">
        <f>'Quarterly Haver'!D43</f>
        <v>97.93</v>
      </c>
      <c r="D41">
        <f>GDS_Quarterly!V84</f>
        <v>97.026038702953926</v>
      </c>
    </row>
    <row r="42" spans="1:4">
      <c r="A42" t="s">
        <v>1078</v>
      </c>
      <c r="B42" s="8">
        <f>'Quarterly Haver'!C44</f>
        <v>103.59</v>
      </c>
      <c r="C42" s="8">
        <f>'Quarterly Haver'!D44</f>
        <v>97.53</v>
      </c>
      <c r="D42">
        <f>GDS_Quarterly!V85</f>
        <v>95.076177824489633</v>
      </c>
    </row>
    <row r="43" spans="1:4">
      <c r="A43" t="s">
        <v>1079</v>
      </c>
      <c r="B43" s="8">
        <f>'Quarterly Haver'!C45</f>
        <v>104.23</v>
      </c>
      <c r="C43" s="8">
        <f>'Quarterly Haver'!D45</f>
        <v>96.25</v>
      </c>
      <c r="D43">
        <f>GDS_Quarterly!V86</f>
        <v>95.619353509242103</v>
      </c>
    </row>
    <row r="44" spans="1:4">
      <c r="A44" t="s">
        <v>1080</v>
      </c>
      <c r="B44" s="8">
        <f>'Quarterly Haver'!C46</f>
        <v>103.81</v>
      </c>
      <c r="C44" s="8">
        <f>'Quarterly Haver'!D46</f>
        <v>95.41</v>
      </c>
      <c r="D44">
        <f>GDS_Quarterly!V87</f>
        <v>96.462126071420144</v>
      </c>
    </row>
    <row r="45" spans="1:4">
      <c r="A45" t="s">
        <v>1081</v>
      </c>
      <c r="B45" s="8">
        <f>'Quarterly Haver'!C47</f>
        <v>103.88</v>
      </c>
      <c r="C45" s="8">
        <f>'Quarterly Haver'!D47</f>
        <v>95.43</v>
      </c>
      <c r="D45">
        <f>GDS_Quarterly!V88</f>
        <v>97.532929759671333</v>
      </c>
    </row>
    <row r="46" spans="1:4">
      <c r="A46" t="s">
        <v>1082</v>
      </c>
      <c r="B46" s="8">
        <f>'Quarterly Haver'!C48</f>
        <v>104.21</v>
      </c>
      <c r="C46" s="8">
        <f>'Quarterly Haver'!D48</f>
        <v>95.17</v>
      </c>
      <c r="D46">
        <f>GDS_Quarterly!V89</f>
        <v>98.415524779069301</v>
      </c>
    </row>
    <row r="47" spans="1:4">
      <c r="A47" t="s">
        <v>1083</v>
      </c>
      <c r="B47" s="8">
        <f>'Quarterly Haver'!C49</f>
        <v>104.84</v>
      </c>
      <c r="C47" s="8">
        <f>'Quarterly Haver'!D49</f>
        <v>94.96</v>
      </c>
      <c r="D47">
        <f>GDS_Quarterly!V90</f>
        <v>99.630047937267065</v>
      </c>
    </row>
    <row r="48" spans="1:4">
      <c r="A48" t="s">
        <v>1084</v>
      </c>
      <c r="B48" s="8">
        <f>'Quarterly Haver'!C50</f>
        <v>105.24</v>
      </c>
      <c r="C48" s="8">
        <f>'Quarterly Haver'!D50</f>
        <v>95.16</v>
      </c>
      <c r="D48">
        <f>GDS_Quarterly!V91</f>
        <v>100.57094438842317</v>
      </c>
    </row>
    <row r="49" spans="1:5">
      <c r="A49" t="s">
        <v>1085</v>
      </c>
      <c r="B49" s="8">
        <f>'Quarterly Haver'!C51</f>
        <v>105.5</v>
      </c>
      <c r="C49" s="8">
        <f>'Quarterly Haver'!D51</f>
        <v>94.64</v>
      </c>
      <c r="D49">
        <f>GDS_Quarterly!V92</f>
        <v>101.38348289524043</v>
      </c>
    </row>
    <row r="50" spans="1:5">
      <c r="A50" t="s">
        <v>1086</v>
      </c>
      <c r="B50" s="8">
        <f>'Quarterly Haver'!C52</f>
        <v>105.85</v>
      </c>
      <c r="C50" s="8">
        <f>'Quarterly Haver'!D52</f>
        <v>93.31</v>
      </c>
      <c r="D50">
        <f>GDS_Quarterly!V93</f>
        <v>101.9884691594095</v>
      </c>
    </row>
    <row r="51" spans="1:5">
      <c r="A51" t="s">
        <v>1087</v>
      </c>
      <c r="B51" s="8">
        <f>'Quarterly Haver'!C53</f>
        <v>105.77</v>
      </c>
      <c r="C51" s="8">
        <f>'Quarterly Haver'!D53</f>
        <v>92.39</v>
      </c>
      <c r="D51">
        <f>GDS_Quarterly!V94</f>
        <v>102.57241220542565</v>
      </c>
    </row>
    <row r="52" spans="1:5">
      <c r="A52" t="s">
        <v>1088</v>
      </c>
      <c r="B52" s="8">
        <f>'Quarterly Haver'!C54</f>
        <v>105.93</v>
      </c>
      <c r="C52" s="8">
        <f>'Quarterly Haver'!D54</f>
        <v>92.31</v>
      </c>
      <c r="D52">
        <f>GDS_Quarterly!V95</f>
        <v>103.30900085616864</v>
      </c>
    </row>
    <row r="53" spans="1:5">
      <c r="A53" t="s">
        <v>1089</v>
      </c>
      <c r="B53" s="8">
        <f>'Quarterly Haver'!C55</f>
        <v>106.02</v>
      </c>
      <c r="C53" s="8">
        <f>'Quarterly Haver'!D55</f>
        <v>92.02</v>
      </c>
      <c r="D53">
        <f>GDS_Quarterly!V96</f>
        <v>103.88077027294027</v>
      </c>
    </row>
    <row r="54" spans="1:5">
      <c r="A54" t="s">
        <v>1090</v>
      </c>
      <c r="B54" s="8">
        <f>'Quarterly Haver'!C56</f>
        <v>106.55</v>
      </c>
      <c r="C54" s="8">
        <f>'Quarterly Haver'!D56</f>
        <v>91.26</v>
      </c>
      <c r="D54">
        <f>GDS_Quarterly!V97</f>
        <v>104.67628377843808</v>
      </c>
    </row>
    <row r="55" spans="1:5">
      <c r="A55" t="s">
        <v>1091</v>
      </c>
      <c r="B55" s="8">
        <f>'Quarterly Haver'!C57</f>
        <v>106.84</v>
      </c>
      <c r="C55" s="8">
        <f>'Quarterly Haver'!D57</f>
        <v>90.97</v>
      </c>
      <c r="D55">
        <f>GDS_Quarterly!V98</f>
        <v>105.00499061525007</v>
      </c>
    </row>
    <row r="56" spans="1:5">
      <c r="A56" t="s">
        <v>1092</v>
      </c>
      <c r="B56" s="8">
        <f>'Quarterly Haver'!C58</f>
        <v>106.4</v>
      </c>
      <c r="C56" s="8">
        <f>'Quarterly Haver'!D58</f>
        <v>91.13</v>
      </c>
      <c r="D56">
        <f>GDS_Quarterly!V99</f>
        <v>105.48588294125089</v>
      </c>
    </row>
    <row r="57" spans="1:5">
      <c r="A57" t="s">
        <v>1093</v>
      </c>
      <c r="B57" s="8">
        <f>'Quarterly Haver'!C59</f>
        <v>107.41</v>
      </c>
      <c r="C57" s="8">
        <f>'Quarterly Haver'!D59</f>
        <v>91.02</v>
      </c>
      <c r="D57">
        <f>GDS_Quarterly!V100</f>
        <v>105.85603037225735</v>
      </c>
    </row>
    <row r="58" spans="1:5">
      <c r="A58" t="s">
        <v>1094</v>
      </c>
      <c r="B58" s="8">
        <f>'Quarterly Haver'!C60</f>
        <v>105.77</v>
      </c>
      <c r="C58" s="8">
        <f>'Quarterly Haver'!D60</f>
        <v>90.93</v>
      </c>
      <c r="D58">
        <f>GDS_Quarterly!V101</f>
        <v>106.62614357316862</v>
      </c>
    </row>
    <row r="59" spans="1:5">
      <c r="A59" t="s">
        <v>1095</v>
      </c>
      <c r="B59" s="8">
        <f>'Quarterly Haver'!C61</f>
        <v>106.25</v>
      </c>
      <c r="C59" s="8">
        <f>'Quarterly Haver'!D61</f>
        <v>91.57</v>
      </c>
      <c r="D59">
        <f>GDS_Quarterly!V102</f>
        <v>107.41274362574748</v>
      </c>
    </row>
    <row r="60" spans="1:5">
      <c r="A60" t="s">
        <v>1096</v>
      </c>
      <c r="B60" s="8">
        <f>'Quarterly Haver'!C62</f>
        <v>106.56</v>
      </c>
      <c r="C60" s="8">
        <f>'Quarterly Haver'!D62</f>
        <v>91.91</v>
      </c>
      <c r="D60">
        <f>GDS_Quarterly!V103</f>
        <v>108.34287144430293</v>
      </c>
    </row>
    <row r="61" spans="1:5">
      <c r="A61" t="s">
        <v>1097</v>
      </c>
      <c r="B61" s="8">
        <f>'Quarterly Haver'!C63</f>
        <v>106.65</v>
      </c>
      <c r="C61" s="8">
        <f>'Quarterly Haver'!D63</f>
        <v>92.23</v>
      </c>
      <c r="D61">
        <f>GDS_Quarterly!V104</f>
        <v>109.08318539381617</v>
      </c>
    </row>
    <row r="62" spans="1:5">
      <c r="A62" t="s">
        <v>1098</v>
      </c>
      <c r="B62" s="8">
        <f>'Quarterly Haver'!C64</f>
        <v>107.12</v>
      </c>
      <c r="C62" s="8">
        <f>'Quarterly Haver'!D64</f>
        <v>92.51</v>
      </c>
      <c r="D62">
        <f>GDS_Quarterly!V105</f>
        <v>109.62108030818571</v>
      </c>
    </row>
    <row r="63" spans="1:5">
      <c r="A63" t="s">
        <v>1099</v>
      </c>
      <c r="B63" s="8">
        <f>'Quarterly Haver'!C65</f>
        <v>107.73</v>
      </c>
      <c r="C63" s="8">
        <f>'Quarterly Haver'!D65</f>
        <v>93.14</v>
      </c>
      <c r="D63">
        <f>GDS_Quarterly!V106</f>
        <v>110.30751423674674</v>
      </c>
      <c r="E63" s="8">
        <v>3.9615564688765925</v>
      </c>
    </row>
    <row r="64" spans="1:5">
      <c r="A64" t="s">
        <v>1100</v>
      </c>
      <c r="B64" s="8">
        <f>'Quarterly Haver'!C66</f>
        <v>108.49</v>
      </c>
      <c r="C64" s="8">
        <f>'Quarterly Haver'!D66</f>
        <v>93.74</v>
      </c>
      <c r="D64">
        <f>GDS_Quarterly!V107</f>
        <v>111.23297888863641</v>
      </c>
      <c r="E64" s="8">
        <v>4.2095702887931186</v>
      </c>
    </row>
    <row r="65" spans="1:5">
      <c r="A65" t="s">
        <v>1101</v>
      </c>
      <c r="B65" s="8">
        <f>'Quarterly Haver'!C67</f>
        <v>109.27</v>
      </c>
      <c r="C65" s="8">
        <f>'Quarterly Haver'!D67</f>
        <v>94.28</v>
      </c>
      <c r="D65">
        <f>GDS_Quarterly!V108</f>
        <v>112.00907223023229</v>
      </c>
      <c r="E65" s="8">
        <v>3.6929338604900774</v>
      </c>
    </row>
    <row r="66" spans="1:5">
      <c r="A66" t="s">
        <v>1102</v>
      </c>
      <c r="B66" s="8">
        <f>'Quarterly Haver'!C68</f>
        <v>110.19</v>
      </c>
      <c r="C66" s="8">
        <f>'Quarterly Haver'!D68</f>
        <v>95.24</v>
      </c>
      <c r="D66">
        <f>GDS_Quarterly!V109</f>
        <v>112.87329228129515</v>
      </c>
      <c r="E66" s="8">
        <v>3.7225542250464372</v>
      </c>
    </row>
    <row r="67" spans="1:5">
      <c r="A67" t="s">
        <v>1103</v>
      </c>
      <c r="B67" s="8">
        <f>'Quarterly Haver'!C69</f>
        <v>110.75</v>
      </c>
      <c r="C67" s="8">
        <f>'Quarterly Haver'!D69</f>
        <v>96.06</v>
      </c>
      <c r="D67">
        <f>GDS_Quarterly!V110</f>
        <v>113.57745025630955</v>
      </c>
      <c r="E67" s="8">
        <v>3.749404220372754</v>
      </c>
    </row>
    <row r="68" spans="1:5">
      <c r="A68" t="s">
        <v>1104</v>
      </c>
      <c r="B68" s="8">
        <f>'Quarterly Haver'!C70</f>
        <v>111.3</v>
      </c>
      <c r="C68" s="8">
        <f>'Quarterly Haver'!D70</f>
        <v>97</v>
      </c>
      <c r="D68">
        <f>GDS_Quarterly!V111</f>
        <v>114.27872197650582</v>
      </c>
      <c r="E68" s="8">
        <v>3.4666353992788945</v>
      </c>
    </row>
    <row r="69" spans="1:5">
      <c r="A69" t="s">
        <v>1105</v>
      </c>
      <c r="B69" s="8">
        <f>'Quarterly Haver'!C71</f>
        <v>111.48</v>
      </c>
      <c r="C69" s="8">
        <f>'Quarterly Haver'!D71</f>
        <v>97.78</v>
      </c>
      <c r="D69">
        <f>GDS_Quarterly!V112</f>
        <v>114.74083468932889</v>
      </c>
      <c r="E69" s="8">
        <v>2.7711883371334345</v>
      </c>
    </row>
    <row r="70" spans="1:5">
      <c r="A70" t="s">
        <v>1106</v>
      </c>
      <c r="B70" s="8">
        <f>'Quarterly Haver'!C72</f>
        <v>111.78</v>
      </c>
      <c r="C70" s="8">
        <f>'Quarterly Haver'!D72</f>
        <v>98.91</v>
      </c>
      <c r="D70">
        <f>GDS_Quarterly!V113</f>
        <v>115.51005971448483</v>
      </c>
      <c r="E70" s="8">
        <v>4.0979582458981589</v>
      </c>
    </row>
    <row r="71" spans="1:5">
      <c r="A71" t="s">
        <v>1107</v>
      </c>
      <c r="B71" s="8">
        <f>'Quarterly Haver'!C73</f>
        <v>111.91</v>
      </c>
      <c r="C71" s="8">
        <f>'Quarterly Haver'!D73</f>
        <v>100.06</v>
      </c>
      <c r="D71">
        <f>GDS_Quarterly!V114</f>
        <v>116.23234235299394</v>
      </c>
      <c r="E71" s="8">
        <v>3.6700242708192832</v>
      </c>
    </row>
    <row r="72" spans="1:5">
      <c r="A72" t="s">
        <v>1108</v>
      </c>
      <c r="B72" s="8">
        <f>'Quarterly Haver'!C74</f>
        <v>112.26</v>
      </c>
      <c r="C72" s="8">
        <f>'Quarterly Haver'!D74</f>
        <v>101.19</v>
      </c>
      <c r="D72">
        <f>GDS_Quarterly!V115</f>
        <v>116.99328645389306</v>
      </c>
      <c r="E72" s="8">
        <v>3.6174156707559524</v>
      </c>
    </row>
    <row r="73" spans="1:5">
      <c r="A73" t="s">
        <v>1109</v>
      </c>
      <c r="B73" s="8">
        <f>'Quarterly Haver'!C75</f>
        <v>112.52</v>
      </c>
      <c r="C73" s="8">
        <f>'Quarterly Haver'!D75</f>
        <v>101.83</v>
      </c>
      <c r="D73">
        <f>GDS_Quarterly!V116</f>
        <v>118.00063744661983</v>
      </c>
      <c r="E73" s="8">
        <v>4.1765519058043044</v>
      </c>
    </row>
    <row r="74" spans="1:5">
      <c r="A74" t="s">
        <v>1110</v>
      </c>
      <c r="B74" s="8">
        <f>'Quarterly Haver'!C76</f>
        <v>113.27</v>
      </c>
      <c r="C74" s="8">
        <f>'Quarterly Haver'!D76</f>
        <v>102.58</v>
      </c>
      <c r="D74">
        <f>GDS_Quarterly!V117</f>
        <v>118.98983553186775</v>
      </c>
      <c r="E74" s="8">
        <v>3.6282714028363028</v>
      </c>
    </row>
    <row r="75" spans="1:5">
      <c r="A75" t="s">
        <v>1111</v>
      </c>
      <c r="B75" s="8">
        <f>'Quarterly Haver'!C77</f>
        <v>113.83</v>
      </c>
      <c r="C75" s="8">
        <f>'Quarterly Haver'!D77</f>
        <v>104.16</v>
      </c>
      <c r="D75">
        <f>GDS_Quarterly!V118</f>
        <v>119.98593590894231</v>
      </c>
      <c r="E75" s="8">
        <v>4.3837468733485263</v>
      </c>
    </row>
    <row r="76" spans="1:5">
      <c r="A76" t="s">
        <v>1112</v>
      </c>
      <c r="B76" s="8">
        <f>'Quarterly Haver'!C78</f>
        <v>114.39</v>
      </c>
      <c r="C76" s="8">
        <f>'Quarterly Haver'!D78</f>
        <v>104.72</v>
      </c>
      <c r="D76">
        <f>GDS_Quarterly!V119</f>
        <v>121.12554150096773</v>
      </c>
      <c r="E76" s="8">
        <v>4.7809555837545981</v>
      </c>
    </row>
    <row r="77" spans="1:5">
      <c r="A77" t="s">
        <v>1113</v>
      </c>
      <c r="B77" s="8">
        <f>'Quarterly Haver'!C79</f>
        <v>115.03</v>
      </c>
      <c r="C77" s="8">
        <f>'Quarterly Haver'!D79</f>
        <v>104.95</v>
      </c>
      <c r="D77">
        <f>GDS_Quarterly!V120</f>
        <v>122.19594596366825</v>
      </c>
      <c r="E77" s="8">
        <v>4.3335544120641556</v>
      </c>
    </row>
    <row r="78" spans="1:5">
      <c r="A78" t="s">
        <v>1114</v>
      </c>
      <c r="B78" s="8">
        <f>'Quarterly Haver'!C80</f>
        <v>115.89</v>
      </c>
      <c r="C78" s="8">
        <f>'Quarterly Haver'!D80</f>
        <v>105.39</v>
      </c>
      <c r="D78">
        <f>GDS_Quarterly!V121</f>
        <v>123.06975953748869</v>
      </c>
      <c r="E78" s="8">
        <v>3.4500096047045625</v>
      </c>
    </row>
    <row r="79" spans="1:5">
      <c r="A79" t="s">
        <v>1115</v>
      </c>
      <c r="B79" s="8">
        <f>'Quarterly Haver'!C81</f>
        <v>116.43</v>
      </c>
      <c r="C79" s="8">
        <f>'Quarterly Haver'!D81</f>
        <v>106.26</v>
      </c>
      <c r="D79">
        <f>GDS_Quarterly!V122</f>
        <v>123.99203431326067</v>
      </c>
      <c r="E79" s="8">
        <v>3.6450356750515667</v>
      </c>
    </row>
    <row r="80" spans="1:5">
      <c r="A80" t="s">
        <v>1116</v>
      </c>
      <c r="B80" s="8">
        <f>'Quarterly Haver'!C82</f>
        <v>116.86</v>
      </c>
      <c r="C80" s="8">
        <f>'Quarterly Haver'!D82</f>
        <v>106.64</v>
      </c>
      <c r="D80">
        <f>GDS_Quarterly!V123</f>
        <v>124.68749029763262</v>
      </c>
      <c r="E80" s="8">
        <v>2.9995798731003331</v>
      </c>
    </row>
    <row r="81" spans="1:5">
      <c r="A81" t="s">
        <v>1117</v>
      </c>
      <c r="B81" s="8">
        <f>'Quarterly Haver'!C83</f>
        <v>117.48</v>
      </c>
      <c r="C81" s="8">
        <f>'Quarterly Haver'!D83</f>
        <v>106.9</v>
      </c>
      <c r="D81">
        <f>GDS_Quarterly!V124</f>
        <v>125.36766800398762</v>
      </c>
      <c r="E81" s="8">
        <v>2.8421520960892455</v>
      </c>
    </row>
    <row r="82" spans="1:5">
      <c r="A82" t="s">
        <v>1118</v>
      </c>
      <c r="B82" s="8">
        <f>'Quarterly Haver'!C84</f>
        <v>118.3</v>
      </c>
      <c r="C82" s="8">
        <f>'Quarterly Haver'!D84</f>
        <v>107.44</v>
      </c>
      <c r="D82">
        <f>GDS_Quarterly!V125</f>
        <v>126.21835179216805</v>
      </c>
      <c r="E82" s="8">
        <v>3.002344805132795</v>
      </c>
    </row>
    <row r="83" spans="1:5">
      <c r="A83" t="s">
        <v>1152</v>
      </c>
      <c r="B83" s="8">
        <f>'Quarterly Haver'!C85</f>
        <v>118.61</v>
      </c>
      <c r="C83" s="8">
        <f>'Quarterly Haver'!D85</f>
        <v>107.94</v>
      </c>
      <c r="D83" s="13">
        <f>GDS_Quarterly!V126</f>
        <v>127.0402367721524</v>
      </c>
      <c r="E83" s="8">
        <v>3.4013271283909852</v>
      </c>
    </row>
    <row r="84" spans="1:5">
      <c r="A84" s="13" t="s">
        <v>1159</v>
      </c>
      <c r="B84" s="8">
        <f>'Quarterly Haver'!C86</f>
        <v>119.1</v>
      </c>
      <c r="C84" s="8">
        <f>'Quarterly Haver'!D86</f>
        <v>108.55</v>
      </c>
      <c r="D84" s="18">
        <f>GDS_Quarterly!V127</f>
        <v>127.80661894210897</v>
      </c>
      <c r="E84" s="8">
        <v>3.0027110527812484</v>
      </c>
    </row>
    <row r="85" spans="1:5">
      <c r="A85" s="18" t="s">
        <v>1166</v>
      </c>
      <c r="B85" s="8"/>
      <c r="C85" s="8"/>
      <c r="D85" s="18">
        <f>GDS_Quarterly!V128</f>
        <v>128.38092974473832</v>
      </c>
      <c r="E85" s="8">
        <v>2.6073256805054568</v>
      </c>
    </row>
    <row r="86" spans="1:5">
      <c r="B86" s="8"/>
      <c r="C86" s="8"/>
      <c r="D86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65"/>
  <sheetViews>
    <sheetView workbookViewId="0">
      <pane xSplit="1" ySplit="1" topLeftCell="P235" activePane="bottomRight" state="frozen"/>
      <selection pane="topRight" activeCell="B1" sqref="B1"/>
      <selection pane="bottomLeft" activeCell="A2" sqref="A2"/>
      <selection pane="bottomRight" activeCell="P252" sqref="P252"/>
    </sheetView>
  </sheetViews>
  <sheetFormatPr defaultRowHeight="15"/>
  <cols>
    <col min="1" max="1" width="9.7109375" bestFit="1" customWidth="1"/>
    <col min="32" max="32" width="9.140625" style="33"/>
  </cols>
  <sheetData>
    <row r="1" spans="1:32">
      <c r="A1" s="6" t="s">
        <v>1153</v>
      </c>
      <c r="B1" s="1" t="s">
        <v>1016</v>
      </c>
      <c r="C1" s="1" t="s">
        <v>1017</v>
      </c>
      <c r="D1" s="1" t="s">
        <v>1018</v>
      </c>
      <c r="E1" s="1" t="s">
        <v>1132</v>
      </c>
      <c r="F1" s="1" t="s">
        <v>1131</v>
      </c>
      <c r="G1" s="1" t="s">
        <v>1019</v>
      </c>
      <c r="H1" s="1" t="s">
        <v>1020</v>
      </c>
      <c r="I1" s="1" t="s">
        <v>1021</v>
      </c>
      <c r="J1" s="1" t="s">
        <v>1022</v>
      </c>
      <c r="K1" s="6" t="s">
        <v>1023</v>
      </c>
      <c r="L1" s="6" t="s">
        <v>1024</v>
      </c>
      <c r="M1" s="1" t="s">
        <v>1133</v>
      </c>
      <c r="N1" s="1" t="s">
        <v>1134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t="s">
        <v>1035</v>
      </c>
      <c r="Z1" s="1" t="s">
        <v>1144</v>
      </c>
      <c r="AA1" s="1" t="s">
        <v>1129</v>
      </c>
      <c r="AB1" s="1" t="s">
        <v>1138</v>
      </c>
      <c r="AC1" t="s">
        <v>1120</v>
      </c>
      <c r="AD1" t="s">
        <v>1125</v>
      </c>
      <c r="AE1" t="s">
        <v>1130</v>
      </c>
      <c r="AF1" s="33" t="s">
        <v>1154</v>
      </c>
    </row>
    <row r="2" spans="1:32">
      <c r="A2" s="12">
        <v>36161</v>
      </c>
      <c r="B2">
        <f>'Monthly Haver'!C5</f>
        <v>53.597799999999999</v>
      </c>
      <c r="C2">
        <f>'Monthly Haver'!D5</f>
        <v>42.7209</v>
      </c>
      <c r="D2" t="e">
        <f>'Monthly Haver'!E5</f>
        <v>#N/A</v>
      </c>
      <c r="E2">
        <f>'Monthly Haver'!G5</f>
        <v>50.825299999999999</v>
      </c>
      <c r="F2">
        <f>'Monthly Haver'!H5</f>
        <v>48.725000000000001</v>
      </c>
      <c r="G2" t="e">
        <f>'Monthly Haver'!I5</f>
        <v>#N/A</v>
      </c>
      <c r="H2">
        <f>'Monthly Haver'!J5</f>
        <v>55.695300000000003</v>
      </c>
      <c r="I2">
        <f>GDS_Monthly!O119</f>
        <v>46.798566993595074</v>
      </c>
      <c r="J2">
        <f>GDS_Monthly!D119</f>
        <v>65.766690706785923</v>
      </c>
      <c r="K2">
        <f>GDS_Monthly!AH119</f>
        <v>348.53117049999997</v>
      </c>
      <c r="L2">
        <f>GDS_Monthly!AI119</f>
        <v>343.30954309999998</v>
      </c>
      <c r="M2">
        <f>GDS_Monthly!N119</f>
        <v>6.1802982787856893</v>
      </c>
      <c r="N2">
        <f>GDS_Monthly!C119</f>
        <v>118.59649694956238</v>
      </c>
      <c r="O2">
        <f>GDS_Monthly!F119</f>
        <v>4.1412505931158838</v>
      </c>
      <c r="P2">
        <f>GDS_Monthly!G119</f>
        <v>5.8924083978899402</v>
      </c>
      <c r="Q2">
        <f>GDS_Monthly!T119</f>
        <v>74.240078597679855</v>
      </c>
      <c r="R2">
        <f>GDS_Monthly!V119</f>
        <v>79.457887941693116</v>
      </c>
      <c r="S2">
        <f>GDS_Monthly!W119</f>
        <v>64.630326571218049</v>
      </c>
      <c r="T2">
        <f>GDS_Monthly!X119</f>
        <v>36.397901769957684</v>
      </c>
      <c r="U2">
        <f>GDS_Monthly!AA119</f>
        <v>51.504077335536884</v>
      </c>
      <c r="V2">
        <f>GDS_Monthly!AC119</f>
        <v>32.584569473823919</v>
      </c>
      <c r="W2">
        <f>GDS_Monthly!AE119</f>
        <v>26.140203643253269</v>
      </c>
      <c r="X2">
        <f>GDS_Monthly!AF119</f>
        <v>69.79151756105621</v>
      </c>
      <c r="Y2">
        <f>OECD!B2</f>
        <v>99.501040000000003</v>
      </c>
      <c r="Z2">
        <f>OECD!C2</f>
        <v>95.61</v>
      </c>
      <c r="AA2">
        <f>'Monthly Haver'!K5</f>
        <v>104.75529</v>
      </c>
      <c r="AB2" s="10">
        <f>'Monthly Haver'!L5</f>
        <v>803</v>
      </c>
    </row>
    <row r="3" spans="1:32">
      <c r="A3" s="12">
        <v>36192</v>
      </c>
      <c r="B3">
        <f>'Monthly Haver'!C6</f>
        <v>54.123100000000001</v>
      </c>
      <c r="C3">
        <f>'Monthly Haver'!D6</f>
        <v>42.862099999999998</v>
      </c>
      <c r="D3" t="e">
        <f>'Monthly Haver'!E6</f>
        <v>#N/A</v>
      </c>
      <c r="E3">
        <f>'Monthly Haver'!G6</f>
        <v>51.454999999999998</v>
      </c>
      <c r="F3">
        <f>'Monthly Haver'!H6</f>
        <v>49.855499999999999</v>
      </c>
      <c r="G3" t="e">
        <f>'Monthly Haver'!I6</f>
        <v>#N/A</v>
      </c>
      <c r="H3">
        <f>'Monthly Haver'!J6</f>
        <v>55.325000000000003</v>
      </c>
      <c r="I3">
        <f>GDS_Monthly!O120</f>
        <v>47.090047574765983</v>
      </c>
      <c r="J3">
        <f>GDS_Monthly!D120</f>
        <v>66.078071941645192</v>
      </c>
      <c r="K3">
        <f>GDS_Monthly!AH120</f>
        <v>349.50295360000001</v>
      </c>
      <c r="L3">
        <f>GDS_Monthly!AI120</f>
        <v>337.65463999999997</v>
      </c>
      <c r="M3">
        <f>GDS_Monthly!N120</f>
        <v>6.1883839655294537</v>
      </c>
      <c r="N3">
        <f>GDS_Monthly!C120</f>
        <v>119.68398228521174</v>
      </c>
      <c r="O3">
        <f>GDS_Monthly!F120</f>
        <v>4.3355724571428595</v>
      </c>
      <c r="P3">
        <f>GDS_Monthly!G120</f>
        <v>5.6835612213971514</v>
      </c>
      <c r="Q3">
        <f>GDS_Monthly!T120</f>
        <v>74.333258627561676</v>
      </c>
      <c r="R3">
        <f>GDS_Monthly!V120</f>
        <v>79.546620427416983</v>
      </c>
      <c r="S3">
        <f>GDS_Monthly!W120</f>
        <v>59.730250661013706</v>
      </c>
      <c r="T3">
        <f>GDS_Monthly!X120</f>
        <v>36.917985349646727</v>
      </c>
      <c r="U3">
        <f>GDS_Monthly!AA120</f>
        <v>49.308958982155893</v>
      </c>
      <c r="V3">
        <f>GDS_Monthly!AC120</f>
        <v>31.458463415447888</v>
      </c>
      <c r="W3">
        <f>GDS_Monthly!AE120</f>
        <v>25.242364729720624</v>
      </c>
      <c r="X3">
        <f>GDS_Monthly!AF120</f>
        <v>69.661742055808162</v>
      </c>
      <c r="Y3">
        <f>OECD!B3</f>
        <v>99.688869999999994</v>
      </c>
      <c r="Z3">
        <f>OECD!C3</f>
        <v>96.34</v>
      </c>
      <c r="AA3">
        <f>'Monthly Haver'!K6</f>
        <v>105.58412</v>
      </c>
      <c r="AB3" s="10">
        <f>'Monthly Haver'!L6</f>
        <v>836</v>
      </c>
    </row>
    <row r="4" spans="1:32">
      <c r="A4" s="12">
        <v>36220</v>
      </c>
      <c r="B4">
        <f>'Monthly Haver'!C7</f>
        <v>55.385199999999998</v>
      </c>
      <c r="C4">
        <f>'Monthly Haver'!D7</f>
        <v>46.313600000000001</v>
      </c>
      <c r="D4" t="e">
        <f>'Monthly Haver'!E7</f>
        <v>#N/A</v>
      </c>
      <c r="E4">
        <f>'Monthly Haver'!G7</f>
        <v>51.459899999999998</v>
      </c>
      <c r="F4">
        <f>'Monthly Haver'!H7</f>
        <v>50.735799999999998</v>
      </c>
      <c r="G4" t="e">
        <f>'Monthly Haver'!I7</f>
        <v>#N/A</v>
      </c>
      <c r="H4">
        <f>'Monthly Haver'!J7</f>
        <v>56.976100000000002</v>
      </c>
      <c r="I4">
        <f>GDS_Monthly!O121</f>
        <v>47.707037530023101</v>
      </c>
      <c r="J4">
        <f>GDS_Monthly!D121</f>
        <v>66.43422386171278</v>
      </c>
      <c r="K4">
        <f>GDS_Monthly!AH121</f>
        <v>353.75933209999999</v>
      </c>
      <c r="L4">
        <f>GDS_Monthly!AI121</f>
        <v>346.54338680000001</v>
      </c>
      <c r="M4">
        <f>GDS_Monthly!N121</f>
        <v>6.1876084198933947</v>
      </c>
      <c r="N4">
        <f>GDS_Monthly!C121</f>
        <v>119.68072291000782</v>
      </c>
      <c r="O4">
        <f>GDS_Monthly!F121</f>
        <v>4.4351016191515615</v>
      </c>
      <c r="P4">
        <f>GDS_Monthly!G121</f>
        <v>6.0039843906582977</v>
      </c>
      <c r="Q4">
        <f>GDS_Monthly!T121</f>
        <v>74.491015719898385</v>
      </c>
      <c r="R4">
        <f>GDS_Monthly!V121</f>
        <v>79.7077583119666</v>
      </c>
      <c r="S4">
        <f>GDS_Monthly!W121</f>
        <v>57.937052288626049</v>
      </c>
      <c r="T4">
        <f>GDS_Monthly!X121</f>
        <v>37.299843026900334</v>
      </c>
      <c r="U4">
        <f>GDS_Monthly!AA121</f>
        <v>48.513971660027231</v>
      </c>
      <c r="V4">
        <f>GDS_Monthly!AC121</f>
        <v>34.98186065499236</v>
      </c>
      <c r="W4">
        <f>GDS_Monthly!AE121</f>
        <v>30.593839079722443</v>
      </c>
      <c r="X4">
        <f>GDS_Monthly!AF121</f>
        <v>70.578529801104779</v>
      </c>
      <c r="Y4">
        <f>OECD!B4</f>
        <v>99.874690000000001</v>
      </c>
      <c r="Z4">
        <f>OECD!C4</f>
        <v>96.64</v>
      </c>
      <c r="AA4">
        <f>'Monthly Haver'!K7</f>
        <v>106.60348</v>
      </c>
      <c r="AB4" s="10">
        <f>'Monthly Haver'!L7</f>
        <v>967</v>
      </c>
      <c r="AC4" s="8">
        <f>Quarterly!B2</f>
        <v>90.89</v>
      </c>
      <c r="AD4" s="8">
        <f>Quarterly!C2</f>
        <v>79.09</v>
      </c>
      <c r="AE4" s="8">
        <f>Quarterly!D2</f>
        <v>74.884141460986996</v>
      </c>
      <c r="AF4" s="33">
        <v>8.0964019691434572</v>
      </c>
    </row>
    <row r="5" spans="1:32">
      <c r="A5" s="12">
        <v>36251</v>
      </c>
      <c r="B5">
        <f>'Monthly Haver'!C8</f>
        <v>55.998600000000003</v>
      </c>
      <c r="C5">
        <f>'Monthly Haver'!D8</f>
        <v>49.047400000000003</v>
      </c>
      <c r="D5" t="e">
        <f>'Monthly Haver'!E8</f>
        <v>#N/A</v>
      </c>
      <c r="E5">
        <f>'Monthly Haver'!G8</f>
        <v>52.089500000000001</v>
      </c>
      <c r="F5">
        <f>'Monthly Haver'!H8</f>
        <v>51.2547</v>
      </c>
      <c r="G5" t="e">
        <f>'Monthly Haver'!I8</f>
        <v>#N/A</v>
      </c>
      <c r="H5">
        <f>'Monthly Haver'!J8</f>
        <v>57.591299999999997</v>
      </c>
      <c r="I5">
        <f>GDS_Monthly!O122</f>
        <v>47.641380966100897</v>
      </c>
      <c r="J5">
        <f>GDS_Monthly!D122</f>
        <v>66.654923621893118</v>
      </c>
      <c r="K5">
        <f>GDS_Monthly!AH122</f>
        <v>351.52123940000001</v>
      </c>
      <c r="L5">
        <f>GDS_Monthly!AI122</f>
        <v>345.01638109999999</v>
      </c>
      <c r="M5">
        <f>GDS_Monthly!N122</f>
        <v>6.1780132808932953</v>
      </c>
      <c r="N5">
        <f>GDS_Monthly!C122</f>
        <v>120.19432635791381</v>
      </c>
      <c r="O5">
        <f>GDS_Monthly!F122</f>
        <v>4.3134967727367783</v>
      </c>
      <c r="P5">
        <f>GDS_Monthly!G122</f>
        <v>5.3779157693909232</v>
      </c>
      <c r="Q5">
        <f>GDS_Monthly!T122</f>
        <v>74.775949925729662</v>
      </c>
      <c r="R5">
        <f>GDS_Monthly!V122</f>
        <v>79.890023006222975</v>
      </c>
      <c r="S5">
        <f>GDS_Monthly!W122</f>
        <v>59.170833708037776</v>
      </c>
      <c r="T5">
        <f>GDS_Monthly!X122</f>
        <v>38.769808792548517</v>
      </c>
      <c r="U5">
        <f>GDS_Monthly!AA122</f>
        <v>49.095825562694472</v>
      </c>
      <c r="V5">
        <f>GDS_Monthly!AC122</f>
        <v>40.728867651848724</v>
      </c>
      <c r="W5">
        <f>GDS_Monthly!AE122</f>
        <v>37.660441545449466</v>
      </c>
      <c r="X5">
        <f>GDS_Monthly!AF122</f>
        <v>69.408325759711758</v>
      </c>
      <c r="Y5">
        <f>OECD!B5</f>
        <v>100.0538</v>
      </c>
      <c r="Z5">
        <f>OECD!C5</f>
        <v>97.25</v>
      </c>
      <c r="AA5">
        <f>'Monthly Haver'!K8</f>
        <v>106.42934</v>
      </c>
      <c r="AB5" s="10">
        <f>'Monthly Haver'!L8</f>
        <v>924</v>
      </c>
      <c r="AC5" s="8"/>
      <c r="AD5" s="8"/>
      <c r="AE5" s="8"/>
    </row>
    <row r="6" spans="1:32">
      <c r="A6" s="12">
        <v>36281</v>
      </c>
      <c r="B6">
        <f>'Monthly Haver'!C9</f>
        <v>55.915900000000001</v>
      </c>
      <c r="C6">
        <f>'Monthly Haver'!D9</f>
        <v>51.091099999999997</v>
      </c>
      <c r="D6" t="e">
        <f>'Monthly Haver'!E9</f>
        <v>#N/A</v>
      </c>
      <c r="E6">
        <f>'Monthly Haver'!G9</f>
        <v>52.693199999999997</v>
      </c>
      <c r="F6">
        <f>'Monthly Haver'!H9</f>
        <v>52.340800000000002</v>
      </c>
      <c r="G6" t="e">
        <f>'Monthly Haver'!I9</f>
        <v>#N/A</v>
      </c>
      <c r="H6">
        <f>'Monthly Haver'!J9</f>
        <v>56.572600000000001</v>
      </c>
      <c r="I6">
        <f>GDS_Monthly!O123</f>
        <v>47.958598176404536</v>
      </c>
      <c r="J6">
        <f>GDS_Monthly!D123</f>
        <v>67.105888620242254</v>
      </c>
      <c r="K6">
        <f>GDS_Monthly!AH123</f>
        <v>357.45037020000001</v>
      </c>
      <c r="L6">
        <f>GDS_Monthly!AI123</f>
        <v>347.63978250000002</v>
      </c>
      <c r="M6">
        <f>GDS_Monthly!N123</f>
        <v>6.1298479439274596</v>
      </c>
      <c r="N6">
        <f>GDS_Monthly!C123</f>
        <v>120.78991487126702</v>
      </c>
      <c r="O6">
        <f>GDS_Monthly!F123</f>
        <v>4.5002013486923396</v>
      </c>
      <c r="P6">
        <f>GDS_Monthly!G123</f>
        <v>4.9514130245425667</v>
      </c>
      <c r="Q6">
        <f>GDS_Monthly!T123</f>
        <v>74.862190131231259</v>
      </c>
      <c r="R6">
        <f>GDS_Monthly!V123</f>
        <v>80.011264210625626</v>
      </c>
      <c r="S6">
        <f>GDS_Monthly!W123</f>
        <v>59.728118426114939</v>
      </c>
      <c r="T6">
        <f>GDS_Monthly!X123</f>
        <v>39.986860379655461</v>
      </c>
      <c r="U6">
        <f>GDS_Monthly!AA123</f>
        <v>49.601792856042294</v>
      </c>
      <c r="V6">
        <f>GDS_Monthly!AC123</f>
        <v>42.045513941387</v>
      </c>
      <c r="W6">
        <f>GDS_Monthly!AE123</f>
        <v>38.766826974170378</v>
      </c>
      <c r="X6">
        <f>GDS_Monthly!AF123</f>
        <v>71.430793997935353</v>
      </c>
      <c r="Y6">
        <f>OECD!B6</f>
        <v>100.2218</v>
      </c>
      <c r="Z6">
        <f>OECD!C6</f>
        <v>98.12</v>
      </c>
      <c r="AA6">
        <f>'Monthly Haver'!K9</f>
        <v>107.03248000000001</v>
      </c>
      <c r="AB6" s="10">
        <f>'Monthly Haver'!L9</f>
        <v>1063</v>
      </c>
      <c r="AC6" s="8"/>
      <c r="AD6" s="8"/>
      <c r="AE6" s="8"/>
    </row>
    <row r="7" spans="1:32">
      <c r="A7" s="12">
        <v>36312</v>
      </c>
      <c r="B7">
        <f>'Monthly Haver'!C10</f>
        <v>57.88</v>
      </c>
      <c r="C7">
        <f>'Monthly Haver'!D10</f>
        <v>52.105600000000003</v>
      </c>
      <c r="D7" t="e">
        <f>'Monthly Haver'!E10</f>
        <v>#N/A</v>
      </c>
      <c r="E7">
        <f>'Monthly Haver'!G10</f>
        <v>53.680300000000003</v>
      </c>
      <c r="F7">
        <f>'Monthly Haver'!H10</f>
        <v>53.542200000000001</v>
      </c>
      <c r="G7" t="e">
        <f>'Monthly Haver'!I10</f>
        <v>#N/A</v>
      </c>
      <c r="H7">
        <f>'Monthly Haver'!J10</f>
        <v>57.460299999999997</v>
      </c>
      <c r="I7">
        <f>GDS_Monthly!O124</f>
        <v>48.265373414279409</v>
      </c>
      <c r="J7">
        <f>GDS_Monthly!D124</f>
        <v>67.334546349770164</v>
      </c>
      <c r="K7">
        <f>GDS_Monthly!AH124</f>
        <v>366.78817930000002</v>
      </c>
      <c r="L7">
        <f>GDS_Monthly!AI124</f>
        <v>350.3086773</v>
      </c>
      <c r="M7">
        <f>GDS_Monthly!N124</f>
        <v>6.1282811295626702</v>
      </c>
      <c r="N7">
        <f>GDS_Monthly!C124</f>
        <v>121.36047172786137</v>
      </c>
      <c r="O7">
        <f>GDS_Monthly!F124</f>
        <v>4.8231277346130277</v>
      </c>
      <c r="P7">
        <f>GDS_Monthly!G124</f>
        <v>4.8854793550902427</v>
      </c>
      <c r="Q7">
        <f>GDS_Monthly!T124</f>
        <v>74.962489573905117</v>
      </c>
      <c r="R7">
        <f>GDS_Monthly!V124</f>
        <v>80.122050311214394</v>
      </c>
      <c r="S7">
        <f>GDS_Monthly!W124</f>
        <v>57.970115270052368</v>
      </c>
      <c r="T7">
        <f>GDS_Monthly!X124</f>
        <v>39.018172612183527</v>
      </c>
      <c r="U7">
        <f>GDS_Monthly!AA124</f>
        <v>48.23643045385753</v>
      </c>
      <c r="V7">
        <f>GDS_Monthly!AC124</f>
        <v>42.719851335593297</v>
      </c>
      <c r="W7">
        <f>GDS_Monthly!AE124</f>
        <v>39.307789969652184</v>
      </c>
      <c r="X7">
        <f>GDS_Monthly!AF124</f>
        <v>71.122847966749106</v>
      </c>
      <c r="Y7">
        <f>OECD!B7</f>
        <v>100.3789</v>
      </c>
      <c r="Z7">
        <f>OECD!C7</f>
        <v>98.7</v>
      </c>
      <c r="AA7">
        <f>'Monthly Haver'!K10</f>
        <v>108.01749</v>
      </c>
      <c r="AB7" s="10">
        <f>'Monthly Haver'!L10</f>
        <v>989</v>
      </c>
      <c r="AC7" s="8">
        <f>Quarterly!B3</f>
        <v>91.28</v>
      </c>
      <c r="AD7" s="8">
        <f>Quarterly!C3</f>
        <v>79.569999999999993</v>
      </c>
      <c r="AE7" s="8">
        <f>Quarterly!D3</f>
        <v>75.464053295599328</v>
      </c>
      <c r="AF7" s="33">
        <v>4.1375111687867703</v>
      </c>
    </row>
    <row r="8" spans="1:32">
      <c r="A8" s="12">
        <v>36342</v>
      </c>
      <c r="B8">
        <f>'Monthly Haver'!C11</f>
        <v>57.314599999999999</v>
      </c>
      <c r="C8">
        <f>'Monthly Haver'!D11</f>
        <v>54.7592</v>
      </c>
      <c r="D8" t="e">
        <f>'Monthly Haver'!E11</f>
        <v>#N/A</v>
      </c>
      <c r="E8">
        <f>'Monthly Haver'!G11</f>
        <v>53.422899999999998</v>
      </c>
      <c r="F8">
        <f>'Monthly Haver'!H11</f>
        <v>53.127699999999997</v>
      </c>
      <c r="G8" t="e">
        <f>'Monthly Haver'!I11</f>
        <v>#N/A</v>
      </c>
      <c r="H8">
        <f>'Monthly Haver'!J11</f>
        <v>59.446399999999997</v>
      </c>
      <c r="I8">
        <f>GDS_Monthly!O125</f>
        <v>48.568560853445938</v>
      </c>
      <c r="J8">
        <f>GDS_Monthly!D125</f>
        <v>67.702661486105114</v>
      </c>
      <c r="K8">
        <f>GDS_Monthly!AH125</f>
        <v>368.14641560000001</v>
      </c>
      <c r="L8">
        <f>GDS_Monthly!AI125</f>
        <v>360.15831839999998</v>
      </c>
      <c r="M8">
        <f>GDS_Monthly!N125</f>
        <v>6.1016193855637333</v>
      </c>
      <c r="N8">
        <f>GDS_Monthly!C125</f>
        <v>120.75109343015363</v>
      </c>
      <c r="O8">
        <f>GDS_Monthly!F125</f>
        <v>4.9035408046605751</v>
      </c>
      <c r="P8">
        <f>GDS_Monthly!G125</f>
        <v>4.7492709504624582</v>
      </c>
      <c r="Q8">
        <f>GDS_Monthly!T125</f>
        <v>75.212716285737528</v>
      </c>
      <c r="R8">
        <f>GDS_Monthly!V125</f>
        <v>80.27497696979421</v>
      </c>
      <c r="S8">
        <f>GDS_Monthly!W125</f>
        <v>56.29503328733967</v>
      </c>
      <c r="T8">
        <f>GDS_Monthly!X125</f>
        <v>41.904732519579028</v>
      </c>
      <c r="U8">
        <f>GDS_Monthly!AA125</f>
        <v>47.644857366654676</v>
      </c>
      <c r="V8">
        <f>GDS_Monthly!AC125</f>
        <v>47.300331753315085</v>
      </c>
      <c r="W8">
        <f>GDS_Monthly!AE125</f>
        <v>45.405163646989998</v>
      </c>
      <c r="X8">
        <f>GDS_Monthly!AF125</f>
        <v>70.073576389296093</v>
      </c>
      <c r="Y8">
        <f>OECD!B8</f>
        <v>100.52460000000001</v>
      </c>
      <c r="Z8">
        <f>OECD!C8</f>
        <v>98.78</v>
      </c>
      <c r="AA8">
        <f>'Monthly Haver'!K11</f>
        <v>107.85762</v>
      </c>
      <c r="AB8" s="10">
        <f>'Monthly Haver'!L11</f>
        <v>977</v>
      </c>
      <c r="AC8" s="8"/>
      <c r="AD8" s="8"/>
      <c r="AE8" s="8"/>
    </row>
    <row r="9" spans="1:32">
      <c r="A9" s="12">
        <v>36373</v>
      </c>
      <c r="B9">
        <f>'Monthly Haver'!C12</f>
        <v>58.445500000000003</v>
      </c>
      <c r="C9">
        <f>'Monthly Haver'!D12</f>
        <v>56.783299999999997</v>
      </c>
      <c r="D9" t="e">
        <f>'Monthly Haver'!E12</f>
        <v>#N/A</v>
      </c>
      <c r="E9">
        <f>'Monthly Haver'!G12</f>
        <v>53.566099999999999</v>
      </c>
      <c r="F9">
        <f>'Monthly Haver'!H12</f>
        <v>54.078600000000002</v>
      </c>
      <c r="G9" t="e">
        <f>'Monthly Haver'!I12</f>
        <v>#N/A</v>
      </c>
      <c r="H9">
        <f>'Monthly Haver'!J12</f>
        <v>59.464500000000001</v>
      </c>
      <c r="I9">
        <f>GDS_Monthly!O126</f>
        <v>48.865229834918779</v>
      </c>
      <c r="J9">
        <f>GDS_Monthly!D126</f>
        <v>68.116441365115392</v>
      </c>
      <c r="K9">
        <f>GDS_Monthly!AH126</f>
        <v>376.04072430000002</v>
      </c>
      <c r="L9">
        <f>GDS_Monthly!AI126</f>
        <v>365.35816440000002</v>
      </c>
      <c r="M9">
        <f>GDS_Monthly!N126</f>
        <v>6.0777222214601485</v>
      </c>
      <c r="N9">
        <f>GDS_Monthly!C126</f>
        <v>120.74855738488583</v>
      </c>
      <c r="O9">
        <f>GDS_Monthly!F126</f>
        <v>5.0666090862079551</v>
      </c>
      <c r="P9">
        <f>GDS_Monthly!G126</f>
        <v>4.8159679803874837</v>
      </c>
      <c r="Q9">
        <f>GDS_Monthly!T126</f>
        <v>75.426541585084976</v>
      </c>
      <c r="R9">
        <f>GDS_Monthly!V126</f>
        <v>80.379334042959158</v>
      </c>
      <c r="S9">
        <f>GDS_Monthly!W126</f>
        <v>57.952559231891115</v>
      </c>
      <c r="T9">
        <f>GDS_Monthly!X126</f>
        <v>43.136453665573299</v>
      </c>
      <c r="U9">
        <f>GDS_Monthly!AA126</f>
        <v>48.616017787206438</v>
      </c>
      <c r="V9">
        <f>GDS_Monthly!AC126</f>
        <v>51.401240578470784</v>
      </c>
      <c r="W9">
        <f>GDS_Monthly!AE126</f>
        <v>48.04610833319979</v>
      </c>
      <c r="X9">
        <f>GDS_Monthly!AF126</f>
        <v>69.962439091912813</v>
      </c>
      <c r="Y9">
        <f>OECD!B9</f>
        <v>100.66160000000001</v>
      </c>
      <c r="Z9">
        <f>OECD!C9</f>
        <v>98.8</v>
      </c>
      <c r="AA9">
        <f>'Monthly Haver'!K12</f>
        <v>107.49370999999999</v>
      </c>
      <c r="AB9" s="10">
        <f>'Monthly Haver'!L12</f>
        <v>1046</v>
      </c>
      <c r="AC9" s="8"/>
      <c r="AD9" s="8"/>
      <c r="AE9" s="8"/>
    </row>
    <row r="10" spans="1:32">
      <c r="A10" s="12">
        <v>36404</v>
      </c>
      <c r="B10">
        <f>'Monthly Haver'!C13</f>
        <v>60.0929</v>
      </c>
      <c r="C10">
        <f>'Monthly Haver'!D13</f>
        <v>60.643999999999998</v>
      </c>
      <c r="D10" t="e">
        <f>'Monthly Haver'!E13</f>
        <v>#N/A</v>
      </c>
      <c r="E10">
        <f>'Monthly Haver'!G13</f>
        <v>53.511600000000001</v>
      </c>
      <c r="F10">
        <f>'Monthly Haver'!H13</f>
        <v>55.688000000000002</v>
      </c>
      <c r="G10" t="e">
        <f>'Monthly Haver'!I13</f>
        <v>#N/A</v>
      </c>
      <c r="H10">
        <f>'Monthly Haver'!J13</f>
        <v>59.041699999999999</v>
      </c>
      <c r="I10">
        <f>GDS_Monthly!O127</f>
        <v>48.872985904346507</v>
      </c>
      <c r="J10">
        <f>GDS_Monthly!D127</f>
        <v>68.54255527447279</v>
      </c>
      <c r="K10">
        <f>GDS_Monthly!AH127</f>
        <v>385.98611349999999</v>
      </c>
      <c r="L10">
        <f>GDS_Monthly!AI127</f>
        <v>373.11636279999999</v>
      </c>
      <c r="M10">
        <f>GDS_Monthly!N127</f>
        <v>6.0471354183894936</v>
      </c>
      <c r="N10">
        <f>GDS_Monthly!C127</f>
        <v>120.32738586016698</v>
      </c>
      <c r="O10">
        <f>GDS_Monthly!F127</f>
        <v>5.1061159801848701</v>
      </c>
      <c r="P10">
        <f>GDS_Monthly!G127</f>
        <v>4.8967154750392874</v>
      </c>
      <c r="Q10">
        <f>GDS_Monthly!T127</f>
        <v>75.658392659337053</v>
      </c>
      <c r="R10">
        <f>GDS_Monthly!V127</f>
        <v>80.595117872646497</v>
      </c>
      <c r="S10">
        <f>GDS_Monthly!W127</f>
        <v>58.694530675097809</v>
      </c>
      <c r="T10">
        <f>GDS_Monthly!X127</f>
        <v>45.284138699606771</v>
      </c>
      <c r="U10">
        <f>GDS_Monthly!AA127</f>
        <v>49.635083283236881</v>
      </c>
      <c r="V10">
        <f>GDS_Monthly!AC127</f>
        <v>54.866576261336569</v>
      </c>
      <c r="W10">
        <f>GDS_Monthly!AE127</f>
        <v>52.726411352146272</v>
      </c>
      <c r="X10">
        <f>GDS_Monthly!AF127</f>
        <v>72.03333081164061</v>
      </c>
      <c r="Y10">
        <f>OECD!B10</f>
        <v>100.7954</v>
      </c>
      <c r="Z10">
        <f>OECD!C10</f>
        <v>98.59</v>
      </c>
      <c r="AA10">
        <f>'Monthly Haver'!K13</f>
        <v>106.90362</v>
      </c>
      <c r="AB10" s="10">
        <f>'Monthly Haver'!L13</f>
        <v>1146</v>
      </c>
      <c r="AC10" s="8">
        <f>Quarterly!B4</f>
        <v>91.69</v>
      </c>
      <c r="AD10" s="8">
        <f>Quarterly!C4</f>
        <v>80.19</v>
      </c>
      <c r="AE10" s="8">
        <f>Quarterly!D4</f>
        <v>76.352560663188612</v>
      </c>
      <c r="AF10" s="33">
        <v>5.0034159744492097</v>
      </c>
    </row>
    <row r="11" spans="1:32">
      <c r="A11" s="12">
        <v>36434</v>
      </c>
      <c r="B11">
        <f>'Monthly Haver'!C14</f>
        <v>60.822499999999998</v>
      </c>
      <c r="C11">
        <f>'Monthly Haver'!D14</f>
        <v>60.562800000000003</v>
      </c>
      <c r="D11" t="e">
        <f>'Monthly Haver'!E14</f>
        <v>#N/A</v>
      </c>
      <c r="E11">
        <f>'Monthly Haver'!G14</f>
        <v>54.108800000000002</v>
      </c>
      <c r="F11">
        <f>'Monthly Haver'!H14</f>
        <v>56.532899999999998</v>
      </c>
      <c r="G11" t="e">
        <f>'Monthly Haver'!I14</f>
        <v>#N/A</v>
      </c>
      <c r="H11">
        <f>'Monthly Haver'!J14</f>
        <v>60.356499999999997</v>
      </c>
      <c r="I11">
        <f>GDS_Monthly!O128</f>
        <v>49.519842273867134</v>
      </c>
      <c r="J11">
        <f>GDS_Monthly!D128</f>
        <v>68.798137546052885</v>
      </c>
      <c r="K11">
        <f>GDS_Monthly!AH128</f>
        <v>391.70971159999999</v>
      </c>
      <c r="L11">
        <f>GDS_Monthly!AI128</f>
        <v>382.2456914</v>
      </c>
      <c r="M11">
        <f>GDS_Monthly!N128</f>
        <v>6.0298892164748432</v>
      </c>
      <c r="N11">
        <f>GDS_Monthly!C128</f>
        <v>119.63202141973076</v>
      </c>
      <c r="O11">
        <f>GDS_Monthly!F128</f>
        <v>5.2651836083199495</v>
      </c>
      <c r="P11">
        <f>GDS_Monthly!G128</f>
        <v>4.8662165251130425</v>
      </c>
      <c r="Q11">
        <f>GDS_Monthly!T128</f>
        <v>75.844546119322658</v>
      </c>
      <c r="R11">
        <f>GDS_Monthly!V128</f>
        <v>80.763693197715256</v>
      </c>
      <c r="S11">
        <f>GDS_Monthly!W128</f>
        <v>58.351762532984615</v>
      </c>
      <c r="T11">
        <f>GDS_Monthly!X128</f>
        <v>45.088045415045457</v>
      </c>
      <c r="U11">
        <f>GDS_Monthly!AA128</f>
        <v>50.364372580357191</v>
      </c>
      <c r="V11">
        <f>GDS_Monthly!AC128</f>
        <v>55.667193826689548</v>
      </c>
      <c r="W11">
        <f>GDS_Monthly!AE128</f>
        <v>51.797967647149669</v>
      </c>
      <c r="X11">
        <f>GDS_Monthly!AF128</f>
        <v>73.127539393792844</v>
      </c>
      <c r="Y11">
        <f>OECD!B11</f>
        <v>100.9314</v>
      </c>
      <c r="Z11">
        <f>OECD!C11</f>
        <v>99.03</v>
      </c>
      <c r="AA11">
        <f>'Monthly Haver'!K14</f>
        <v>105.98497</v>
      </c>
      <c r="AB11" s="10">
        <f>'Monthly Haver'!L14</f>
        <v>1339</v>
      </c>
      <c r="AC11" s="8"/>
      <c r="AD11" s="8"/>
      <c r="AE11" s="8"/>
    </row>
    <row r="12" spans="1:32">
      <c r="A12" s="12">
        <v>36465</v>
      </c>
      <c r="B12">
        <f>'Monthly Haver'!C15</f>
        <v>58.686999999999998</v>
      </c>
      <c r="C12">
        <f>'Monthly Haver'!D15</f>
        <v>60.702300000000001</v>
      </c>
      <c r="D12" t="e">
        <f>'Monthly Haver'!E15</f>
        <v>#N/A</v>
      </c>
      <c r="E12">
        <f>'Monthly Haver'!G15</f>
        <v>53.7348</v>
      </c>
      <c r="F12">
        <f>'Monthly Haver'!H15</f>
        <v>56.987099999999998</v>
      </c>
      <c r="G12" t="e">
        <f>'Monthly Haver'!I15</f>
        <v>#N/A</v>
      </c>
      <c r="H12">
        <f>'Monthly Haver'!J15</f>
        <v>58.1496</v>
      </c>
      <c r="I12">
        <f>GDS_Monthly!O129</f>
        <v>49.685401683813666</v>
      </c>
      <c r="J12">
        <f>GDS_Monthly!D129</f>
        <v>69.639348473369353</v>
      </c>
      <c r="K12">
        <f>GDS_Monthly!AH129</f>
        <v>397.601945</v>
      </c>
      <c r="L12">
        <f>GDS_Monthly!AI129</f>
        <v>385.76129889999999</v>
      </c>
      <c r="M12">
        <f>GDS_Monthly!N129</f>
        <v>5.9864186489489519</v>
      </c>
      <c r="N12">
        <f>GDS_Monthly!C129</f>
        <v>121.30927995803867</v>
      </c>
      <c r="O12">
        <f>GDS_Monthly!F129</f>
        <v>5.1110626808310338</v>
      </c>
      <c r="P12">
        <f>GDS_Monthly!G129</f>
        <v>5.0130161473956756</v>
      </c>
      <c r="Q12">
        <f>GDS_Monthly!T129</f>
        <v>75.998944823886092</v>
      </c>
      <c r="R12">
        <f>GDS_Monthly!V129</f>
        <v>80.906541262936031</v>
      </c>
      <c r="S12">
        <f>GDS_Monthly!W129</f>
        <v>57.35641925721108</v>
      </c>
      <c r="T12">
        <f>GDS_Monthly!X129</f>
        <v>45.822383153690524</v>
      </c>
      <c r="U12">
        <f>GDS_Monthly!AA129</f>
        <v>49.98795505033852</v>
      </c>
      <c r="V12">
        <f>GDS_Monthly!AC129</f>
        <v>58.050902298556217</v>
      </c>
      <c r="W12">
        <f>GDS_Monthly!AE129</f>
        <v>57.073001873884316</v>
      </c>
      <c r="X12">
        <f>GDS_Monthly!AF129</f>
        <v>72.918189242999745</v>
      </c>
      <c r="Y12">
        <f>OECD!B12</f>
        <v>101.0658</v>
      </c>
      <c r="Z12">
        <f>OECD!C12</f>
        <v>100.26</v>
      </c>
      <c r="AA12">
        <f>'Monthly Haver'!K15</f>
        <v>106.29799</v>
      </c>
      <c r="AB12" s="10">
        <f>'Monthly Haver'!L15</f>
        <v>1334</v>
      </c>
      <c r="AC12" s="8"/>
      <c r="AD12" s="8"/>
      <c r="AE12" s="8"/>
    </row>
    <row r="13" spans="1:32">
      <c r="A13" s="12">
        <v>36495</v>
      </c>
      <c r="B13">
        <f>'Monthly Haver'!C16</f>
        <v>60.106099999999998</v>
      </c>
      <c r="C13">
        <f>'Monthly Haver'!D16</f>
        <v>61.061900000000001</v>
      </c>
      <c r="D13" t="e">
        <f>'Monthly Haver'!E16</f>
        <v>#N/A</v>
      </c>
      <c r="E13">
        <f>'Monthly Haver'!G16</f>
        <v>55.101700000000001</v>
      </c>
      <c r="F13">
        <f>'Monthly Haver'!H16</f>
        <v>57.0854</v>
      </c>
      <c r="G13" t="e">
        <f>'Monthly Haver'!I16</f>
        <v>#N/A</v>
      </c>
      <c r="H13">
        <f>'Monthly Haver'!J16</f>
        <v>59.6569</v>
      </c>
      <c r="I13">
        <f>GDS_Monthly!O130</f>
        <v>50.34993426153472</v>
      </c>
      <c r="J13">
        <f>GDS_Monthly!D130</f>
        <v>70.082023178796632</v>
      </c>
      <c r="K13">
        <f>GDS_Monthly!AH130</f>
        <v>402.24120119999998</v>
      </c>
      <c r="L13">
        <f>GDS_Monthly!AI130</f>
        <v>390.47300389999998</v>
      </c>
      <c r="M13">
        <f>GDS_Monthly!N130</f>
        <v>5.9072491241550846</v>
      </c>
      <c r="N13">
        <f>GDS_Monthly!C130</f>
        <v>122.63390274118539</v>
      </c>
      <c r="O13">
        <f>GDS_Monthly!F130</f>
        <v>5.23610500196693</v>
      </c>
      <c r="P13">
        <f>GDS_Monthly!G130</f>
        <v>5.0392185081433034</v>
      </c>
      <c r="Q13">
        <f>GDS_Monthly!T130</f>
        <v>76.159788233536688</v>
      </c>
      <c r="R13">
        <f>GDS_Monthly!V130</f>
        <v>81.055869537185472</v>
      </c>
      <c r="S13">
        <f>GDS_Monthly!W130</f>
        <v>57.648097166439925</v>
      </c>
      <c r="T13">
        <f>GDS_Monthly!X130</f>
        <v>47.04800328592129</v>
      </c>
      <c r="U13">
        <f>GDS_Monthly!AA130</f>
        <v>50.265339849970438</v>
      </c>
      <c r="V13">
        <f>GDS_Monthly!AC130</f>
        <v>59.419051106670949</v>
      </c>
      <c r="W13">
        <f>GDS_Monthly!AE130</f>
        <v>59.061798480263207</v>
      </c>
      <c r="X13">
        <f>GDS_Monthly!AF130</f>
        <v>72.298998920841896</v>
      </c>
      <c r="Y13">
        <f>OECD!B13</f>
        <v>101.1871</v>
      </c>
      <c r="Z13">
        <f>OECD!C13</f>
        <v>100.67</v>
      </c>
      <c r="AA13">
        <f>'Monthly Haver'!K16</f>
        <v>105.52769000000001</v>
      </c>
      <c r="AB13" s="10">
        <f>'Monthly Haver'!L16</f>
        <v>1343</v>
      </c>
      <c r="AC13" s="8">
        <f>Quarterly!B5</f>
        <v>92.42</v>
      </c>
      <c r="AD13" s="8">
        <f>Quarterly!C5</f>
        <v>80.650000000000006</v>
      </c>
      <c r="AE13" s="8">
        <f>Quarterly!D5</f>
        <v>77.366934548701821</v>
      </c>
      <c r="AF13" s="33">
        <v>6.2985713820557576</v>
      </c>
    </row>
    <row r="14" spans="1:32">
      <c r="A14" s="12">
        <v>36526</v>
      </c>
      <c r="B14">
        <f>'Monthly Haver'!C17</f>
        <v>59.722299999999997</v>
      </c>
      <c r="C14">
        <f>'Monthly Haver'!D17</f>
        <v>62.970799999999997</v>
      </c>
      <c r="D14" t="e">
        <f>'Monthly Haver'!E17</f>
        <v>#N/A</v>
      </c>
      <c r="E14">
        <f>'Monthly Haver'!G17</f>
        <v>54.117800000000003</v>
      </c>
      <c r="F14">
        <f>'Monthly Haver'!H17</f>
        <v>55.368200000000002</v>
      </c>
      <c r="G14" t="e">
        <f>'Monthly Haver'!I17</f>
        <v>#N/A</v>
      </c>
      <c r="H14">
        <f>'Monthly Haver'!J17</f>
        <v>57.993899999999996</v>
      </c>
      <c r="I14">
        <f>GDS_Monthly!O131</f>
        <v>50.176157725046387</v>
      </c>
      <c r="J14">
        <f>GDS_Monthly!D131</f>
        <v>69.95623901773105</v>
      </c>
      <c r="K14">
        <f>GDS_Monthly!AH131</f>
        <v>410.72766639999998</v>
      </c>
      <c r="L14">
        <f>GDS_Monthly!AI131</f>
        <v>394.41376839999998</v>
      </c>
      <c r="M14">
        <f>GDS_Monthly!N131</f>
        <v>6.0451953891034096</v>
      </c>
      <c r="N14">
        <f>GDS_Monthly!C131</f>
        <v>124.73363224811497</v>
      </c>
      <c r="O14">
        <f>GDS_Monthly!F131</f>
        <v>5.558914224046803</v>
      </c>
      <c r="P14">
        <f>GDS_Monthly!G131</f>
        <v>4.9952789454530935</v>
      </c>
      <c r="Q14">
        <f>GDS_Monthly!T131</f>
        <v>76.378344628144063</v>
      </c>
      <c r="R14">
        <f>GDS_Monthly!V131</f>
        <v>81.243416334549849</v>
      </c>
      <c r="S14">
        <f>GDS_Monthly!W131</f>
        <v>58.498818810584289</v>
      </c>
      <c r="T14">
        <f>GDS_Monthly!X131</f>
        <v>49.224077495374594</v>
      </c>
      <c r="U14">
        <f>GDS_Monthly!AA131</f>
        <v>50.838291121055818</v>
      </c>
      <c r="V14">
        <f>GDS_Monthly!AC131</f>
        <v>62.420218979167238</v>
      </c>
      <c r="W14">
        <f>GDS_Monthly!AE131</f>
        <v>59.634458799828764</v>
      </c>
      <c r="X14">
        <f>GDS_Monthly!AF131</f>
        <v>71.264287755895111</v>
      </c>
      <c r="Y14">
        <f>OECD!B14</f>
        <v>101.2855</v>
      </c>
      <c r="Z14">
        <f>OECD!C14</f>
        <v>100.84</v>
      </c>
      <c r="AA14">
        <f>'Monthly Haver'!K17</f>
        <v>105.35406</v>
      </c>
      <c r="AB14" s="10">
        <f>'Monthly Haver'!L17</f>
        <v>1371</v>
      </c>
      <c r="AC14" s="8"/>
      <c r="AD14" s="8"/>
      <c r="AE14" s="8"/>
    </row>
    <row r="15" spans="1:32">
      <c r="A15" s="12">
        <v>36557</v>
      </c>
      <c r="B15">
        <f>'Monthly Haver'!C18</f>
        <v>58.9161</v>
      </c>
      <c r="C15">
        <f>'Monthly Haver'!D18</f>
        <v>65.125</v>
      </c>
      <c r="D15" t="e">
        <f>'Monthly Haver'!E18</f>
        <v>#N/A</v>
      </c>
      <c r="E15">
        <f>'Monthly Haver'!G18</f>
        <v>54.650100000000002</v>
      </c>
      <c r="F15">
        <f>'Monthly Haver'!H18</f>
        <v>55.297499999999999</v>
      </c>
      <c r="G15" t="e">
        <f>'Monthly Haver'!I18</f>
        <v>#N/A</v>
      </c>
      <c r="H15">
        <f>'Monthly Haver'!J18</f>
        <v>58.284799999999997</v>
      </c>
      <c r="I15">
        <f>GDS_Monthly!O132</f>
        <v>50.781313345224014</v>
      </c>
      <c r="J15">
        <f>GDS_Monthly!D132</f>
        <v>70.745572043367417</v>
      </c>
      <c r="K15">
        <f>GDS_Monthly!AH132</f>
        <v>418.8282974</v>
      </c>
      <c r="L15">
        <f>GDS_Monthly!AI132</f>
        <v>399.54289169999998</v>
      </c>
      <c r="M15">
        <f>GDS_Monthly!N132</f>
        <v>6.083588634448664</v>
      </c>
      <c r="N15">
        <f>GDS_Monthly!C132</f>
        <v>123.57431135406101</v>
      </c>
      <c r="O15">
        <f>GDS_Monthly!F132</f>
        <v>5.4797378310308362</v>
      </c>
      <c r="P15">
        <f>GDS_Monthly!G132</f>
        <v>5.1302965389122033</v>
      </c>
      <c r="Q15">
        <f>GDS_Monthly!T132</f>
        <v>76.604845462414346</v>
      </c>
      <c r="R15">
        <f>GDS_Monthly!V132</f>
        <v>81.364570541800674</v>
      </c>
      <c r="S15">
        <f>GDS_Monthly!W132</f>
        <v>59.247223439211645</v>
      </c>
      <c r="T15">
        <f>GDS_Monthly!X132</f>
        <v>50.275821050008574</v>
      </c>
      <c r="U15">
        <f>GDS_Monthly!AA132</f>
        <v>52.118854874395275</v>
      </c>
      <c r="V15">
        <f>GDS_Monthly!AC132</f>
        <v>66.611448825495813</v>
      </c>
      <c r="W15">
        <f>GDS_Monthly!AE132</f>
        <v>65.42133302641021</v>
      </c>
      <c r="X15">
        <f>GDS_Monthly!AF132</f>
        <v>74.784892988185163</v>
      </c>
      <c r="Y15">
        <f>OECD!B15</f>
        <v>101.343</v>
      </c>
      <c r="Z15">
        <f>OECD!C15</f>
        <v>100.41</v>
      </c>
      <c r="AA15">
        <f>'Monthly Haver'!K18</f>
        <v>107.38453</v>
      </c>
      <c r="AB15" s="10">
        <f>'Monthly Haver'!L18</f>
        <v>1393</v>
      </c>
      <c r="AC15" s="8"/>
      <c r="AD15" s="8"/>
      <c r="AE15" s="8"/>
    </row>
    <row r="16" spans="1:32">
      <c r="A16" s="12">
        <v>36586</v>
      </c>
      <c r="B16">
        <f>'Monthly Haver'!C19</f>
        <v>60.226599999999998</v>
      </c>
      <c r="C16">
        <f>'Monthly Haver'!D19</f>
        <v>67.654499999999999</v>
      </c>
      <c r="D16" t="e">
        <f>'Monthly Haver'!E19</f>
        <v>#N/A</v>
      </c>
      <c r="E16">
        <f>'Monthly Haver'!G19</f>
        <v>55.2532</v>
      </c>
      <c r="F16">
        <f>'Monthly Haver'!H19</f>
        <v>55.645499999999998</v>
      </c>
      <c r="G16" t="e">
        <f>'Monthly Haver'!I19</f>
        <v>#N/A</v>
      </c>
      <c r="H16">
        <f>'Monthly Haver'!J19</f>
        <v>60.365400000000001</v>
      </c>
      <c r="I16">
        <f>GDS_Monthly!O133</f>
        <v>50.944051700770821</v>
      </c>
      <c r="J16">
        <f>GDS_Monthly!D133</f>
        <v>71.046080369119935</v>
      </c>
      <c r="K16">
        <f>GDS_Monthly!AH133</f>
        <v>421.39759229999999</v>
      </c>
      <c r="L16">
        <f>GDS_Monthly!AI133</f>
        <v>399.77472719999997</v>
      </c>
      <c r="M16">
        <f>GDS_Monthly!N133</f>
        <v>6.0242388960359357</v>
      </c>
      <c r="N16">
        <f>GDS_Monthly!C133</f>
        <v>122.47530717747711</v>
      </c>
      <c r="O16">
        <f>GDS_Monthly!F133</f>
        <v>5.3142500908567003</v>
      </c>
      <c r="P16">
        <f>GDS_Monthly!G133</f>
        <v>5.1971473214833237</v>
      </c>
      <c r="Q16">
        <f>GDS_Monthly!T133</f>
        <v>76.829986625417035</v>
      </c>
      <c r="R16">
        <f>GDS_Monthly!V133</f>
        <v>81.525813819219323</v>
      </c>
      <c r="S16">
        <f>GDS_Monthly!W133</f>
        <v>60.339641997151617</v>
      </c>
      <c r="T16">
        <f>GDS_Monthly!X133</f>
        <v>49.805626333407126</v>
      </c>
      <c r="U16">
        <f>GDS_Monthly!AA133</f>
        <v>52.446592213825163</v>
      </c>
      <c r="V16">
        <f>GDS_Monthly!AC133</f>
        <v>67.225029034782025</v>
      </c>
      <c r="W16">
        <f>GDS_Monthly!AE133</f>
        <v>66.343978526152924</v>
      </c>
      <c r="X16">
        <f>GDS_Monthly!AF133</f>
        <v>75.959245341329066</v>
      </c>
      <c r="Y16">
        <f>OECD!B16</f>
        <v>101.36060000000001</v>
      </c>
      <c r="Z16">
        <f>OECD!C16</f>
        <v>101.06</v>
      </c>
      <c r="AA16">
        <f>'Monthly Haver'!K19</f>
        <v>107.60908999999999</v>
      </c>
      <c r="AB16" s="10">
        <f>'Monthly Haver'!L19</f>
        <v>1621</v>
      </c>
      <c r="AC16" s="8">
        <f>Quarterly!B6</f>
        <v>92.66</v>
      </c>
      <c r="AD16" s="8">
        <f>Quarterly!C6</f>
        <v>81.08</v>
      </c>
      <c r="AE16" s="8">
        <f>Quarterly!D6</f>
        <v>78.244539955883937</v>
      </c>
      <c r="AF16" s="33">
        <v>5.3384294616773893</v>
      </c>
    </row>
    <row r="17" spans="1:32">
      <c r="A17" s="12">
        <v>36617</v>
      </c>
      <c r="B17">
        <f>'Monthly Haver'!C20</f>
        <v>60.337600000000002</v>
      </c>
      <c r="C17">
        <f>'Monthly Haver'!D20</f>
        <v>64.913899999999998</v>
      </c>
      <c r="D17" t="e">
        <f>'Monthly Haver'!E20</f>
        <v>#N/A</v>
      </c>
      <c r="E17">
        <f>'Monthly Haver'!G20</f>
        <v>55.7746</v>
      </c>
      <c r="F17">
        <f>'Monthly Haver'!H20</f>
        <v>55.997999999999998</v>
      </c>
      <c r="G17" t="e">
        <f>'Monthly Haver'!I20</f>
        <v>#N/A</v>
      </c>
      <c r="H17">
        <f>'Monthly Haver'!J20</f>
        <v>61.189599999999999</v>
      </c>
      <c r="I17">
        <f>GDS_Monthly!O134</f>
        <v>51.089471559556557</v>
      </c>
      <c r="J17">
        <f>GDS_Monthly!D134</f>
        <v>71.603872517311942</v>
      </c>
      <c r="K17">
        <f>GDS_Monthly!AH134</f>
        <v>419.03334669999998</v>
      </c>
      <c r="L17">
        <f>GDS_Monthly!AI134</f>
        <v>397.7352588</v>
      </c>
      <c r="M17">
        <f>GDS_Monthly!N134</f>
        <v>5.8905387291573907</v>
      </c>
      <c r="N17">
        <f>GDS_Monthly!C134</f>
        <v>122.47920301411702</v>
      </c>
      <c r="O17">
        <f>GDS_Monthly!F134</f>
        <v>5.1670629349288939</v>
      </c>
      <c r="P17">
        <f>GDS_Monthly!G134</f>
        <v>5.2911187210462405</v>
      </c>
      <c r="Q17">
        <f>GDS_Monthly!T134</f>
        <v>76.810268966074503</v>
      </c>
      <c r="R17">
        <f>GDS_Monthly!V134</f>
        <v>81.613218652700183</v>
      </c>
      <c r="S17">
        <f>GDS_Monthly!W134</f>
        <v>63.093430607026008</v>
      </c>
      <c r="T17">
        <f>GDS_Monthly!X134</f>
        <v>47.738663306084497</v>
      </c>
      <c r="U17">
        <f>GDS_Monthly!AA134</f>
        <v>53.032225679968008</v>
      </c>
      <c r="V17">
        <f>GDS_Monthly!AC134</f>
        <v>61.406297549436132</v>
      </c>
      <c r="W17">
        <f>GDS_Monthly!AE134</f>
        <v>56.789453672420414</v>
      </c>
      <c r="X17">
        <f>GDS_Monthly!AF134</f>
        <v>75.442087185241533</v>
      </c>
      <c r="Y17">
        <f>OECD!B17</f>
        <v>101.3398</v>
      </c>
      <c r="Z17">
        <f>OECD!C17</f>
        <v>101.16</v>
      </c>
      <c r="AA17">
        <f>'Monthly Haver'!K20</f>
        <v>107.9357</v>
      </c>
      <c r="AB17" s="10">
        <f>'Monthly Haver'!L20</f>
        <v>1667</v>
      </c>
      <c r="AC17" s="8"/>
      <c r="AD17" s="8"/>
      <c r="AE17" s="8"/>
    </row>
    <row r="18" spans="1:32">
      <c r="A18" s="12">
        <v>36647</v>
      </c>
      <c r="B18">
        <f>'Monthly Haver'!C21</f>
        <v>58.7485</v>
      </c>
      <c r="C18">
        <f>'Monthly Haver'!D21</f>
        <v>64.1096</v>
      </c>
      <c r="D18" t="e">
        <f>'Monthly Haver'!E21</f>
        <v>#N/A</v>
      </c>
      <c r="E18">
        <f>'Monthly Haver'!G21</f>
        <v>55.488100000000003</v>
      </c>
      <c r="F18">
        <f>'Monthly Haver'!H21</f>
        <v>54.895200000000003</v>
      </c>
      <c r="G18" t="e">
        <f>'Monthly Haver'!I21</f>
        <v>#N/A</v>
      </c>
      <c r="H18">
        <f>'Monthly Haver'!J21</f>
        <v>60.044199999999996</v>
      </c>
      <c r="I18">
        <f>GDS_Monthly!O135</f>
        <v>51.364140158341932</v>
      </c>
      <c r="J18">
        <f>GDS_Monthly!D135</f>
        <v>72.267812044977461</v>
      </c>
      <c r="K18">
        <f>GDS_Monthly!AH135</f>
        <v>429.03423750000002</v>
      </c>
      <c r="L18">
        <f>GDS_Monthly!AI135</f>
        <v>406.90142359999999</v>
      </c>
      <c r="M18">
        <f>GDS_Monthly!N135</f>
        <v>5.8705113599552776</v>
      </c>
      <c r="N18">
        <f>GDS_Monthly!C135</f>
        <v>124.37239451428535</v>
      </c>
      <c r="O18">
        <f>GDS_Monthly!F135</f>
        <v>5.3815595443601847</v>
      </c>
      <c r="P18">
        <f>GDS_Monthly!G135</f>
        <v>5.4390043341990904</v>
      </c>
      <c r="Q18">
        <f>GDS_Monthly!T135</f>
        <v>76.950422084341554</v>
      </c>
      <c r="R18">
        <f>GDS_Monthly!V135</f>
        <v>81.757796598068296</v>
      </c>
      <c r="S18">
        <f>GDS_Monthly!W135</f>
        <v>62.17224723328048</v>
      </c>
      <c r="T18">
        <f>GDS_Monthly!X135</f>
        <v>48.8968798629259</v>
      </c>
      <c r="U18">
        <f>GDS_Monthly!AA135</f>
        <v>52.797742495150771</v>
      </c>
      <c r="V18">
        <f>GDS_Monthly!AC135</f>
        <v>68.9599277331086</v>
      </c>
      <c r="W18">
        <f>GDS_Monthly!AE135</f>
        <v>67.346607409949783</v>
      </c>
      <c r="X18">
        <f>GDS_Monthly!AF135</f>
        <v>76.366215153486493</v>
      </c>
      <c r="Y18">
        <f>OECD!B18</f>
        <v>101.2792</v>
      </c>
      <c r="Z18">
        <f>OECD!C18</f>
        <v>100.53</v>
      </c>
      <c r="AA18">
        <f>'Monthly Haver'!K21</f>
        <v>110.66388000000001</v>
      </c>
      <c r="AB18" s="10">
        <f>'Monthly Haver'!L21</f>
        <v>1602</v>
      </c>
      <c r="AC18" s="8"/>
      <c r="AD18" s="8"/>
      <c r="AE18" s="8"/>
    </row>
    <row r="19" spans="1:32">
      <c r="A19" s="12">
        <v>36678</v>
      </c>
      <c r="B19">
        <f>'Monthly Haver'!C22</f>
        <v>57.782800000000002</v>
      </c>
      <c r="C19">
        <f>'Monthly Haver'!D22</f>
        <v>63.616399999999999</v>
      </c>
      <c r="D19" t="e">
        <f>'Monthly Haver'!E22</f>
        <v>#N/A</v>
      </c>
      <c r="E19">
        <f>'Monthly Haver'!G22</f>
        <v>55.340400000000002</v>
      </c>
      <c r="F19">
        <f>'Monthly Haver'!H22</f>
        <v>53.836399999999998</v>
      </c>
      <c r="G19" t="e">
        <f>'Monthly Haver'!I22</f>
        <v>#N/A</v>
      </c>
      <c r="H19">
        <f>'Monthly Haver'!J22</f>
        <v>60.079900000000002</v>
      </c>
      <c r="I19">
        <f>GDS_Monthly!O136</f>
        <v>51.733944663386147</v>
      </c>
      <c r="J19">
        <f>GDS_Monthly!D136</f>
        <v>72.409276890508124</v>
      </c>
      <c r="K19">
        <f>GDS_Monthly!AH136</f>
        <v>439.59744089999998</v>
      </c>
      <c r="L19">
        <f>GDS_Monthly!AI136</f>
        <v>415.85939860000002</v>
      </c>
      <c r="M19">
        <f>GDS_Monthly!N136</f>
        <v>5.850090328301742</v>
      </c>
      <c r="N19">
        <f>GDS_Monthly!C136</f>
        <v>122.82767825645332</v>
      </c>
      <c r="O19">
        <f>GDS_Monthly!F136</f>
        <v>5.1788500636736936</v>
      </c>
      <c r="P19">
        <f>GDS_Monthly!G136</f>
        <v>5.5837763581222042</v>
      </c>
      <c r="Q19">
        <f>GDS_Monthly!T136</f>
        <v>77.297686611978662</v>
      </c>
      <c r="R19">
        <f>GDS_Monthly!V136</f>
        <v>81.926245742799026</v>
      </c>
      <c r="S19">
        <f>GDS_Monthly!W136</f>
        <v>59.982856209854766</v>
      </c>
      <c r="T19">
        <f>GDS_Monthly!X136</f>
        <v>46.758788632418309</v>
      </c>
      <c r="U19">
        <f>GDS_Monthly!AA136</f>
        <v>51.520794134738871</v>
      </c>
      <c r="V19">
        <f>GDS_Monthly!AC136</f>
        <v>75.499490642763945</v>
      </c>
      <c r="W19">
        <f>GDS_Monthly!AE136</f>
        <v>72.152930994819584</v>
      </c>
      <c r="X19">
        <f>GDS_Monthly!AF136</f>
        <v>75.144639402345135</v>
      </c>
      <c r="Y19">
        <f>OECD!B19</f>
        <v>101.1854</v>
      </c>
      <c r="Z19">
        <f>OECD!C19</f>
        <v>100.36</v>
      </c>
      <c r="AA19">
        <f>'Monthly Haver'!K22</f>
        <v>111.02743</v>
      </c>
      <c r="AB19" s="10">
        <f>'Monthly Haver'!L22</f>
        <v>1589</v>
      </c>
      <c r="AC19" s="8">
        <f>Quarterly!B7</f>
        <v>93.27</v>
      </c>
      <c r="AD19" s="8">
        <f>Quarterly!C7</f>
        <v>81.77</v>
      </c>
      <c r="AE19" s="8">
        <f>Quarterly!D7</f>
        <v>79.135578631851743</v>
      </c>
      <c r="AF19" s="33">
        <v>5.0314880030240685</v>
      </c>
    </row>
    <row r="20" spans="1:32">
      <c r="A20" s="12">
        <v>36708</v>
      </c>
      <c r="B20">
        <f>'Monthly Haver'!C23</f>
        <v>58.130499999999998</v>
      </c>
      <c r="C20">
        <f>'Monthly Haver'!D23</f>
        <v>62.654000000000003</v>
      </c>
      <c r="D20" t="e">
        <f>'Monthly Haver'!E23</f>
        <v>#N/A</v>
      </c>
      <c r="E20">
        <f>'Monthly Haver'!G23</f>
        <v>54.033000000000001</v>
      </c>
      <c r="F20">
        <f>'Monthly Haver'!H23</f>
        <v>54.261899999999997</v>
      </c>
      <c r="G20" t="e">
        <f>'Monthly Haver'!I23</f>
        <v>#N/A</v>
      </c>
      <c r="H20">
        <f>'Monthly Haver'!J23</f>
        <v>57.701799999999999</v>
      </c>
      <c r="I20">
        <f>GDS_Monthly!O137</f>
        <v>51.988910564590341</v>
      </c>
      <c r="J20">
        <f>GDS_Monthly!D137</f>
        <v>72.624944211665436</v>
      </c>
      <c r="K20">
        <f>GDS_Monthly!AH137</f>
        <v>440.56234649999999</v>
      </c>
      <c r="L20">
        <f>GDS_Monthly!AI137</f>
        <v>413.20757300000002</v>
      </c>
      <c r="M20">
        <f>GDS_Monthly!N137</f>
        <v>5.8257867672410475</v>
      </c>
      <c r="N20">
        <f>GDS_Monthly!C137</f>
        <v>123.97266236427406</v>
      </c>
      <c r="O20">
        <f>GDS_Monthly!F137</f>
        <v>5.1949881802606335</v>
      </c>
      <c r="P20">
        <f>GDS_Monthly!G137</f>
        <v>5.4866402691263492</v>
      </c>
      <c r="Q20">
        <f>GDS_Monthly!T137</f>
        <v>77.564952611231945</v>
      </c>
      <c r="R20">
        <f>GDS_Monthly!V137</f>
        <v>82.044022886953229</v>
      </c>
      <c r="S20">
        <f>GDS_Monthly!W137</f>
        <v>58.090686754699227</v>
      </c>
      <c r="T20">
        <f>GDS_Monthly!X137</f>
        <v>47.341899375489525</v>
      </c>
      <c r="U20">
        <f>GDS_Monthly!AA137</f>
        <v>50.722671404324942</v>
      </c>
      <c r="V20">
        <f>GDS_Monthly!AC137</f>
        <v>73.041609226337144</v>
      </c>
      <c r="W20">
        <f>GDS_Monthly!AE137</f>
        <v>68.971892401487921</v>
      </c>
      <c r="X20">
        <f>GDS_Monthly!AF137</f>
        <v>73.574182770330964</v>
      </c>
      <c r="Y20">
        <f>OECD!B20</f>
        <v>101.06100000000001</v>
      </c>
      <c r="Z20">
        <f>OECD!C20</f>
        <v>99.81</v>
      </c>
      <c r="AA20">
        <f>'Monthly Haver'!K23</f>
        <v>110.71677</v>
      </c>
      <c r="AB20" s="10">
        <f>'Monthly Haver'!L23</f>
        <v>1618</v>
      </c>
      <c r="AC20" s="8"/>
      <c r="AD20" s="8"/>
      <c r="AE20" s="8"/>
    </row>
    <row r="21" spans="1:32">
      <c r="A21" s="12">
        <v>36739</v>
      </c>
      <c r="B21">
        <f>'Monthly Haver'!C24</f>
        <v>57.719700000000003</v>
      </c>
      <c r="C21">
        <f>'Monthly Haver'!D24</f>
        <v>59.630899999999997</v>
      </c>
      <c r="D21" t="e">
        <f>'Monthly Haver'!E24</f>
        <v>#N/A</v>
      </c>
      <c r="E21">
        <f>'Monthly Haver'!G24</f>
        <v>54.613999999999997</v>
      </c>
      <c r="F21">
        <f>'Monthly Haver'!H24</f>
        <v>52.746699999999997</v>
      </c>
      <c r="G21" t="e">
        <f>'Monthly Haver'!I24</f>
        <v>#N/A</v>
      </c>
      <c r="H21">
        <f>'Monthly Haver'!J24</f>
        <v>60.6218</v>
      </c>
      <c r="I21">
        <f>GDS_Monthly!O138</f>
        <v>52.172915768322461</v>
      </c>
      <c r="J21">
        <f>GDS_Monthly!D138</f>
        <v>73.043338882301398</v>
      </c>
      <c r="K21">
        <f>GDS_Monthly!AH138</f>
        <v>447.25166159999998</v>
      </c>
      <c r="L21">
        <f>GDS_Monthly!AI138</f>
        <v>421.74276989999998</v>
      </c>
      <c r="M21">
        <f>GDS_Monthly!N138</f>
        <v>5.8237091451403646</v>
      </c>
      <c r="N21">
        <f>GDS_Monthly!C138</f>
        <v>123.48507397818506</v>
      </c>
      <c r="O21">
        <f>GDS_Monthly!F138</f>
        <v>5.109367017263355</v>
      </c>
      <c r="P21">
        <f>GDS_Monthly!G138</f>
        <v>5.6640234927088615</v>
      </c>
      <c r="Q21">
        <f>GDS_Monthly!T138</f>
        <v>77.688729317103608</v>
      </c>
      <c r="R21">
        <f>GDS_Monthly!V138</f>
        <v>82.200556188643631</v>
      </c>
      <c r="S21">
        <f>GDS_Monthly!W138</f>
        <v>57.046077473042409</v>
      </c>
      <c r="T21">
        <f>GDS_Monthly!X138</f>
        <v>47.330524088619761</v>
      </c>
      <c r="U21">
        <f>GDS_Monthly!AA138</f>
        <v>49.823974558639293</v>
      </c>
      <c r="V21">
        <f>GDS_Monthly!AC138</f>
        <v>76.558522186878918</v>
      </c>
      <c r="W21">
        <f>GDS_Monthly!AE138</f>
        <v>72.866485009546921</v>
      </c>
      <c r="X21">
        <f>GDS_Monthly!AF138</f>
        <v>71.061273667622018</v>
      </c>
      <c r="Y21">
        <f>OECD!B21</f>
        <v>100.90819999999999</v>
      </c>
      <c r="Z21">
        <f>OECD!C21</f>
        <v>99.36</v>
      </c>
      <c r="AA21">
        <f>'Monthly Haver'!K24</f>
        <v>110.67823</v>
      </c>
      <c r="AB21" s="10">
        <f>'Monthly Haver'!L24</f>
        <v>1639</v>
      </c>
      <c r="AC21" s="8"/>
      <c r="AD21" s="8"/>
      <c r="AE21" s="8"/>
    </row>
    <row r="22" spans="1:32">
      <c r="A22" s="12">
        <v>36770</v>
      </c>
      <c r="B22">
        <f>'Monthly Haver'!C25</f>
        <v>57.058</v>
      </c>
      <c r="C22">
        <f>'Monthly Haver'!D25</f>
        <v>62.436100000000003</v>
      </c>
      <c r="D22" t="e">
        <f>'Monthly Haver'!E25</f>
        <v>#N/A</v>
      </c>
      <c r="E22">
        <f>'Monthly Haver'!G25</f>
        <v>54.462000000000003</v>
      </c>
      <c r="F22">
        <f>'Monthly Haver'!H25</f>
        <v>52.128900000000002</v>
      </c>
      <c r="G22" t="e">
        <f>'Monthly Haver'!I25</f>
        <v>#N/A</v>
      </c>
      <c r="H22">
        <f>'Monthly Haver'!J25</f>
        <v>59.188400000000001</v>
      </c>
      <c r="I22">
        <f>GDS_Monthly!O139</f>
        <v>52.686412185944164</v>
      </c>
      <c r="J22">
        <f>GDS_Monthly!D139</f>
        <v>72.96554490479987</v>
      </c>
      <c r="K22">
        <f>GDS_Monthly!AH139</f>
        <v>443.67022370000001</v>
      </c>
      <c r="L22">
        <f>GDS_Monthly!AI139</f>
        <v>418.2110356</v>
      </c>
      <c r="M22">
        <f>GDS_Monthly!N139</f>
        <v>5.7514554204036612</v>
      </c>
      <c r="N22">
        <f>GDS_Monthly!C139</f>
        <v>123.52879329374804</v>
      </c>
      <c r="O22">
        <f>GDS_Monthly!F139</f>
        <v>5.1486397217251412</v>
      </c>
      <c r="P22">
        <f>GDS_Monthly!G139</f>
        <v>5.6747450260811831</v>
      </c>
      <c r="Q22">
        <f>GDS_Monthly!T139</f>
        <v>77.981047285001907</v>
      </c>
      <c r="R22">
        <f>GDS_Monthly!V139</f>
        <v>82.394057623181951</v>
      </c>
      <c r="S22">
        <f>GDS_Monthly!W139</f>
        <v>56.554046795306341</v>
      </c>
      <c r="T22">
        <f>GDS_Monthly!X139</f>
        <v>49.503901130914166</v>
      </c>
      <c r="U22">
        <f>GDS_Monthly!AA139</f>
        <v>50.073044501221425</v>
      </c>
      <c r="V22">
        <f>GDS_Monthly!AC139</f>
        <v>83.121869000547534</v>
      </c>
      <c r="W22">
        <f>GDS_Monthly!AE139</f>
        <v>80.359116568879941</v>
      </c>
      <c r="X22">
        <f>GDS_Monthly!AF139</f>
        <v>72.716941035724716</v>
      </c>
      <c r="Y22">
        <f>OECD!B22</f>
        <v>100.7208</v>
      </c>
      <c r="Z22">
        <f>OECD!C22</f>
        <v>99.81</v>
      </c>
      <c r="AA22">
        <f>'Monthly Haver'!K25</f>
        <v>112.70334</v>
      </c>
      <c r="AB22" s="10">
        <f>'Monthly Haver'!L25</f>
        <v>1712</v>
      </c>
      <c r="AC22" s="8">
        <f>Quarterly!B8</f>
        <v>93.74</v>
      </c>
      <c r="AD22" s="8">
        <f>Quarterly!C8</f>
        <v>82.13</v>
      </c>
      <c r="AE22" s="8">
        <f>Quarterly!D8</f>
        <v>79.553245025262527</v>
      </c>
      <c r="AF22" s="33">
        <v>3.1388242329642608</v>
      </c>
    </row>
    <row r="23" spans="1:32">
      <c r="A23" s="12">
        <v>36800</v>
      </c>
      <c r="B23">
        <f>'Monthly Haver'!C26</f>
        <v>56.109699999999997</v>
      </c>
      <c r="C23">
        <f>'Monthly Haver'!D26</f>
        <v>62.048999999999999</v>
      </c>
      <c r="D23" t="e">
        <f>'Monthly Haver'!E26</f>
        <v>#N/A</v>
      </c>
      <c r="E23">
        <f>'Monthly Haver'!G26</f>
        <v>54.3992</v>
      </c>
      <c r="F23">
        <f>'Monthly Haver'!H26</f>
        <v>51.15</v>
      </c>
      <c r="G23" t="e">
        <f>'Monthly Haver'!I26</f>
        <v>#N/A</v>
      </c>
      <c r="H23">
        <f>'Monthly Haver'!J26</f>
        <v>58.306399999999996</v>
      </c>
      <c r="I23">
        <f>GDS_Monthly!O140</f>
        <v>52.824041214941353</v>
      </c>
      <c r="J23">
        <f>GDS_Monthly!D140</f>
        <v>73.155888158681151</v>
      </c>
      <c r="K23">
        <f>GDS_Monthly!AH140</f>
        <v>444.74975799999999</v>
      </c>
      <c r="L23">
        <f>GDS_Monthly!AI140</f>
        <v>417.9923513</v>
      </c>
      <c r="M23">
        <f>GDS_Monthly!N140</f>
        <v>5.7037174678093976</v>
      </c>
      <c r="N23">
        <f>GDS_Monthly!C140</f>
        <v>121.97587149632726</v>
      </c>
      <c r="O23">
        <f>GDS_Monthly!F140</f>
        <v>5.1470009681102802</v>
      </c>
      <c r="P23">
        <f>GDS_Monthly!G140</f>
        <v>5.7516998177014322</v>
      </c>
      <c r="Q23">
        <f>GDS_Monthly!T140</f>
        <v>78.111604621698191</v>
      </c>
      <c r="R23">
        <f>GDS_Monthly!V140</f>
        <v>82.514801424032541</v>
      </c>
      <c r="S23">
        <f>GDS_Monthly!W140</f>
        <v>56.219321083768186</v>
      </c>
      <c r="T23">
        <f>GDS_Monthly!X140</f>
        <v>46.642271360561843</v>
      </c>
      <c r="U23">
        <f>GDS_Monthly!AA140</f>
        <v>49.192621520674436</v>
      </c>
      <c r="V23">
        <f>GDS_Monthly!AC140</f>
        <v>82.635598522236336</v>
      </c>
      <c r="W23">
        <f>GDS_Monthly!AE140</f>
        <v>79.171231311045844</v>
      </c>
      <c r="X23">
        <f>GDS_Monthly!AF140</f>
        <v>71.511904693526958</v>
      </c>
      <c r="Y23">
        <f>OECD!B23</f>
        <v>100.49079999999999</v>
      </c>
      <c r="Z23">
        <f>OECD!C23</f>
        <v>98.93</v>
      </c>
      <c r="AA23">
        <f>'Monthly Haver'!K26</f>
        <v>114.52209000000001</v>
      </c>
      <c r="AB23" s="10">
        <f>'Monthly Haver'!L26</f>
        <v>1734</v>
      </c>
      <c r="AC23" s="8"/>
      <c r="AD23" s="8"/>
      <c r="AE23" s="8"/>
    </row>
    <row r="24" spans="1:32">
      <c r="A24" s="12">
        <v>36831</v>
      </c>
      <c r="B24">
        <f>'Monthly Haver'!C27</f>
        <v>54.868299999999998</v>
      </c>
      <c r="C24">
        <f>'Monthly Haver'!D27</f>
        <v>59.7087</v>
      </c>
      <c r="D24" t="e">
        <f>'Monthly Haver'!E27</f>
        <v>#N/A</v>
      </c>
      <c r="E24">
        <f>'Monthly Haver'!G27</f>
        <v>54.126800000000003</v>
      </c>
      <c r="F24">
        <f>'Monthly Haver'!H27</f>
        <v>50.746699999999997</v>
      </c>
      <c r="G24" t="e">
        <f>'Monthly Haver'!I27</f>
        <v>#N/A</v>
      </c>
      <c r="H24">
        <f>'Monthly Haver'!J27</f>
        <v>58.236199999999997</v>
      </c>
      <c r="I24">
        <f>GDS_Monthly!O141</f>
        <v>53.185491076573108</v>
      </c>
      <c r="J24">
        <f>GDS_Monthly!D141</f>
        <v>73.505122326966159</v>
      </c>
      <c r="K24">
        <f>GDS_Monthly!AH141</f>
        <v>445.89884760000001</v>
      </c>
      <c r="L24">
        <f>GDS_Monthly!AI141</f>
        <v>416.36562629999997</v>
      </c>
      <c r="M24">
        <f>GDS_Monthly!N141</f>
        <v>5.6488893730500873</v>
      </c>
      <c r="N24">
        <f>GDS_Monthly!C141</f>
        <v>121.10394007936104</v>
      </c>
      <c r="O24">
        <f>GDS_Monthly!F141</f>
        <v>5.0784777722416941</v>
      </c>
      <c r="P24">
        <f>GDS_Monthly!G141</f>
        <v>5.7833266178510554</v>
      </c>
      <c r="Q24">
        <f>GDS_Monthly!T141</f>
        <v>78.343168414831482</v>
      </c>
      <c r="R24">
        <f>GDS_Monthly!V141</f>
        <v>82.71185003267307</v>
      </c>
      <c r="S24">
        <f>GDS_Monthly!W141</f>
        <v>56.8741265500244</v>
      </c>
      <c r="T24">
        <f>GDS_Monthly!X141</f>
        <v>45.256695942638892</v>
      </c>
      <c r="U24">
        <f>GDS_Monthly!AA141</f>
        <v>49.264049995646076</v>
      </c>
      <c r="V24">
        <f>GDS_Monthly!AC141</f>
        <v>85.150598647169275</v>
      </c>
      <c r="W24">
        <f>GDS_Monthly!AE141</f>
        <v>81.702648637759964</v>
      </c>
      <c r="X24">
        <f>GDS_Monthly!AF141</f>
        <v>73.199227656368848</v>
      </c>
      <c r="Y24">
        <f>OECD!B24</f>
        <v>100.2229</v>
      </c>
      <c r="Z24">
        <f>OECD!C24</f>
        <v>97.98</v>
      </c>
      <c r="AA24">
        <f>'Monthly Haver'!K27</f>
        <v>114.70455</v>
      </c>
      <c r="AB24" s="10">
        <f>'Monthly Haver'!L27</f>
        <v>1722</v>
      </c>
      <c r="AC24" s="8"/>
      <c r="AD24" s="8"/>
      <c r="AE24" s="8"/>
    </row>
    <row r="25" spans="1:32">
      <c r="A25" s="12">
        <v>36861</v>
      </c>
      <c r="B25">
        <f>'Monthly Haver'!C28</f>
        <v>52.905299999999997</v>
      </c>
      <c r="C25">
        <f>'Monthly Haver'!D28</f>
        <v>59.8902</v>
      </c>
      <c r="D25" t="e">
        <f>'Monthly Haver'!E28</f>
        <v>#N/A</v>
      </c>
      <c r="E25">
        <f>'Monthly Haver'!G28</f>
        <v>52.018599999999999</v>
      </c>
      <c r="F25">
        <f>'Monthly Haver'!H28</f>
        <v>47.851100000000002</v>
      </c>
      <c r="G25" t="e">
        <f>'Monthly Haver'!I28</f>
        <v>#N/A</v>
      </c>
      <c r="H25">
        <f>'Monthly Haver'!J28</f>
        <v>56.988500000000002</v>
      </c>
      <c r="I25">
        <f>GDS_Monthly!O142</f>
        <v>53.302243724130982</v>
      </c>
      <c r="J25">
        <f>GDS_Monthly!D142</f>
        <v>73.620411588182307</v>
      </c>
      <c r="K25">
        <f>GDS_Monthly!AH142</f>
        <v>444.42846739999999</v>
      </c>
      <c r="L25">
        <f>GDS_Monthly!AI142</f>
        <v>420.47496910000001</v>
      </c>
      <c r="M25">
        <f>GDS_Monthly!N142</f>
        <v>5.5596626527149855</v>
      </c>
      <c r="N25">
        <f>GDS_Monthly!C142</f>
        <v>120.07656998655253</v>
      </c>
      <c r="O25">
        <f>GDS_Monthly!F142</f>
        <v>4.752148587958021</v>
      </c>
      <c r="P25">
        <f>GDS_Monthly!G142</f>
        <v>5.7562082093901372</v>
      </c>
      <c r="Q25">
        <f>GDS_Monthly!T142</f>
        <v>78.522684037577662</v>
      </c>
      <c r="R25">
        <f>GDS_Monthly!V142</f>
        <v>82.763050624590633</v>
      </c>
      <c r="S25">
        <f>GDS_Monthly!W142</f>
        <v>60.217217729259467</v>
      </c>
      <c r="T25">
        <f>GDS_Monthly!X142</f>
        <v>46.413624824466183</v>
      </c>
      <c r="U25">
        <f>GDS_Monthly!AA142</f>
        <v>50.823979052738558</v>
      </c>
      <c r="V25">
        <f>GDS_Monthly!AC142</f>
        <v>84.12610980972218</v>
      </c>
      <c r="W25">
        <f>GDS_Monthly!AE142</f>
        <v>63.259155690995982</v>
      </c>
      <c r="X25">
        <f>GDS_Monthly!AF142</f>
        <v>68.309322595027851</v>
      </c>
      <c r="Y25">
        <f>OECD!B25</f>
        <v>99.930340000000001</v>
      </c>
      <c r="Z25">
        <f>OECD!C25</f>
        <v>96.4</v>
      </c>
      <c r="AA25">
        <f>'Monthly Haver'!K28</f>
        <v>115.36207</v>
      </c>
      <c r="AB25" s="10">
        <f>'Monthly Haver'!L28</f>
        <v>1609</v>
      </c>
      <c r="AC25" s="8">
        <f>Quarterly!B9</f>
        <v>94.19</v>
      </c>
      <c r="AD25" s="8">
        <f>Quarterly!C9</f>
        <v>82.64</v>
      </c>
      <c r="AE25" s="8">
        <f>Quarterly!D9</f>
        <v>80.060843599681618</v>
      </c>
      <c r="AF25" s="33">
        <v>2.8316189682368607</v>
      </c>
    </row>
    <row r="26" spans="1:32">
      <c r="A26" s="12">
        <v>36892</v>
      </c>
      <c r="B26">
        <f>'Monthly Haver'!C29</f>
        <v>50.400700000000001</v>
      </c>
      <c r="C26">
        <f>'Monthly Haver'!D29</f>
        <v>59.842599999999997</v>
      </c>
      <c r="D26" t="e">
        <f>'Monthly Haver'!E29</f>
        <v>#N/A</v>
      </c>
      <c r="E26">
        <f>'Monthly Haver'!G29</f>
        <v>51.613999999999997</v>
      </c>
      <c r="F26">
        <f>'Monthly Haver'!H29</f>
        <v>46.6736</v>
      </c>
      <c r="G26" t="e">
        <f>'Monthly Haver'!I29</f>
        <v>#N/A</v>
      </c>
      <c r="H26">
        <f>'Monthly Haver'!J29</f>
        <v>53.514499999999998</v>
      </c>
      <c r="I26">
        <f>GDS_Monthly!O143</f>
        <v>53.76457883455187</v>
      </c>
      <c r="J26">
        <f>GDS_Monthly!D143</f>
        <v>72.974549015733231</v>
      </c>
      <c r="K26">
        <f>GDS_Monthly!AH143</f>
        <v>446.70429919999998</v>
      </c>
      <c r="L26">
        <f>GDS_Monthly!AI143</f>
        <v>420.84894439999999</v>
      </c>
      <c r="M26">
        <f>GDS_Monthly!N143</f>
        <v>5.7207861258320412</v>
      </c>
      <c r="N26">
        <f>GDS_Monthly!C143</f>
        <v>117.10012312295625</v>
      </c>
      <c r="O26">
        <f>GDS_Monthly!F143</f>
        <v>4.6486254243776015</v>
      </c>
      <c r="P26">
        <f>GDS_Monthly!G143</f>
        <v>5.3621466290186977</v>
      </c>
      <c r="Q26">
        <f>GDS_Monthly!T143</f>
        <v>78.697527195336747</v>
      </c>
      <c r="R26">
        <f>GDS_Monthly!V143</f>
        <v>82.930413363379671</v>
      </c>
      <c r="S26">
        <f>GDS_Monthly!W143</f>
        <v>58.583314942456084</v>
      </c>
      <c r="T26">
        <f>GDS_Monthly!X143</f>
        <v>46.202092619295478</v>
      </c>
      <c r="U26">
        <f>GDS_Monthly!AA143</f>
        <v>50.64648006864271</v>
      </c>
      <c r="V26">
        <f>GDS_Monthly!AC143</f>
        <v>83.181448525402473</v>
      </c>
      <c r="W26">
        <f>GDS_Monthly!AE143</f>
        <v>64.557623762957448</v>
      </c>
      <c r="X26">
        <f>GDS_Monthly!AF143</f>
        <v>71.442514138328974</v>
      </c>
      <c r="Y26">
        <f>OECD!B26</f>
        <v>99.646379999999994</v>
      </c>
      <c r="Z26">
        <f>OECD!C26</f>
        <v>96.53</v>
      </c>
      <c r="AA26">
        <f>'Monthly Haver'!K29</f>
        <v>118.40965</v>
      </c>
      <c r="AB26" s="10">
        <f>'Monthly Haver'!L29</f>
        <v>1566</v>
      </c>
      <c r="AC26" s="8"/>
      <c r="AD26" s="8"/>
      <c r="AE26" s="8"/>
    </row>
    <row r="27" spans="1:32">
      <c r="A27" s="12">
        <v>36923</v>
      </c>
      <c r="B27">
        <f>'Monthly Haver'!C30</f>
        <v>50.696100000000001</v>
      </c>
      <c r="C27">
        <f>'Monthly Haver'!D30</f>
        <v>56.06</v>
      </c>
      <c r="D27" t="e">
        <f>'Monthly Haver'!E30</f>
        <v>#N/A</v>
      </c>
      <c r="E27">
        <f>'Monthly Haver'!G30</f>
        <v>50.067900000000002</v>
      </c>
      <c r="F27">
        <f>'Monthly Haver'!H30</f>
        <v>46.1233</v>
      </c>
      <c r="G27" t="e">
        <f>'Monthly Haver'!I30</f>
        <v>#N/A</v>
      </c>
      <c r="H27">
        <f>'Monthly Haver'!J30</f>
        <v>52.518500000000003</v>
      </c>
      <c r="I27">
        <f>GDS_Monthly!O144</f>
        <v>54.065869604545028</v>
      </c>
      <c r="J27">
        <f>GDS_Monthly!D144</f>
        <v>73.165996831136994</v>
      </c>
      <c r="K27">
        <f>GDS_Monthly!AH144</f>
        <v>435.01891970000003</v>
      </c>
      <c r="L27">
        <f>GDS_Monthly!AI144</f>
        <v>416.03694899999999</v>
      </c>
      <c r="M27">
        <f>GDS_Monthly!N144</f>
        <v>5.7360372625126201</v>
      </c>
      <c r="N27">
        <f>GDS_Monthly!C144</f>
        <v>115.25608911004137</v>
      </c>
      <c r="O27">
        <f>GDS_Monthly!F144</f>
        <v>4.5837044590513907</v>
      </c>
      <c r="P27">
        <f>GDS_Monthly!G144</f>
        <v>5.3748198011211121</v>
      </c>
      <c r="Q27">
        <f>GDS_Monthly!T144</f>
        <v>78.830266369742617</v>
      </c>
      <c r="R27">
        <f>GDS_Monthly!V144</f>
        <v>83.071763990041731</v>
      </c>
      <c r="S27">
        <f>GDS_Monthly!W144</f>
        <v>57.566907993219026</v>
      </c>
      <c r="T27">
        <f>GDS_Monthly!X144</f>
        <v>45.481200397885409</v>
      </c>
      <c r="U27">
        <f>GDS_Monthly!AA144</f>
        <v>49.968086670947322</v>
      </c>
      <c r="V27">
        <f>GDS_Monthly!AC144</f>
        <v>76.917370368811646</v>
      </c>
      <c r="W27">
        <f>GDS_Monthly!AE144</f>
        <v>68.241037205036761</v>
      </c>
      <c r="X27">
        <f>GDS_Monthly!AF144</f>
        <v>70.969655262219106</v>
      </c>
      <c r="Y27">
        <f>OECD!B27</f>
        <v>99.400149999999996</v>
      </c>
      <c r="Z27">
        <f>OECD!C27</f>
        <v>95.49</v>
      </c>
      <c r="AA27">
        <f>'Monthly Haver'!K30</f>
        <v>116.84793999999999</v>
      </c>
      <c r="AB27" s="10">
        <f>'Monthly Haver'!L30</f>
        <v>1479</v>
      </c>
      <c r="AC27" s="8"/>
      <c r="AD27" s="8"/>
      <c r="AE27" s="8"/>
    </row>
    <row r="28" spans="1:32">
      <c r="A28" s="12">
        <v>36951</v>
      </c>
      <c r="B28">
        <f>'Monthly Haver'!C31</f>
        <v>50.778399999999998</v>
      </c>
      <c r="C28">
        <f>'Monthly Haver'!D31</f>
        <v>53.378100000000003</v>
      </c>
      <c r="D28" t="e">
        <f>'Monthly Haver'!E31</f>
        <v>#N/A</v>
      </c>
      <c r="E28">
        <f>'Monthly Haver'!G31</f>
        <v>50.028500000000001</v>
      </c>
      <c r="F28">
        <f>'Monthly Haver'!H31</f>
        <v>46.315800000000003</v>
      </c>
      <c r="G28" t="e">
        <f>'Monthly Haver'!I31</f>
        <v>#N/A</v>
      </c>
      <c r="H28">
        <f>'Monthly Haver'!J31</f>
        <v>51.298099999999998</v>
      </c>
      <c r="I28">
        <f>GDS_Monthly!O145</f>
        <v>54.10285585455442</v>
      </c>
      <c r="J28">
        <f>GDS_Monthly!D145</f>
        <v>72.829264684243313</v>
      </c>
      <c r="K28">
        <f>GDS_Monthly!AH145</f>
        <v>430.79794199999998</v>
      </c>
      <c r="L28">
        <f>GDS_Monthly!AI145</f>
        <v>407.46300250000002</v>
      </c>
      <c r="M28">
        <f>GDS_Monthly!N145</f>
        <v>5.8012310624962318</v>
      </c>
      <c r="N28">
        <f>GDS_Monthly!C145</f>
        <v>117.01929756804975</v>
      </c>
      <c r="O28">
        <f>GDS_Monthly!F145</f>
        <v>4.447699028540721</v>
      </c>
      <c r="P28">
        <f>GDS_Monthly!G145</f>
        <v>5.1112704364522328</v>
      </c>
      <c r="Q28">
        <f>GDS_Monthly!T145</f>
        <v>78.965662732245534</v>
      </c>
      <c r="R28">
        <f>GDS_Monthly!V145</f>
        <v>83.252309222788639</v>
      </c>
      <c r="S28">
        <f>GDS_Monthly!W145</f>
        <v>58.986931821439022</v>
      </c>
      <c r="T28">
        <f>GDS_Monthly!X145</f>
        <v>43.998091610539547</v>
      </c>
      <c r="U28">
        <f>GDS_Monthly!AA145</f>
        <v>49.819342359104702</v>
      </c>
      <c r="V28">
        <f>GDS_Monthly!AC145</f>
        <v>72.361527237001766</v>
      </c>
      <c r="W28">
        <f>GDS_Monthly!AE145</f>
        <v>63.39852807569946</v>
      </c>
      <c r="X28">
        <f>GDS_Monthly!AF145</f>
        <v>67.420781525008067</v>
      </c>
      <c r="Y28">
        <f>OECD!B28</f>
        <v>99.20429</v>
      </c>
      <c r="Z28">
        <f>OECD!C28</f>
        <v>94.09</v>
      </c>
      <c r="AA28">
        <f>'Monthly Haver'!K31</f>
        <v>117.21304000000001</v>
      </c>
      <c r="AB28" s="10">
        <f>'Monthly Haver'!L31</f>
        <v>1502</v>
      </c>
      <c r="AC28" s="8">
        <f>Quarterly!B10</f>
        <v>94.87</v>
      </c>
      <c r="AD28" s="8">
        <f>Quarterly!C10</f>
        <v>83.24</v>
      </c>
      <c r="AE28" s="8">
        <f>Quarterly!D10</f>
        <v>80.389858774626859</v>
      </c>
      <c r="AF28" s="33">
        <v>1.8286258170815333</v>
      </c>
    </row>
    <row r="29" spans="1:32">
      <c r="A29" s="12">
        <v>36982</v>
      </c>
      <c r="B29">
        <f>'Monthly Haver'!C32</f>
        <v>48.3887</v>
      </c>
      <c r="C29">
        <f>'Monthly Haver'!D32</f>
        <v>51.5304</v>
      </c>
      <c r="D29" t="e">
        <f>'Monthly Haver'!E32</f>
        <v>#N/A</v>
      </c>
      <c r="E29">
        <f>'Monthly Haver'!G32</f>
        <v>47.997199999999999</v>
      </c>
      <c r="F29">
        <f>'Monthly Haver'!H32</f>
        <v>45.661000000000001</v>
      </c>
      <c r="G29" t="e">
        <f>'Monthly Haver'!I32</f>
        <v>#N/A</v>
      </c>
      <c r="H29">
        <f>'Monthly Haver'!J32</f>
        <v>49.730800000000002</v>
      </c>
      <c r="I29">
        <f>GDS_Monthly!O146</f>
        <v>54.30076253684912</v>
      </c>
      <c r="J29">
        <f>GDS_Monthly!D146</f>
        <v>72.40377672550396</v>
      </c>
      <c r="K29">
        <f>GDS_Monthly!AH146</f>
        <v>420.24987270000003</v>
      </c>
      <c r="L29">
        <f>GDS_Monthly!AI146</f>
        <v>397.2128558</v>
      </c>
      <c r="M29">
        <f>GDS_Monthly!N146</f>
        <v>5.7580678967326877</v>
      </c>
      <c r="N29">
        <f>GDS_Monthly!C146</f>
        <v>114.67679887692242</v>
      </c>
      <c r="O29">
        <f>GDS_Monthly!F146</f>
        <v>4.6581413890981107</v>
      </c>
      <c r="P29">
        <f>GDS_Monthly!G146</f>
        <v>4.9050426905703874</v>
      </c>
      <c r="Q29">
        <f>GDS_Monthly!T146</f>
        <v>79.233714951764881</v>
      </c>
      <c r="R29">
        <f>GDS_Monthly!V146</f>
        <v>83.457663096934425</v>
      </c>
      <c r="S29">
        <f>GDS_Monthly!W146</f>
        <v>59.415533502641416</v>
      </c>
      <c r="T29">
        <f>GDS_Monthly!X146</f>
        <v>43.58306291515796</v>
      </c>
      <c r="U29">
        <f>GDS_Monthly!AA146</f>
        <v>49.729304642598656</v>
      </c>
      <c r="V29">
        <f>GDS_Monthly!AC146</f>
        <v>73.375901969700465</v>
      </c>
      <c r="W29">
        <f>GDS_Monthly!AE146</f>
        <v>65.630559457302425</v>
      </c>
      <c r="X29">
        <f>GDS_Monthly!AF146</f>
        <v>68.901251253942021</v>
      </c>
      <c r="Y29">
        <f>OECD!B29</f>
        <v>99.056690000000003</v>
      </c>
      <c r="Z29">
        <f>OECD!C29</f>
        <v>93.48</v>
      </c>
      <c r="AA29">
        <f>'Monthly Haver'!K32</f>
        <v>118.05614</v>
      </c>
      <c r="AB29" s="10">
        <f>'Monthly Haver'!L32</f>
        <v>1440</v>
      </c>
      <c r="AC29" s="8"/>
      <c r="AD29" s="8"/>
      <c r="AE29" s="8"/>
    </row>
    <row r="30" spans="1:32">
      <c r="A30" s="12">
        <v>37012</v>
      </c>
      <c r="B30">
        <f>'Monthly Haver'!C33</f>
        <v>49.134500000000003</v>
      </c>
      <c r="C30">
        <f>'Monthly Haver'!D33</f>
        <v>52.884500000000003</v>
      </c>
      <c r="D30" t="e">
        <f>'Monthly Haver'!E33</f>
        <v>#N/A</v>
      </c>
      <c r="E30">
        <f>'Monthly Haver'!G33</f>
        <v>47.517800000000001</v>
      </c>
      <c r="F30">
        <f>'Monthly Haver'!H33</f>
        <v>44.7577</v>
      </c>
      <c r="G30" t="e">
        <f>'Monthly Haver'!I33</f>
        <v>#N/A</v>
      </c>
      <c r="H30">
        <f>'Monthly Haver'!J33</f>
        <v>49.423099999999998</v>
      </c>
      <c r="I30">
        <f>GDS_Monthly!O147</f>
        <v>54.783730257013289</v>
      </c>
      <c r="J30">
        <f>GDS_Monthly!D147</f>
        <v>72.572161819520034</v>
      </c>
      <c r="K30">
        <f>GDS_Monthly!AH147</f>
        <v>415.64725909999999</v>
      </c>
      <c r="L30">
        <f>GDS_Monthly!AI147</f>
        <v>396.12807520000001</v>
      </c>
      <c r="M30">
        <f>GDS_Monthly!N147</f>
        <v>5.8111764779527402</v>
      </c>
      <c r="N30">
        <f>GDS_Monthly!C147</f>
        <v>116.13958100481729</v>
      </c>
      <c r="O30">
        <f>GDS_Monthly!F147</f>
        <v>4.8067437586568262</v>
      </c>
      <c r="P30">
        <f>GDS_Monthly!G147</f>
        <v>4.6025302615003385</v>
      </c>
      <c r="Q30">
        <f>GDS_Monthly!T147</f>
        <v>79.554538907854322</v>
      </c>
      <c r="R30">
        <f>GDS_Monthly!V147</f>
        <v>83.626744267820612</v>
      </c>
      <c r="S30">
        <f>GDS_Monthly!W147</f>
        <v>60.901621755655661</v>
      </c>
      <c r="T30">
        <f>GDS_Monthly!X147</f>
        <v>44.887396514958262</v>
      </c>
      <c r="U30">
        <f>GDS_Monthly!AA147</f>
        <v>50.456501875677461</v>
      </c>
      <c r="V30">
        <f>GDS_Monthly!AC147</f>
        <v>73.758302262037844</v>
      </c>
      <c r="W30">
        <f>GDS_Monthly!AE147</f>
        <v>70.735050264340899</v>
      </c>
      <c r="X30">
        <f>GDS_Monthly!AF147</f>
        <v>67.967113841161492</v>
      </c>
      <c r="Y30">
        <f>OECD!B30</f>
        <v>98.947450000000003</v>
      </c>
      <c r="Z30">
        <f>OECD!C30</f>
        <v>93.87</v>
      </c>
      <c r="AA30">
        <f>'Monthly Haver'!K33</f>
        <v>117.89707</v>
      </c>
      <c r="AB30" s="10">
        <f>'Monthly Haver'!L33</f>
        <v>1448</v>
      </c>
      <c r="AC30" s="8"/>
      <c r="AD30" s="8"/>
      <c r="AE30" s="8"/>
    </row>
    <row r="31" spans="1:32">
      <c r="A31" s="12">
        <v>37043</v>
      </c>
      <c r="B31">
        <f>'Monthly Haver'!C34</f>
        <v>50.803600000000003</v>
      </c>
      <c r="C31">
        <f>'Monthly Haver'!D34</f>
        <v>50.747399999999999</v>
      </c>
      <c r="D31" t="e">
        <f>'Monthly Haver'!E34</f>
        <v>#N/A</v>
      </c>
      <c r="E31">
        <f>'Monthly Haver'!G34</f>
        <v>46.948700000000002</v>
      </c>
      <c r="F31">
        <f>'Monthly Haver'!H34</f>
        <v>45.632199999999997</v>
      </c>
      <c r="G31" t="e">
        <f>'Monthly Haver'!I34</f>
        <v>#N/A</v>
      </c>
      <c r="H31">
        <f>'Monthly Haver'!J34</f>
        <v>51.959600000000002</v>
      </c>
      <c r="I31">
        <f>GDS_Monthly!O148</f>
        <v>55.04230443585012</v>
      </c>
      <c r="J31">
        <f>GDS_Monthly!D148</f>
        <v>72.368831532221336</v>
      </c>
      <c r="K31">
        <f>GDS_Monthly!AH148</f>
        <v>409.56113160000001</v>
      </c>
      <c r="L31">
        <f>GDS_Monthly!AI148</f>
        <v>389.6794572</v>
      </c>
      <c r="M31">
        <f>GDS_Monthly!N148</f>
        <v>5.7769905511894715</v>
      </c>
      <c r="N31">
        <f>GDS_Monthly!C148</f>
        <v>116.65422352225083</v>
      </c>
      <c r="O31">
        <f>GDS_Monthly!F148</f>
        <v>4.7156117646731355</v>
      </c>
      <c r="P31">
        <f>GDS_Monthly!G148</f>
        <v>4.5418522440703368</v>
      </c>
      <c r="Q31">
        <f>GDS_Monthly!T148</f>
        <v>79.742390695164758</v>
      </c>
      <c r="R31">
        <f>GDS_Monthly!V148</f>
        <v>83.860781527757595</v>
      </c>
      <c r="S31">
        <f>GDS_Monthly!W148</f>
        <v>60.678317200713607</v>
      </c>
      <c r="T31">
        <f>GDS_Monthly!X148</f>
        <v>43.086933179923328</v>
      </c>
      <c r="U31">
        <f>GDS_Monthly!AA148</f>
        <v>49.629597609396413</v>
      </c>
      <c r="V31">
        <f>GDS_Monthly!AC148</f>
        <v>71.154271387136404</v>
      </c>
      <c r="W31">
        <f>GDS_Monthly!AE148</f>
        <v>69.920647449138826</v>
      </c>
      <c r="X31">
        <f>GDS_Monthly!AF148</f>
        <v>68.563413156989114</v>
      </c>
      <c r="Y31">
        <f>OECD!B31</f>
        <v>98.852500000000006</v>
      </c>
      <c r="Z31">
        <f>OECD!C31</f>
        <v>93.61</v>
      </c>
      <c r="AA31">
        <f>'Monthly Haver'!K34</f>
        <v>117.75357</v>
      </c>
      <c r="AB31" s="10">
        <f>'Monthly Haver'!L34</f>
        <v>1377</v>
      </c>
      <c r="AC31" s="8">
        <f>Quarterly!B11</f>
        <v>94.56</v>
      </c>
      <c r="AD31" s="8">
        <f>Quarterly!C11</f>
        <v>83.74</v>
      </c>
      <c r="AE31" s="8">
        <f>Quarterly!D11</f>
        <v>80.603237820129607</v>
      </c>
      <c r="AF31" s="33">
        <v>1.9835864009062227</v>
      </c>
    </row>
    <row r="32" spans="1:32">
      <c r="A32" s="12">
        <v>37073</v>
      </c>
      <c r="B32">
        <f>'Monthly Haver'!C35</f>
        <v>49.0458</v>
      </c>
      <c r="C32">
        <f>'Monthly Haver'!D35</f>
        <v>47.485900000000001</v>
      </c>
      <c r="D32" t="e">
        <f>'Monthly Haver'!E35</f>
        <v>#N/A</v>
      </c>
      <c r="E32">
        <f>'Monthly Haver'!G35</f>
        <v>47.551499999999997</v>
      </c>
      <c r="F32">
        <f>'Monthly Haver'!H35</f>
        <v>45.746099999999998</v>
      </c>
      <c r="G32" t="e">
        <f>'Monthly Haver'!I35</f>
        <v>#N/A</v>
      </c>
      <c r="H32">
        <f>'Monthly Haver'!J35</f>
        <v>49.535299999999999</v>
      </c>
      <c r="I32">
        <f>GDS_Monthly!O149</f>
        <v>54.932279943511965</v>
      </c>
      <c r="J32">
        <f>GDS_Monthly!D149</f>
        <v>71.744908997826542</v>
      </c>
      <c r="K32">
        <f>GDS_Monthly!AH149</f>
        <v>402.89239099999998</v>
      </c>
      <c r="L32">
        <f>GDS_Monthly!AI149</f>
        <v>381.1356419</v>
      </c>
      <c r="M32">
        <f>GDS_Monthly!N149</f>
        <v>5.9736200206851002</v>
      </c>
      <c r="N32">
        <f>GDS_Monthly!C149</f>
        <v>115.91215751522543</v>
      </c>
      <c r="O32">
        <f>GDS_Monthly!F149</f>
        <v>4.8644393465846854</v>
      </c>
      <c r="P32">
        <f>GDS_Monthly!G149</f>
        <v>4.491154051162777</v>
      </c>
      <c r="Q32">
        <f>GDS_Monthly!T149</f>
        <v>79.763199657834448</v>
      </c>
      <c r="R32">
        <f>GDS_Monthly!V149</f>
        <v>84.044723048150118</v>
      </c>
      <c r="S32">
        <f>GDS_Monthly!W149</f>
        <v>62.228078515987619</v>
      </c>
      <c r="T32">
        <f>GDS_Monthly!X149</f>
        <v>41.076991493233095</v>
      </c>
      <c r="U32">
        <f>GDS_Monthly!AA149</f>
        <v>49.630124619789228</v>
      </c>
      <c r="V32">
        <f>GDS_Monthly!AC149</f>
        <v>64.966555821158138</v>
      </c>
      <c r="W32">
        <f>GDS_Monthly!AE149</f>
        <v>64.280784471577064</v>
      </c>
      <c r="X32">
        <f>GDS_Monthly!AF149</f>
        <v>66.219001513779062</v>
      </c>
      <c r="Y32">
        <f>OECD!B32</f>
        <v>98.765150000000006</v>
      </c>
      <c r="Z32">
        <f>OECD!C32</f>
        <v>93.36</v>
      </c>
      <c r="AA32">
        <f>'Monthly Haver'!K35</f>
        <v>116.59327</v>
      </c>
      <c r="AB32" s="10">
        <f>'Monthly Haver'!L35</f>
        <v>1221</v>
      </c>
      <c r="AC32" s="8"/>
      <c r="AD32" s="8"/>
      <c r="AE32" s="8"/>
    </row>
    <row r="33" spans="1:32">
      <c r="A33" s="12">
        <v>37104</v>
      </c>
      <c r="B33">
        <f>'Monthly Haver'!C36</f>
        <v>49.399900000000002</v>
      </c>
      <c r="C33">
        <f>'Monthly Haver'!D36</f>
        <v>45.691200000000002</v>
      </c>
      <c r="D33" t="e">
        <f>'Monthly Haver'!E36</f>
        <v>#N/A</v>
      </c>
      <c r="E33">
        <f>'Monthly Haver'!G36</f>
        <v>47.817700000000002</v>
      </c>
      <c r="F33">
        <f>'Monthly Haver'!H36</f>
        <v>47.605899999999998</v>
      </c>
      <c r="G33" t="e">
        <f>'Monthly Haver'!I36</f>
        <v>#N/A</v>
      </c>
      <c r="H33">
        <f>'Monthly Haver'!J36</f>
        <v>48.754100000000001</v>
      </c>
      <c r="I33">
        <f>GDS_Monthly!O150</f>
        <v>55.183507712573274</v>
      </c>
      <c r="J33">
        <f>GDS_Monthly!D150</f>
        <v>72.347955604619301</v>
      </c>
      <c r="K33">
        <f>GDS_Monthly!AH150</f>
        <v>407.99096680000002</v>
      </c>
      <c r="L33">
        <f>GDS_Monthly!AI150</f>
        <v>390.59731959999999</v>
      </c>
      <c r="M33">
        <f>GDS_Monthly!N150</f>
        <v>5.9925185557466527</v>
      </c>
      <c r="N33">
        <f>GDS_Monthly!C150</f>
        <v>115.11301086075949</v>
      </c>
      <c r="O33">
        <f>GDS_Monthly!F150</f>
        <v>4.5464799375764766</v>
      </c>
      <c r="P33">
        <f>GDS_Monthly!G150</f>
        <v>4.2914439771581234</v>
      </c>
      <c r="Q33">
        <f>GDS_Monthly!T150</f>
        <v>79.868881146530796</v>
      </c>
      <c r="R33">
        <f>GDS_Monthly!V150</f>
        <v>84.210301529117913</v>
      </c>
      <c r="S33">
        <f>GDS_Monthly!W150</f>
        <v>62.275000448874053</v>
      </c>
      <c r="T33">
        <f>GDS_Monthly!X150</f>
        <v>39.745043683848856</v>
      </c>
      <c r="U33">
        <f>GDS_Monthly!AA150</f>
        <v>49.234080546226494</v>
      </c>
      <c r="V33">
        <f>GDS_Monthly!AC150</f>
        <v>66.102523011559015</v>
      </c>
      <c r="W33">
        <f>GDS_Monthly!AE150</f>
        <v>65.642331510324695</v>
      </c>
      <c r="X33">
        <f>GDS_Monthly!AF150</f>
        <v>64.80168918360846</v>
      </c>
      <c r="Y33">
        <f>OECD!B33</f>
        <v>98.685460000000006</v>
      </c>
      <c r="Z33">
        <f>OECD!C33</f>
        <v>93.24</v>
      </c>
      <c r="AA33">
        <f>'Monthly Haver'!K36</f>
        <v>115.02526</v>
      </c>
      <c r="AB33" s="10">
        <f>'Monthly Haver'!L36</f>
        <v>980</v>
      </c>
      <c r="AC33" s="8"/>
      <c r="AD33" s="8"/>
      <c r="AE33" s="8"/>
    </row>
    <row r="34" spans="1:32">
      <c r="A34" s="12">
        <v>37135</v>
      </c>
      <c r="B34">
        <f>'Monthly Haver'!C37</f>
        <v>49.478999999999999</v>
      </c>
      <c r="C34">
        <f>'Monthly Haver'!D37</f>
        <v>46.113900000000001</v>
      </c>
      <c r="D34" t="e">
        <f>'Monthly Haver'!E37</f>
        <v>#N/A</v>
      </c>
      <c r="E34">
        <f>'Monthly Haver'!G37</f>
        <v>47.773299999999999</v>
      </c>
      <c r="F34">
        <f>'Monthly Haver'!H37</f>
        <v>46.740200000000002</v>
      </c>
      <c r="G34" t="e">
        <f>'Monthly Haver'!I37</f>
        <v>#N/A</v>
      </c>
      <c r="H34">
        <f>'Monthly Haver'!J37</f>
        <v>49.223599999999998</v>
      </c>
      <c r="I34">
        <f>GDS_Monthly!O151</f>
        <v>55.054173998551292</v>
      </c>
      <c r="J34">
        <f>GDS_Monthly!D151</f>
        <v>71.789706523490437</v>
      </c>
      <c r="K34">
        <f>GDS_Monthly!AH151</f>
        <v>396.78410739999998</v>
      </c>
      <c r="L34">
        <f>GDS_Monthly!AI151</f>
        <v>380.30754239999999</v>
      </c>
      <c r="M34">
        <f>GDS_Monthly!N151</f>
        <v>6.0461030222441847</v>
      </c>
      <c r="N34">
        <f>GDS_Monthly!C151</f>
        <v>110.54523434732505</v>
      </c>
      <c r="O34">
        <f>GDS_Monthly!F151</f>
        <v>4.4446166348034888</v>
      </c>
      <c r="P34">
        <f>GDS_Monthly!G151</f>
        <v>3.9867143033988492</v>
      </c>
      <c r="Q34">
        <f>GDS_Monthly!T151</f>
        <v>80.038760118848643</v>
      </c>
      <c r="R34">
        <f>GDS_Monthly!V151</f>
        <v>84.382675785749839</v>
      </c>
      <c r="S34">
        <f>GDS_Monthly!W151</f>
        <v>60.202419997114177</v>
      </c>
      <c r="T34">
        <f>GDS_Monthly!X151</f>
        <v>38.523537525596758</v>
      </c>
      <c r="U34">
        <f>GDS_Monthly!AA151</f>
        <v>48.041024680717129</v>
      </c>
      <c r="V34">
        <f>GDS_Monthly!AC151</f>
        <v>62.719314674370558</v>
      </c>
      <c r="W34">
        <f>GDS_Monthly!AE151</f>
        <v>63.119648519623674</v>
      </c>
      <c r="X34">
        <f>GDS_Monthly!AF151</f>
        <v>63.115045785899575</v>
      </c>
      <c r="Y34">
        <f>OECD!B34</f>
        <v>98.629890000000003</v>
      </c>
      <c r="Z34">
        <f>OECD!C34</f>
        <v>91.9</v>
      </c>
      <c r="AA34">
        <f>'Monthly Haver'!K37</f>
        <v>115.00387000000001</v>
      </c>
      <c r="AB34" s="10">
        <f>'Monthly Haver'!L37</f>
        <v>945</v>
      </c>
      <c r="AC34" s="8">
        <f>Quarterly!B12</f>
        <v>95.66</v>
      </c>
      <c r="AD34" s="8">
        <f>Quarterly!C12</f>
        <v>84.57</v>
      </c>
      <c r="AE34" s="8">
        <f>Quarterly!D12</f>
        <v>80.530171891991003</v>
      </c>
      <c r="AF34" s="33">
        <v>0.8884061635676046</v>
      </c>
    </row>
    <row r="35" spans="1:32">
      <c r="A35" s="12">
        <v>37165</v>
      </c>
      <c r="B35">
        <f>'Monthly Haver'!C38</f>
        <v>41.772300000000001</v>
      </c>
      <c r="C35">
        <f>'Monthly Haver'!D38</f>
        <v>41.566000000000003</v>
      </c>
      <c r="D35" t="e">
        <f>'Monthly Haver'!E38</f>
        <v>#N/A</v>
      </c>
      <c r="E35">
        <f>'Monthly Haver'!G38</f>
        <v>44.860799999999998</v>
      </c>
      <c r="F35">
        <f>'Monthly Haver'!H38</f>
        <v>41.021700000000003</v>
      </c>
      <c r="G35" t="e">
        <f>'Monthly Haver'!I38</f>
        <v>#N/A</v>
      </c>
      <c r="H35">
        <f>'Monthly Haver'!J38</f>
        <v>42.8904</v>
      </c>
      <c r="I35">
        <f>GDS_Monthly!O152</f>
        <v>55.244763111812389</v>
      </c>
      <c r="J35">
        <f>GDS_Monthly!D152</f>
        <v>71.581039306982774</v>
      </c>
      <c r="K35">
        <f>GDS_Monthly!AH152</f>
        <v>399.77566739999997</v>
      </c>
      <c r="L35">
        <f>GDS_Monthly!AI152</f>
        <v>384.34306329999998</v>
      </c>
      <c r="M35">
        <f>GDS_Monthly!N152</f>
        <v>6.1776572787911945</v>
      </c>
      <c r="N35">
        <f>GDS_Monthly!C152</f>
        <v>107.1302837912702</v>
      </c>
      <c r="O35">
        <f>GDS_Monthly!F152</f>
        <v>4.4424701499107782</v>
      </c>
      <c r="P35">
        <f>GDS_Monthly!G152</f>
        <v>3.7493930573220622</v>
      </c>
      <c r="Q35">
        <f>GDS_Monthly!T152</f>
        <v>80.038920331537994</v>
      </c>
      <c r="R35">
        <f>GDS_Monthly!V152</f>
        <v>84.547318060227241</v>
      </c>
      <c r="S35">
        <f>GDS_Monthly!W152</f>
        <v>59.030629487333833</v>
      </c>
      <c r="T35">
        <f>GDS_Monthly!X152</f>
        <v>37.289398705461515</v>
      </c>
      <c r="U35">
        <f>GDS_Monthly!AA152</f>
        <v>46.912667008693681</v>
      </c>
      <c r="V35">
        <f>GDS_Monthly!AC152</f>
        <v>55.431303027918567</v>
      </c>
      <c r="W35">
        <f>GDS_Monthly!AE152</f>
        <v>52.573031473054492</v>
      </c>
      <c r="X35">
        <f>GDS_Monthly!AF152</f>
        <v>60.097596004119623</v>
      </c>
      <c r="Y35">
        <f>OECD!B35</f>
        <v>98.642160000000004</v>
      </c>
      <c r="Z35">
        <f>OECD!C35</f>
        <v>91.22</v>
      </c>
      <c r="AA35">
        <f>'Monthly Haver'!K38</f>
        <v>113.80347</v>
      </c>
      <c r="AB35" s="10">
        <f>'Monthly Haver'!L38</f>
        <v>898</v>
      </c>
      <c r="AC35" s="8"/>
      <c r="AD35" s="8"/>
      <c r="AE35" s="8"/>
    </row>
    <row r="36" spans="1:32">
      <c r="A36" s="12">
        <v>37196</v>
      </c>
      <c r="B36">
        <f>'Monthly Haver'!C39</f>
        <v>46.024700000000003</v>
      </c>
      <c r="C36">
        <f>'Monthly Haver'!D39</f>
        <v>40.396900000000002</v>
      </c>
      <c r="D36" t="e">
        <f>'Monthly Haver'!E39</f>
        <v>#N/A</v>
      </c>
      <c r="E36">
        <f>'Monthly Haver'!G39</f>
        <v>44.920999999999999</v>
      </c>
      <c r="F36">
        <f>'Monthly Haver'!H39</f>
        <v>43.485399999999998</v>
      </c>
      <c r="G36" t="e">
        <f>'Monthly Haver'!I39</f>
        <v>#N/A</v>
      </c>
      <c r="H36">
        <f>'Monthly Haver'!J39</f>
        <v>48.477600000000002</v>
      </c>
      <c r="I36">
        <f>GDS_Monthly!O153</f>
        <v>55.692319072684541</v>
      </c>
      <c r="J36">
        <f>GDS_Monthly!D153</f>
        <v>71.542998047918246</v>
      </c>
      <c r="K36">
        <f>GDS_Monthly!AH153</f>
        <v>390.98356139999999</v>
      </c>
      <c r="L36">
        <f>GDS_Monthly!AI153</f>
        <v>376.42922329999999</v>
      </c>
      <c r="M36">
        <f>GDS_Monthly!N153</f>
        <v>6.2087357064759328</v>
      </c>
      <c r="N36">
        <f>GDS_Monthly!C153</f>
        <v>106.3062111132764</v>
      </c>
      <c r="O36">
        <f>GDS_Monthly!F153</f>
        <v>4.2352468703977495</v>
      </c>
      <c r="P36">
        <f>GDS_Monthly!G153</f>
        <v>3.4608157014497274</v>
      </c>
      <c r="Q36">
        <f>GDS_Monthly!T153</f>
        <v>80.08896885657748</v>
      </c>
      <c r="R36">
        <f>GDS_Monthly!V153</f>
        <v>84.718991372925643</v>
      </c>
      <c r="S36">
        <f>GDS_Monthly!W153</f>
        <v>57.812665291316186</v>
      </c>
      <c r="T36">
        <f>GDS_Monthly!X153</f>
        <v>38.560568329420541</v>
      </c>
      <c r="U36">
        <f>GDS_Monthly!AA153</f>
        <v>46.587496385830256</v>
      </c>
      <c r="V36">
        <f>GDS_Monthly!AC153</f>
        <v>50.466009577587407</v>
      </c>
      <c r="W36">
        <f>GDS_Monthly!AE153</f>
        <v>47.766393924383408</v>
      </c>
      <c r="X36">
        <f>GDS_Monthly!AF153</f>
        <v>61.003304571282897</v>
      </c>
      <c r="Y36">
        <f>OECD!B36</f>
        <v>98.743030000000005</v>
      </c>
      <c r="Z36">
        <f>OECD!C36</f>
        <v>92.02</v>
      </c>
      <c r="AA36">
        <f>'Monthly Haver'!K39</f>
        <v>114.14976</v>
      </c>
      <c r="AB36" s="10">
        <f>'Monthly Haver'!L39</f>
        <v>855</v>
      </c>
      <c r="AC36" s="8"/>
      <c r="AD36" s="8"/>
      <c r="AE36" s="8"/>
    </row>
    <row r="37" spans="1:32">
      <c r="A37" s="12">
        <v>37226</v>
      </c>
      <c r="B37">
        <f>'Monthly Haver'!C40</f>
        <v>48.448599999999999</v>
      </c>
      <c r="C37">
        <f>'Monthly Haver'!D40</f>
        <v>41.402900000000002</v>
      </c>
      <c r="D37" t="e">
        <f>'Monthly Haver'!E40</f>
        <v>#N/A</v>
      </c>
      <c r="E37">
        <f>'Monthly Haver'!G40</f>
        <v>45.3675</v>
      </c>
      <c r="F37">
        <f>'Monthly Haver'!H40</f>
        <v>44.069400000000002</v>
      </c>
      <c r="G37" t="e">
        <f>'Monthly Haver'!I40</f>
        <v>#N/A</v>
      </c>
      <c r="H37">
        <f>'Monthly Haver'!J40</f>
        <v>50.219299999999997</v>
      </c>
      <c r="I37">
        <f>GDS_Monthly!O154</f>
        <v>55.778345630608108</v>
      </c>
      <c r="J37">
        <f>GDS_Monthly!D154</f>
        <v>71.27997555992313</v>
      </c>
      <c r="K37">
        <f>GDS_Monthly!AH154</f>
        <v>381.4952773</v>
      </c>
      <c r="L37">
        <f>GDS_Monthly!AI154</f>
        <v>372.30871300000001</v>
      </c>
      <c r="M37">
        <f>GDS_Monthly!N154</f>
        <v>6.221134504715665</v>
      </c>
      <c r="N37">
        <f>GDS_Monthly!C154</f>
        <v>109.22368181050979</v>
      </c>
      <c r="O37">
        <f>GDS_Monthly!F154</f>
        <v>4.6676497881427936</v>
      </c>
      <c r="P37">
        <f>GDS_Monthly!G154</f>
        <v>3.4042566069559048</v>
      </c>
      <c r="Q37">
        <f>GDS_Monthly!T154</f>
        <v>80.172158296483417</v>
      </c>
      <c r="R37">
        <f>GDS_Monthly!V154</f>
        <v>84.888043072680404</v>
      </c>
      <c r="S37">
        <f>GDS_Monthly!W154</f>
        <v>57.541376357772663</v>
      </c>
      <c r="T37">
        <f>GDS_Monthly!X154</f>
        <v>39.096092038061094</v>
      </c>
      <c r="U37">
        <f>GDS_Monthly!AA154</f>
        <v>46.640600062189655</v>
      </c>
      <c r="V37">
        <f>GDS_Monthly!AC154</f>
        <v>49.715200243765658</v>
      </c>
      <c r="W37">
        <f>GDS_Monthly!AE154</f>
        <v>47.550580310706955</v>
      </c>
      <c r="X37">
        <f>GDS_Monthly!AF154</f>
        <v>60.474277669806725</v>
      </c>
      <c r="Y37">
        <f>OECD!B37</f>
        <v>98.920910000000006</v>
      </c>
      <c r="Z37">
        <f>OECD!C37</f>
        <v>92.66</v>
      </c>
      <c r="AA37">
        <f>'Monthly Haver'!K40</f>
        <v>113.26776</v>
      </c>
      <c r="AB37" s="10">
        <f>'Monthly Haver'!L40</f>
        <v>870</v>
      </c>
      <c r="AC37" s="8">
        <f>Quarterly!B13</f>
        <v>95.36</v>
      </c>
      <c r="AD37" s="8">
        <f>Quarterly!C13</f>
        <v>85.16</v>
      </c>
      <c r="AE37" s="8">
        <f>Quarterly!D13</f>
        <v>80.704555942647858</v>
      </c>
      <c r="AF37" s="33">
        <v>1.8425459081979245</v>
      </c>
    </row>
    <row r="38" spans="1:32">
      <c r="A38" s="12">
        <v>37257</v>
      </c>
      <c r="B38">
        <f>'Monthly Haver'!C41</f>
        <v>49.706699999999998</v>
      </c>
      <c r="C38">
        <f>'Monthly Haver'!D41</f>
        <v>46.869599999999998</v>
      </c>
      <c r="D38" t="e">
        <f>'Monthly Haver'!E41</f>
        <v>#N/A</v>
      </c>
      <c r="E38">
        <f>'Monthly Haver'!G41</f>
        <v>45.684699999999999</v>
      </c>
      <c r="F38">
        <f>'Monthly Haver'!H41</f>
        <v>46.493499999999997</v>
      </c>
      <c r="G38" t="e">
        <f>'Monthly Haver'!I41</f>
        <v>#N/A</v>
      </c>
      <c r="H38">
        <f>'Monthly Haver'!J41</f>
        <v>50.270899999999997</v>
      </c>
      <c r="I38">
        <f>GDS_Monthly!O155</f>
        <v>56.463258670146367</v>
      </c>
      <c r="J38">
        <f>GDS_Monthly!D155</f>
        <v>72.069058992185191</v>
      </c>
      <c r="K38">
        <f>GDS_Monthly!AH155</f>
        <v>387.0044168</v>
      </c>
      <c r="L38">
        <f>GDS_Monthly!AI155</f>
        <v>378.54321820000001</v>
      </c>
      <c r="M38">
        <f>GDS_Monthly!N155</f>
        <v>6.4098082003438792</v>
      </c>
      <c r="N38">
        <f>GDS_Monthly!C155</f>
        <v>110.89383777679936</v>
      </c>
      <c r="O38">
        <f>GDS_Monthly!F155</f>
        <v>4.6756696029169316</v>
      </c>
      <c r="P38">
        <f>GDS_Monthly!G155</f>
        <v>3.1959601388731524</v>
      </c>
      <c r="Q38">
        <f>GDS_Monthly!T155</f>
        <v>80.424411761710743</v>
      </c>
      <c r="R38">
        <f>GDS_Monthly!V155</f>
        <v>85.086322444576538</v>
      </c>
      <c r="S38">
        <f>GDS_Monthly!W155</f>
        <v>59.197918833502982</v>
      </c>
      <c r="T38">
        <f>GDS_Monthly!X155</f>
        <v>40.402698044035411</v>
      </c>
      <c r="U38">
        <f>GDS_Monthly!AA155</f>
        <v>47.805931252235517</v>
      </c>
      <c r="V38">
        <f>GDS_Monthly!AC155</f>
        <v>49.582557566235444</v>
      </c>
      <c r="W38">
        <f>GDS_Monthly!AE155</f>
        <v>49.577972722353536</v>
      </c>
      <c r="X38">
        <f>GDS_Monthly!AF155</f>
        <v>60.919209447255589</v>
      </c>
      <c r="Y38">
        <f>OECD!B38</f>
        <v>99.138570000000001</v>
      </c>
      <c r="Z38">
        <f>OECD!C38</f>
        <v>93.56</v>
      </c>
      <c r="AA38">
        <f>'Monthly Haver'!K41</f>
        <v>114.5098</v>
      </c>
      <c r="AB38" s="10">
        <f>'Monthly Haver'!L41</f>
        <v>931</v>
      </c>
      <c r="AC38" s="8"/>
      <c r="AD38" s="8"/>
      <c r="AE38" s="8"/>
    </row>
    <row r="39" spans="1:32">
      <c r="A39" s="12">
        <v>37288</v>
      </c>
      <c r="B39">
        <f>'Monthly Haver'!C42</f>
        <v>54.393000000000001</v>
      </c>
      <c r="C39">
        <f>'Monthly Haver'!D42</f>
        <v>46.475200000000001</v>
      </c>
      <c r="D39" t="e">
        <f>'Monthly Haver'!E42</f>
        <v>#N/A</v>
      </c>
      <c r="E39">
        <f>'Monthly Haver'!G42</f>
        <v>46.419899999999998</v>
      </c>
      <c r="F39">
        <f>'Monthly Haver'!H42</f>
        <v>49.090200000000003</v>
      </c>
      <c r="G39" t="e">
        <f>'Monthly Haver'!I42</f>
        <v>#N/A</v>
      </c>
      <c r="H39">
        <f>'Monthly Haver'!J42</f>
        <v>55.192399999999999</v>
      </c>
      <c r="I39">
        <f>GDS_Monthly!O156</f>
        <v>56.364703790386542</v>
      </c>
      <c r="J39">
        <f>GDS_Monthly!D156</f>
        <v>72.344982712129791</v>
      </c>
      <c r="K39">
        <f>GDS_Monthly!AH156</f>
        <v>396.59662250000002</v>
      </c>
      <c r="L39">
        <f>GDS_Monthly!AI156</f>
        <v>379.7605949</v>
      </c>
      <c r="M39">
        <f>GDS_Monthly!N156</f>
        <v>6.4162599004691243</v>
      </c>
      <c r="N39">
        <f>GDS_Monthly!C156</f>
        <v>110.08289001713968</v>
      </c>
      <c r="O39">
        <f>GDS_Monthly!F156</f>
        <v>4.6552395450590698</v>
      </c>
      <c r="P39">
        <f>GDS_Monthly!G156</f>
        <v>3.6475843802302936</v>
      </c>
      <c r="Q39">
        <f>GDS_Monthly!T156</f>
        <v>80.515494729458155</v>
      </c>
      <c r="R39">
        <f>GDS_Monthly!V156</f>
        <v>85.260041991944618</v>
      </c>
      <c r="S39">
        <f>GDS_Monthly!W156</f>
        <v>59.467522190379647</v>
      </c>
      <c r="T39">
        <f>GDS_Monthly!X156</f>
        <v>40.60334212956996</v>
      </c>
      <c r="U39">
        <f>GDS_Monthly!AA156</f>
        <v>48.359474831474891</v>
      </c>
      <c r="V39">
        <f>GDS_Monthly!AC156</f>
        <v>51.270496491074283</v>
      </c>
      <c r="W39">
        <f>GDS_Monthly!AE156</f>
        <v>52.03086093754434</v>
      </c>
      <c r="X39">
        <f>GDS_Monthly!AF156</f>
        <v>63.197900934249603</v>
      </c>
      <c r="Y39">
        <f>OECD!B39</f>
        <v>99.355540000000005</v>
      </c>
      <c r="Z39">
        <f>OECD!C39</f>
        <v>93.85</v>
      </c>
      <c r="AA39">
        <f>'Monthly Haver'!K42</f>
        <v>114.92203000000001</v>
      </c>
      <c r="AB39" s="10">
        <f>'Monthly Haver'!L42</f>
        <v>960</v>
      </c>
      <c r="AC39" s="8"/>
      <c r="AD39" s="8"/>
      <c r="AE39" s="8"/>
    </row>
    <row r="40" spans="1:32">
      <c r="A40" s="12">
        <v>37316</v>
      </c>
      <c r="B40">
        <f>'Monthly Haver'!C43</f>
        <v>55.914099999999998</v>
      </c>
      <c r="C40">
        <f>'Monthly Haver'!D43</f>
        <v>49.279699999999998</v>
      </c>
      <c r="D40" t="e">
        <f>'Monthly Haver'!E43</f>
        <v>#N/A</v>
      </c>
      <c r="E40">
        <f>'Monthly Haver'!G43</f>
        <v>47.976500000000001</v>
      </c>
      <c r="F40">
        <f>'Monthly Haver'!H43</f>
        <v>51.011000000000003</v>
      </c>
      <c r="G40" t="e">
        <f>'Monthly Haver'!I43</f>
        <v>#N/A</v>
      </c>
      <c r="H40">
        <f>'Monthly Haver'!J43</f>
        <v>55.423699999999997</v>
      </c>
      <c r="I40">
        <f>GDS_Monthly!O157</f>
        <v>56.745052492900292</v>
      </c>
      <c r="J40">
        <f>GDS_Monthly!D157</f>
        <v>72.816525707722192</v>
      </c>
      <c r="K40">
        <f>GDS_Monthly!AH157</f>
        <v>400.09177799999998</v>
      </c>
      <c r="L40">
        <f>GDS_Monthly!AI157</f>
        <v>389.25861500000002</v>
      </c>
      <c r="M40">
        <f>GDS_Monthly!N157</f>
        <v>6.4339669302472835</v>
      </c>
      <c r="N40">
        <f>GDS_Monthly!C157</f>
        <v>114.46145216727106</v>
      </c>
      <c r="O40">
        <f>GDS_Monthly!F157</f>
        <v>4.886247514296632</v>
      </c>
      <c r="P40">
        <f>GDS_Monthly!G157</f>
        <v>3.6055888496422335</v>
      </c>
      <c r="Q40">
        <f>GDS_Monthly!T157</f>
        <v>80.712187634366614</v>
      </c>
      <c r="R40">
        <f>GDS_Monthly!V157</f>
        <v>85.321664506660767</v>
      </c>
      <c r="S40">
        <f>GDS_Monthly!W157</f>
        <v>62.297234582993049</v>
      </c>
      <c r="T40">
        <f>GDS_Monthly!X157</f>
        <v>41.968438995019568</v>
      </c>
      <c r="U40">
        <f>GDS_Monthly!AA157</f>
        <v>50.073605950140951</v>
      </c>
      <c r="V40">
        <f>GDS_Monthly!AC157</f>
        <v>59.613536237806585</v>
      </c>
      <c r="W40">
        <f>GDS_Monthly!AE157</f>
        <v>61.3385598405902</v>
      </c>
      <c r="X40">
        <f>GDS_Monthly!AF157</f>
        <v>62.177913175310771</v>
      </c>
      <c r="Y40">
        <f>OECD!B40</f>
        <v>99.524640000000005</v>
      </c>
      <c r="Z40">
        <f>OECD!C40</f>
        <v>94.79</v>
      </c>
      <c r="AA40">
        <f>'Monthly Haver'!K43</f>
        <v>114.84430999999999</v>
      </c>
      <c r="AB40" s="10">
        <f>'Monthly Haver'!L43</f>
        <v>1065</v>
      </c>
      <c r="AC40" s="8">
        <f>Quarterly!B14</f>
        <v>96.23</v>
      </c>
      <c r="AD40" s="8">
        <f>Quarterly!C14</f>
        <v>86.15</v>
      </c>
      <c r="AE40" s="8">
        <f>Quarterly!D14</f>
        <v>81.178151312836306</v>
      </c>
      <c r="AF40" s="33">
        <v>3.3692313686919055</v>
      </c>
    </row>
    <row r="41" spans="1:32">
      <c r="A41" s="12">
        <v>37347</v>
      </c>
      <c r="B41">
        <f>'Monthly Haver'!C44</f>
        <v>56.818199999999997</v>
      </c>
      <c r="C41">
        <f>'Monthly Haver'!D44</f>
        <v>53.107500000000002</v>
      </c>
      <c r="D41" t="e">
        <f>'Monthly Haver'!E44</f>
        <v>#N/A</v>
      </c>
      <c r="E41">
        <f>'Monthly Haver'!G44</f>
        <v>49.438299999999998</v>
      </c>
      <c r="F41">
        <f>'Monthly Haver'!H44</f>
        <v>51.953299999999999</v>
      </c>
      <c r="G41" t="e">
        <f>'Monthly Haver'!I44</f>
        <v>#N/A</v>
      </c>
      <c r="H41">
        <f>'Monthly Haver'!J44</f>
        <v>55.192399999999999</v>
      </c>
      <c r="I41">
        <f>GDS_Monthly!O158</f>
        <v>57.240503674922479</v>
      </c>
      <c r="J41">
        <f>GDS_Monthly!D158</f>
        <v>73.489110957261772</v>
      </c>
      <c r="K41">
        <f>GDS_Monthly!AH158</f>
        <v>417.90756929999998</v>
      </c>
      <c r="L41">
        <f>GDS_Monthly!AI158</f>
        <v>401.23120230000001</v>
      </c>
      <c r="M41">
        <f>GDS_Monthly!N158</f>
        <v>6.5028248922611676</v>
      </c>
      <c r="N41">
        <f>GDS_Monthly!C158</f>
        <v>113.49484986713948</v>
      </c>
      <c r="O41">
        <f>GDS_Monthly!F158</f>
        <v>4.8559381452327628</v>
      </c>
      <c r="P41">
        <f>GDS_Monthly!G158</f>
        <v>3.5308731827230546</v>
      </c>
      <c r="Q41">
        <f>GDS_Monthly!T158</f>
        <v>81.078545242742067</v>
      </c>
      <c r="R41">
        <f>GDS_Monthly!V158</f>
        <v>85.522961879734254</v>
      </c>
      <c r="S41">
        <f>GDS_Monthly!W158</f>
        <v>62.47134494285983</v>
      </c>
      <c r="T41">
        <f>GDS_Monthly!X158</f>
        <v>41.988457907499409</v>
      </c>
      <c r="U41">
        <f>GDS_Monthly!AA158</f>
        <v>50.32380461158958</v>
      </c>
      <c r="V41">
        <f>GDS_Monthly!AC158</f>
        <v>63.673919733197934</v>
      </c>
      <c r="W41">
        <f>GDS_Monthly!AE158</f>
        <v>65.635461322392302</v>
      </c>
      <c r="X41">
        <f>GDS_Monthly!AF158</f>
        <v>62.959154408948962</v>
      </c>
      <c r="Y41">
        <f>OECD!B41</f>
        <v>99.605239999999995</v>
      </c>
      <c r="Z41">
        <f>OECD!C41</f>
        <v>95.37</v>
      </c>
      <c r="AA41">
        <f>'Monthly Haver'!K44</f>
        <v>114.60590999999999</v>
      </c>
      <c r="AB41" s="10">
        <f>'Monthly Haver'!L44</f>
        <v>1077</v>
      </c>
      <c r="AC41" s="8"/>
      <c r="AD41" s="8"/>
      <c r="AE41" s="8"/>
    </row>
    <row r="42" spans="1:32">
      <c r="A42" s="12">
        <v>37377</v>
      </c>
      <c r="B42">
        <f>'Monthly Haver'!C45</f>
        <v>56.710900000000002</v>
      </c>
      <c r="C42">
        <f>'Monthly Haver'!D45</f>
        <v>54.037100000000002</v>
      </c>
      <c r="D42" t="e">
        <f>'Monthly Haver'!E45</f>
        <v>#N/A</v>
      </c>
      <c r="E42">
        <f>'Monthly Haver'!G45</f>
        <v>50.423299999999998</v>
      </c>
      <c r="F42">
        <f>'Monthly Haver'!H45</f>
        <v>53.142499999999998</v>
      </c>
      <c r="G42" t="e">
        <f>'Monthly Haver'!I45</f>
        <v>#N/A</v>
      </c>
      <c r="H42">
        <f>'Monthly Haver'!J45</f>
        <v>57.653599999999997</v>
      </c>
      <c r="I42">
        <f>GDS_Monthly!O159</f>
        <v>57.459068315116383</v>
      </c>
      <c r="J42">
        <f>GDS_Monthly!D159</f>
        <v>73.882792774890817</v>
      </c>
      <c r="K42">
        <f>GDS_Monthly!AH159</f>
        <v>422.68851719999998</v>
      </c>
      <c r="L42">
        <f>GDS_Monthly!AI159</f>
        <v>407.38283300000001</v>
      </c>
      <c r="M42">
        <f>GDS_Monthly!N159</f>
        <v>6.4713231744078747</v>
      </c>
      <c r="N42">
        <f>GDS_Monthly!C159</f>
        <v>114.1123092319278</v>
      </c>
      <c r="O42">
        <f>GDS_Monthly!F159</f>
        <v>4.8118495459924144</v>
      </c>
      <c r="P42">
        <f>GDS_Monthly!G159</f>
        <v>3.5310490626784645</v>
      </c>
      <c r="Q42">
        <f>GDS_Monthly!T159</f>
        <v>81.217565972586797</v>
      </c>
      <c r="R42">
        <f>GDS_Monthly!V159</f>
        <v>85.646570484437007</v>
      </c>
      <c r="S42">
        <f>GDS_Monthly!W159</f>
        <v>61.743797620409666</v>
      </c>
      <c r="T42">
        <f>GDS_Monthly!X159</f>
        <v>41.470369989130496</v>
      </c>
      <c r="U42">
        <f>GDS_Monthly!AA159</f>
        <v>50.042962370604336</v>
      </c>
      <c r="V42">
        <f>GDS_Monthly!AC159</f>
        <v>64.466222320066009</v>
      </c>
      <c r="W42">
        <f>GDS_Monthly!AE159</f>
        <v>65.23381204026407</v>
      </c>
      <c r="X42">
        <f>GDS_Monthly!AF159</f>
        <v>63.342584778621841</v>
      </c>
      <c r="Y42">
        <f>OECD!B42</f>
        <v>99.588710000000006</v>
      </c>
      <c r="Z42">
        <f>OECD!C42</f>
        <v>96.3</v>
      </c>
      <c r="AA42">
        <f>'Monthly Haver'!K45</f>
        <v>113.0735</v>
      </c>
      <c r="AB42" s="10">
        <f>'Monthly Haver'!L45</f>
        <v>1033</v>
      </c>
      <c r="AC42" s="8"/>
      <c r="AD42" s="8"/>
      <c r="AE42" s="8"/>
    </row>
    <row r="43" spans="1:32">
      <c r="A43" s="12">
        <v>37408</v>
      </c>
      <c r="B43">
        <f>'Monthly Haver'!C46</f>
        <v>56.360700000000001</v>
      </c>
      <c r="C43">
        <f>'Monthly Haver'!D46</f>
        <v>54.298499999999997</v>
      </c>
      <c r="D43" t="e">
        <f>'Monthly Haver'!E46</f>
        <v>#N/A</v>
      </c>
      <c r="E43">
        <f>'Monthly Haver'!G46</f>
        <v>48.3703</v>
      </c>
      <c r="F43">
        <f>'Monthly Haver'!H46</f>
        <v>53.494799999999998</v>
      </c>
      <c r="G43" t="e">
        <f>'Monthly Haver'!I46</f>
        <v>#N/A</v>
      </c>
      <c r="H43">
        <f>'Monthly Haver'!J46</f>
        <v>54.918700000000001</v>
      </c>
      <c r="I43">
        <f>GDS_Monthly!O160</f>
        <v>57.353694184226001</v>
      </c>
      <c r="J43">
        <f>GDS_Monthly!D160</f>
        <v>73.917864175025002</v>
      </c>
      <c r="K43">
        <f>GDS_Monthly!AH160</f>
        <v>426.44707629999999</v>
      </c>
      <c r="L43">
        <f>GDS_Monthly!AI160</f>
        <v>410.23682170000001</v>
      </c>
      <c r="M43">
        <f>GDS_Monthly!N160</f>
        <v>6.4839313965729888</v>
      </c>
      <c r="N43">
        <f>GDS_Monthly!C160</f>
        <v>113.11138474430128</v>
      </c>
      <c r="O43">
        <f>GDS_Monthly!F160</f>
        <v>4.6975142774212753</v>
      </c>
      <c r="P43">
        <f>GDS_Monthly!G160</f>
        <v>3.5788517254141259</v>
      </c>
      <c r="Q43">
        <f>GDS_Monthly!T160</f>
        <v>81.347467051632165</v>
      </c>
      <c r="R43">
        <f>GDS_Monthly!V160</f>
        <v>85.801016667821031</v>
      </c>
      <c r="S43">
        <f>GDS_Monthly!W160</f>
        <v>61.145856655787199</v>
      </c>
      <c r="T43">
        <f>GDS_Monthly!X160</f>
        <v>42.379223669207192</v>
      </c>
      <c r="U43">
        <f>GDS_Monthly!AA160</f>
        <v>50.415631105205414</v>
      </c>
      <c r="V43">
        <f>GDS_Monthly!AC160</f>
        <v>61.473099068588311</v>
      </c>
      <c r="W43">
        <f>GDS_Monthly!AE160</f>
        <v>61.088994555133787</v>
      </c>
      <c r="X43">
        <f>GDS_Monthly!AF160</f>
        <v>66.593378120132385</v>
      </c>
      <c r="Y43">
        <f>OECD!B43</f>
        <v>99.490499999999997</v>
      </c>
      <c r="Z43">
        <f>OECD!C43</f>
        <v>96.57</v>
      </c>
      <c r="AA43">
        <f>'Monthly Haver'!K46</f>
        <v>111.99786</v>
      </c>
      <c r="AB43" s="10">
        <f>'Monthly Haver'!L46</f>
        <v>995</v>
      </c>
      <c r="AC43" s="8">
        <f>Quarterly!B15</f>
        <v>96.47</v>
      </c>
      <c r="AD43" s="8">
        <f>Quarterly!C15</f>
        <v>87.04</v>
      </c>
      <c r="AE43" s="8">
        <f>Quarterly!D15</f>
        <v>81.849870496731668</v>
      </c>
      <c r="AF43" s="33">
        <v>4.3446295570929898</v>
      </c>
    </row>
    <row r="44" spans="1:32">
      <c r="A44" s="12">
        <v>37438</v>
      </c>
      <c r="B44">
        <f>'Monthly Haver'!C47</f>
        <v>52.523800000000001</v>
      </c>
      <c r="C44">
        <f>'Monthly Haver'!D47</f>
        <v>57.510899999999999</v>
      </c>
      <c r="D44" t="e">
        <f>'Monthly Haver'!E47</f>
        <v>#N/A</v>
      </c>
      <c r="E44">
        <f>'Monthly Haver'!G47</f>
        <v>48.483800000000002</v>
      </c>
      <c r="F44">
        <f>'Monthly Haver'!H47</f>
        <v>51.242600000000003</v>
      </c>
      <c r="G44" t="e">
        <f>'Monthly Haver'!I47</f>
        <v>#N/A</v>
      </c>
      <c r="H44">
        <f>'Monthly Haver'!J47</f>
        <v>52.229900000000001</v>
      </c>
      <c r="I44">
        <f>GDS_Monthly!O161</f>
        <v>57.728608919467106</v>
      </c>
      <c r="J44">
        <f>GDS_Monthly!D161</f>
        <v>74.336177742523361</v>
      </c>
      <c r="K44">
        <f>GDS_Monthly!AH161</f>
        <v>441.517762</v>
      </c>
      <c r="L44">
        <f>GDS_Monthly!AI161</f>
        <v>426.08169859999998</v>
      </c>
      <c r="M44">
        <f>GDS_Monthly!N161</f>
        <v>6.5041020298923469</v>
      </c>
      <c r="N44">
        <f>GDS_Monthly!C161</f>
        <v>110.49767841246884</v>
      </c>
      <c r="O44">
        <f>GDS_Monthly!F161</f>
        <v>4.522182646025521</v>
      </c>
      <c r="P44">
        <f>GDS_Monthly!G161</f>
        <v>3.6720712753646203</v>
      </c>
      <c r="Q44">
        <f>GDS_Monthly!T161</f>
        <v>81.542634183484978</v>
      </c>
      <c r="R44">
        <f>GDS_Monthly!V161</f>
        <v>85.935671833742717</v>
      </c>
      <c r="S44">
        <f>GDS_Monthly!W161</f>
        <v>63.147708652120329</v>
      </c>
      <c r="T44">
        <f>GDS_Monthly!X161</f>
        <v>41.884457708849808</v>
      </c>
      <c r="U44">
        <f>GDS_Monthly!AA161</f>
        <v>51.403709387875487</v>
      </c>
      <c r="V44">
        <f>GDS_Monthly!AC161</f>
        <v>63.706580253222107</v>
      </c>
      <c r="W44">
        <f>GDS_Monthly!AE161</f>
        <v>62.780296766974949</v>
      </c>
      <c r="X44">
        <f>GDS_Monthly!AF161</f>
        <v>69.519529620504031</v>
      </c>
      <c r="Y44">
        <f>OECD!B44</f>
        <v>99.343699999999998</v>
      </c>
      <c r="Z44">
        <f>OECD!C44</f>
        <v>95.72</v>
      </c>
      <c r="AA44">
        <f>'Monthly Haver'!K47</f>
        <v>110.35115</v>
      </c>
      <c r="AB44" s="10">
        <f>'Monthly Haver'!L47</f>
        <v>989</v>
      </c>
      <c r="AC44" s="8"/>
      <c r="AD44" s="8"/>
      <c r="AE44" s="8"/>
    </row>
    <row r="45" spans="1:32">
      <c r="A45" s="12">
        <v>37469</v>
      </c>
      <c r="B45">
        <f>'Monthly Haver'!C48</f>
        <v>52.2742</v>
      </c>
      <c r="C45">
        <f>'Monthly Haver'!D48</f>
        <v>53.954099999999997</v>
      </c>
      <c r="D45" t="e">
        <f>'Monthly Haver'!E48</f>
        <v>#N/A</v>
      </c>
      <c r="E45">
        <f>'Monthly Haver'!G48</f>
        <v>48.474200000000003</v>
      </c>
      <c r="F45">
        <f>'Monthly Haver'!H48</f>
        <v>50.542499999999997</v>
      </c>
      <c r="G45" t="e">
        <f>'Monthly Haver'!I48</f>
        <v>#N/A</v>
      </c>
      <c r="H45">
        <f>'Monthly Haver'!J48</f>
        <v>51.7864</v>
      </c>
      <c r="I45">
        <f>GDS_Monthly!O162</f>
        <v>58.038038361698376</v>
      </c>
      <c r="J45">
        <f>GDS_Monthly!D162</f>
        <v>74.46989117483551</v>
      </c>
      <c r="K45">
        <f>GDS_Monthly!AH162</f>
        <v>436.74668630000002</v>
      </c>
      <c r="L45">
        <f>GDS_Monthly!AI162</f>
        <v>420.45760660000002</v>
      </c>
      <c r="M45">
        <f>GDS_Monthly!N162</f>
        <v>6.4760522810764476</v>
      </c>
      <c r="N45">
        <f>GDS_Monthly!C162</f>
        <v>109.697462221809</v>
      </c>
      <c r="O45">
        <f>GDS_Monthly!F162</f>
        <v>4.2583486087089204</v>
      </c>
      <c r="P45">
        <f>GDS_Monthly!G162</f>
        <v>3.5586230456457293</v>
      </c>
      <c r="Q45">
        <f>GDS_Monthly!T162</f>
        <v>81.747032238812878</v>
      </c>
      <c r="R45">
        <f>GDS_Monthly!V162</f>
        <v>86.142657148305005</v>
      </c>
      <c r="S45">
        <f>GDS_Monthly!W162</f>
        <v>62.971954640688999</v>
      </c>
      <c r="T45">
        <f>GDS_Monthly!X162</f>
        <v>40.128030496745197</v>
      </c>
      <c r="U45">
        <f>GDS_Monthly!AA162</f>
        <v>51.105376822440022</v>
      </c>
      <c r="V45">
        <f>GDS_Monthly!AC162</f>
        <v>64.74497039841178</v>
      </c>
      <c r="W45">
        <f>GDS_Monthly!AE162</f>
        <v>65.719212283640644</v>
      </c>
      <c r="X45">
        <f>GDS_Monthly!AF162</f>
        <v>70.977620881011475</v>
      </c>
      <c r="Y45">
        <f>OECD!B45</f>
        <v>99.182810000000003</v>
      </c>
      <c r="Z45">
        <f>OECD!C45</f>
        <v>95.41</v>
      </c>
      <c r="AA45">
        <f>'Monthly Haver'!K48</f>
        <v>111.62636999999999</v>
      </c>
      <c r="AB45" s="10">
        <f>'Monthly Haver'!L48</f>
        <v>1002</v>
      </c>
      <c r="AC45" s="8"/>
      <c r="AD45" s="8"/>
      <c r="AE45" s="8"/>
    </row>
    <row r="46" spans="1:32">
      <c r="A46" s="12">
        <v>37500</v>
      </c>
      <c r="B46">
        <f>'Monthly Haver'!C49</f>
        <v>52.7744</v>
      </c>
      <c r="C46">
        <f>'Monthly Haver'!D49</f>
        <v>53.497300000000003</v>
      </c>
      <c r="D46" t="e">
        <f>'Monthly Haver'!E49</f>
        <v>#N/A</v>
      </c>
      <c r="E46">
        <f>'Monthly Haver'!G49</f>
        <v>47.813899999999997</v>
      </c>
      <c r="F46">
        <f>'Monthly Haver'!H49</f>
        <v>49.643099999999997</v>
      </c>
      <c r="G46" t="e">
        <f>'Monthly Haver'!I49</f>
        <v>#N/A</v>
      </c>
      <c r="H46">
        <f>'Monthly Haver'!J49</f>
        <v>53.256900000000002</v>
      </c>
      <c r="I46">
        <f>GDS_Monthly!O163</f>
        <v>58.214833550505929</v>
      </c>
      <c r="J46">
        <f>GDS_Monthly!D163</f>
        <v>74.718859798517926</v>
      </c>
      <c r="K46">
        <f>GDS_Monthly!AH163</f>
        <v>441.23789729999999</v>
      </c>
      <c r="L46">
        <f>GDS_Monthly!AI163</f>
        <v>425.89295429999999</v>
      </c>
      <c r="M46">
        <f>GDS_Monthly!N163</f>
        <v>6.4939172321155496</v>
      </c>
      <c r="N46">
        <f>GDS_Monthly!C163</f>
        <v>109.64022585083659</v>
      </c>
      <c r="O46">
        <f>GDS_Monthly!F163</f>
        <v>4.0152367028831897</v>
      </c>
      <c r="P46">
        <f>GDS_Monthly!G163</f>
        <v>3.5220570354818386</v>
      </c>
      <c r="Q46">
        <f>GDS_Monthly!T163</f>
        <v>81.890802288361684</v>
      </c>
      <c r="R46">
        <f>GDS_Monthly!V163</f>
        <v>86.219069601806567</v>
      </c>
      <c r="S46">
        <f>GDS_Monthly!W163</f>
        <v>63.556123879622596</v>
      </c>
      <c r="T46">
        <f>GDS_Monthly!X163</f>
        <v>40.108176019804731</v>
      </c>
      <c r="U46">
        <f>GDS_Monthly!AA163</f>
        <v>51.920505552562766</v>
      </c>
      <c r="V46">
        <f>GDS_Monthly!AC163</f>
        <v>69.059762962400072</v>
      </c>
      <c r="W46">
        <f>GDS_Monthly!AE163</f>
        <v>69.384654872760223</v>
      </c>
      <c r="X46">
        <f>GDS_Monthly!AF163</f>
        <v>74.079897916913794</v>
      </c>
      <c r="Y46">
        <f>OECD!B46</f>
        <v>99.029420000000002</v>
      </c>
      <c r="Z46">
        <f>OECD!C46</f>
        <v>94.97</v>
      </c>
      <c r="AA46">
        <f>'Monthly Haver'!K49</f>
        <v>112.49731</v>
      </c>
      <c r="AB46" s="10">
        <f>'Monthly Haver'!L49</f>
        <v>1182</v>
      </c>
      <c r="AC46" s="8">
        <f>Quarterly!B16</f>
        <v>96.38</v>
      </c>
      <c r="AD46" s="8">
        <f>Quarterly!C16</f>
        <v>88.05</v>
      </c>
      <c r="AE46" s="8">
        <f>Quarterly!D16</f>
        <v>82.34779782059536</v>
      </c>
      <c r="AF46" s="33">
        <v>3.4716420664565795</v>
      </c>
    </row>
    <row r="47" spans="1:32">
      <c r="A47" s="12">
        <v>37530</v>
      </c>
      <c r="B47">
        <f>'Monthly Haver'!C50</f>
        <v>51.961599999999997</v>
      </c>
      <c r="C47">
        <f>'Monthly Haver'!D50</f>
        <v>53.234299999999998</v>
      </c>
      <c r="D47" t="e">
        <f>'Monthly Haver'!E50</f>
        <v>#N/A</v>
      </c>
      <c r="E47">
        <f>'Monthly Haver'!G50</f>
        <v>47.927700000000002</v>
      </c>
      <c r="F47">
        <f>'Monthly Haver'!H50</f>
        <v>49.191899999999997</v>
      </c>
      <c r="G47" t="e">
        <f>'Monthly Haver'!I50</f>
        <v>#N/A</v>
      </c>
      <c r="H47">
        <f>'Monthly Haver'!J50</f>
        <v>52.392299999999999</v>
      </c>
      <c r="I47">
        <f>GDS_Monthly!O164</f>
        <v>58.593967153872242</v>
      </c>
      <c r="J47">
        <f>GDS_Monthly!D164</f>
        <v>74.873381436718006</v>
      </c>
      <c r="K47">
        <f>GDS_Monthly!AH164</f>
        <v>442.19645850000001</v>
      </c>
      <c r="L47">
        <f>GDS_Monthly!AI164</f>
        <v>425.84131639999998</v>
      </c>
      <c r="M47">
        <f>GDS_Monthly!N164</f>
        <v>6.5220664716071068</v>
      </c>
      <c r="N47">
        <f>GDS_Monthly!C164</f>
        <v>105.69984330053994</v>
      </c>
      <c r="O47">
        <f>GDS_Monthly!F164</f>
        <v>4.096152085953837</v>
      </c>
      <c r="P47">
        <f>GDS_Monthly!G164</f>
        <v>3.5556168274818125</v>
      </c>
      <c r="Q47">
        <f>GDS_Monthly!T164</f>
        <v>82.040429502829355</v>
      </c>
      <c r="R47">
        <f>GDS_Monthly!V164</f>
        <v>86.354299290292829</v>
      </c>
      <c r="S47">
        <f>GDS_Monthly!W164</f>
        <v>66.07938924868526</v>
      </c>
      <c r="T47">
        <f>GDS_Monthly!X164</f>
        <v>40.439486266554624</v>
      </c>
      <c r="U47">
        <f>GDS_Monthly!AA164</f>
        <v>53.131844241732651</v>
      </c>
      <c r="V47">
        <f>GDS_Monthly!AC164</f>
        <v>70.189662623772421</v>
      </c>
      <c r="W47">
        <f>GDS_Monthly!AE164</f>
        <v>67.744915013456392</v>
      </c>
      <c r="X47">
        <f>GDS_Monthly!AF164</f>
        <v>73.634414889292458</v>
      </c>
      <c r="Y47">
        <f>OECD!B47</f>
        <v>98.897120000000001</v>
      </c>
      <c r="Z47">
        <f>OECD!C47</f>
        <v>94.37</v>
      </c>
      <c r="AA47">
        <f>'Monthly Haver'!K50</f>
        <v>113.6806</v>
      </c>
      <c r="AB47" s="10">
        <f>'Monthly Haver'!L50</f>
        <v>1365</v>
      </c>
      <c r="AC47" s="8"/>
      <c r="AD47" s="8"/>
      <c r="AE47" s="8"/>
    </row>
    <row r="48" spans="1:32">
      <c r="A48" s="12">
        <v>37561</v>
      </c>
      <c r="B48">
        <f>'Monthly Haver'!C51</f>
        <v>53.302999999999997</v>
      </c>
      <c r="C48">
        <f>'Monthly Haver'!D51</f>
        <v>53.144300000000001</v>
      </c>
      <c r="D48" t="e">
        <f>'Monthly Haver'!E51</f>
        <v>#N/A</v>
      </c>
      <c r="E48">
        <f>'Monthly Haver'!G51</f>
        <v>47.553699999999999</v>
      </c>
      <c r="F48">
        <f>'Monthly Haver'!H51</f>
        <v>48.996699999999997</v>
      </c>
      <c r="G48" t="e">
        <f>'Monthly Haver'!I51</f>
        <v>#N/A</v>
      </c>
      <c r="H48">
        <f>'Monthly Haver'!J51</f>
        <v>54.853700000000003</v>
      </c>
      <c r="I48">
        <f>GDS_Monthly!O165</f>
        <v>59.010804084201041</v>
      </c>
      <c r="J48">
        <f>GDS_Monthly!D165</f>
        <v>75.210808107601594</v>
      </c>
      <c r="K48">
        <f>GDS_Monthly!AH165</f>
        <v>452.25130100000001</v>
      </c>
      <c r="L48">
        <f>GDS_Monthly!AI165</f>
        <v>431.05543870000002</v>
      </c>
      <c r="M48">
        <f>GDS_Monthly!N165</f>
        <v>6.5543122716278583</v>
      </c>
      <c r="N48">
        <f>GDS_Monthly!C165</f>
        <v>107.11779463543144</v>
      </c>
      <c r="O48">
        <f>GDS_Monthly!F165</f>
        <v>4.0796778401340497</v>
      </c>
      <c r="P48">
        <f>GDS_Monthly!G165</f>
        <v>3.3366643101586244</v>
      </c>
      <c r="Q48">
        <f>GDS_Monthly!T165</f>
        <v>82.277567512150085</v>
      </c>
      <c r="R48">
        <f>GDS_Monthly!V165</f>
        <v>86.529860747751059</v>
      </c>
      <c r="S48">
        <f>GDS_Monthly!W165</f>
        <v>64.738061782533762</v>
      </c>
      <c r="T48">
        <f>GDS_Monthly!X165</f>
        <v>42.267609234232033</v>
      </c>
      <c r="U48">
        <f>GDS_Monthly!AA165</f>
        <v>52.858651395634524</v>
      </c>
      <c r="V48">
        <f>GDS_Monthly!AC165</f>
        <v>65.499320565713063</v>
      </c>
      <c r="W48">
        <f>GDS_Monthly!AE165</f>
        <v>60.396898354274164</v>
      </c>
      <c r="X48">
        <f>GDS_Monthly!AF165</f>
        <v>73.466009570691881</v>
      </c>
      <c r="Y48">
        <f>OECD!B48</f>
        <v>98.789940000000001</v>
      </c>
      <c r="Z48">
        <f>OECD!C48</f>
        <v>95.19</v>
      </c>
      <c r="AA48">
        <f>'Monthly Haver'!K51</f>
        <v>112.42230000000001</v>
      </c>
      <c r="AB48" s="10">
        <f>'Monthly Haver'!L51</f>
        <v>1460</v>
      </c>
      <c r="AC48" s="8"/>
      <c r="AD48" s="8"/>
      <c r="AE48" s="8"/>
    </row>
    <row r="49" spans="1:32">
      <c r="A49" s="12">
        <v>37591</v>
      </c>
      <c r="B49">
        <f>'Monthly Haver'!C52</f>
        <v>53.590299999999999</v>
      </c>
      <c r="C49">
        <f>'Monthly Haver'!D52</f>
        <v>53.214399999999998</v>
      </c>
      <c r="D49" t="e">
        <f>'Monthly Haver'!E52</f>
        <v>#N/A</v>
      </c>
      <c r="E49">
        <f>'Monthly Haver'!G52</f>
        <v>48.174199999999999</v>
      </c>
      <c r="F49">
        <f>'Monthly Haver'!H52</f>
        <v>50.148299999999999</v>
      </c>
      <c r="G49" t="e">
        <f>'Monthly Haver'!I52</f>
        <v>#N/A</v>
      </c>
      <c r="H49">
        <f>'Monthly Haver'!J52</f>
        <v>53.828200000000002</v>
      </c>
      <c r="I49">
        <f>GDS_Monthly!O166</f>
        <v>58.887084212191134</v>
      </c>
      <c r="J49">
        <f>GDS_Monthly!D166</f>
        <v>74.50680371819746</v>
      </c>
      <c r="K49">
        <f>GDS_Monthly!AH166</f>
        <v>450.80743239999998</v>
      </c>
      <c r="L49">
        <f>GDS_Monthly!AI166</f>
        <v>428.12203019999998</v>
      </c>
      <c r="M49">
        <f>GDS_Monthly!N166</f>
        <v>6.6091258337829588</v>
      </c>
      <c r="N49">
        <f>GDS_Monthly!C166</f>
        <v>105.76373579559584</v>
      </c>
      <c r="O49">
        <f>GDS_Monthly!F166</f>
        <v>3.9701216573525393</v>
      </c>
      <c r="P49">
        <f>GDS_Monthly!G166</f>
        <v>3.2713877607461348</v>
      </c>
      <c r="Q49">
        <f>GDS_Monthly!T166</f>
        <v>82.468468753223121</v>
      </c>
      <c r="R49">
        <f>GDS_Monthly!V166</f>
        <v>86.677116811284236</v>
      </c>
      <c r="S49">
        <f>GDS_Monthly!W166</f>
        <v>65.685024286277041</v>
      </c>
      <c r="T49">
        <f>GDS_Monthly!X166</f>
        <v>42.317468675725458</v>
      </c>
      <c r="U49">
        <f>GDS_Monthly!AA166</f>
        <v>53.512971338364252</v>
      </c>
      <c r="V49">
        <f>GDS_Monthly!AC166</f>
        <v>72.642371408200219</v>
      </c>
      <c r="W49">
        <f>GDS_Monthly!AE166</f>
        <v>67.454409835253799</v>
      </c>
      <c r="X49">
        <f>GDS_Monthly!AF166</f>
        <v>73.89028160570787</v>
      </c>
      <c r="Y49">
        <f>OECD!B49</f>
        <v>98.69359</v>
      </c>
      <c r="Z49">
        <f>OECD!C49</f>
        <v>95.46</v>
      </c>
      <c r="AA49">
        <f>'Monthly Haver'!K52</f>
        <v>111.39613</v>
      </c>
      <c r="AB49" s="10">
        <f>'Monthly Haver'!L52</f>
        <v>1666</v>
      </c>
      <c r="AC49" s="8">
        <f>Quarterly!B17</f>
        <v>96.73</v>
      </c>
      <c r="AD49" s="8">
        <f>Quarterly!C17</f>
        <v>88.89</v>
      </c>
      <c r="AE49" s="8">
        <f>Quarterly!D17</f>
        <v>82.660626717569471</v>
      </c>
      <c r="AF49" s="33">
        <v>2.4451578194654009</v>
      </c>
    </row>
    <row r="50" spans="1:32">
      <c r="A50" s="12">
        <v>37622</v>
      </c>
      <c r="B50">
        <f>'Monthly Haver'!C53</f>
        <v>53.299100000000003</v>
      </c>
      <c r="C50">
        <f>'Monthly Haver'!D53</f>
        <v>54.667299999999997</v>
      </c>
      <c r="D50" t="e">
        <f>'Monthly Haver'!E53</f>
        <v>#N/A</v>
      </c>
      <c r="E50">
        <f>'Monthly Haver'!G53</f>
        <v>49.340499999999999</v>
      </c>
      <c r="F50">
        <f>'Monthly Haver'!H53</f>
        <v>50.072299999999998</v>
      </c>
      <c r="G50" t="e">
        <f>'Monthly Haver'!I53</f>
        <v>#N/A</v>
      </c>
      <c r="H50">
        <f>'Monthly Haver'!J53</f>
        <v>54.021900000000002</v>
      </c>
      <c r="I50">
        <f>GDS_Monthly!O167</f>
        <v>59.679075471019004</v>
      </c>
      <c r="J50">
        <f>GDS_Monthly!D167</f>
        <v>75.854377122947554</v>
      </c>
      <c r="K50">
        <f>GDS_Monthly!AH167</f>
        <v>474.5765384</v>
      </c>
      <c r="L50">
        <f>GDS_Monthly!AI167</f>
        <v>450.07935459999999</v>
      </c>
      <c r="M50">
        <f>GDS_Monthly!N167</f>
        <v>6.6352404336461461</v>
      </c>
      <c r="N50">
        <f>GDS_Monthly!C167</f>
        <v>105.11393577855746</v>
      </c>
      <c r="O50">
        <f>GDS_Monthly!F167</f>
        <v>3.9001177801981073</v>
      </c>
      <c r="P50">
        <f>GDS_Monthly!G167</f>
        <v>3.3171992749347377</v>
      </c>
      <c r="Q50">
        <f>GDS_Monthly!T167</f>
        <v>82.793253133615451</v>
      </c>
      <c r="R50">
        <f>GDS_Monthly!V167</f>
        <v>86.823809140636357</v>
      </c>
      <c r="S50">
        <f>GDS_Monthly!W167</f>
        <v>65.987927054122096</v>
      </c>
      <c r="T50">
        <f>GDS_Monthly!X167</f>
        <v>44.545786588216103</v>
      </c>
      <c r="U50">
        <f>GDS_Monthly!AA167</f>
        <v>54.864975709722074</v>
      </c>
      <c r="V50">
        <f>GDS_Monthly!AC167</f>
        <v>80.490252328913371</v>
      </c>
      <c r="W50">
        <f>GDS_Monthly!AE167</f>
        <v>72.887892457809329</v>
      </c>
      <c r="X50">
        <f>GDS_Monthly!AF167</f>
        <v>75.81852390486425</v>
      </c>
      <c r="Y50">
        <f>OECD!B50</f>
        <v>98.602159999999998</v>
      </c>
      <c r="Z50">
        <f>OECD!C50</f>
        <v>95.87</v>
      </c>
      <c r="AA50">
        <f>'Monthly Haver'!K53</f>
        <v>111.2911</v>
      </c>
      <c r="AB50" s="10">
        <f>'Monthly Haver'!L53</f>
        <v>1694</v>
      </c>
      <c r="AC50" s="8"/>
      <c r="AD50" s="8"/>
      <c r="AE50" s="8"/>
    </row>
    <row r="51" spans="1:32">
      <c r="A51" s="12">
        <v>37653</v>
      </c>
      <c r="B51">
        <f>'Monthly Haver'!C54</f>
        <v>52.0212</v>
      </c>
      <c r="C51">
        <f>'Monthly Haver'!D54</f>
        <v>57.857199999999999</v>
      </c>
      <c r="D51" t="e">
        <f>'Monthly Haver'!E54</f>
        <v>#N/A</v>
      </c>
      <c r="E51">
        <f>'Monthly Haver'!G54</f>
        <v>47.873100000000001</v>
      </c>
      <c r="F51">
        <f>'Monthly Haver'!H54</f>
        <v>49.052</v>
      </c>
      <c r="G51" t="e">
        <f>'Monthly Haver'!I54</f>
        <v>#N/A</v>
      </c>
      <c r="H51">
        <f>'Monthly Haver'!J54</f>
        <v>53.1736</v>
      </c>
      <c r="I51">
        <f>GDS_Monthly!O168</f>
        <v>60.042110897073172</v>
      </c>
      <c r="J51">
        <f>GDS_Monthly!D168</f>
        <v>76.302766461631705</v>
      </c>
      <c r="K51">
        <f>GDS_Monthly!AH168</f>
        <v>475.2887771</v>
      </c>
      <c r="L51">
        <f>GDS_Monthly!AI168</f>
        <v>454.78670240000002</v>
      </c>
      <c r="M51">
        <f>GDS_Monthly!N168</f>
        <v>6.6484253586540705</v>
      </c>
      <c r="N51">
        <f>GDS_Monthly!C168</f>
        <v>101.21541954222653</v>
      </c>
      <c r="O51">
        <f>GDS_Monthly!F168</f>
        <v>3.7650620681053915</v>
      </c>
      <c r="P51">
        <f>GDS_Monthly!G168</f>
        <v>3.296568451644994</v>
      </c>
      <c r="Q51">
        <f>GDS_Monthly!T168</f>
        <v>83.088308183293563</v>
      </c>
      <c r="R51">
        <f>GDS_Monthly!V168</f>
        <v>86.94282098310795</v>
      </c>
      <c r="S51">
        <f>GDS_Monthly!W168</f>
        <v>66.252295599339561</v>
      </c>
      <c r="T51">
        <f>GDS_Monthly!X168</f>
        <v>45.921225005375405</v>
      </c>
      <c r="U51">
        <f>GDS_Monthly!AA168</f>
        <v>55.53944861581649</v>
      </c>
      <c r="V51">
        <f>GDS_Monthly!AC168</f>
        <v>91.762029530878777</v>
      </c>
      <c r="W51">
        <f>GDS_Monthly!AE168</f>
        <v>77.812541335576952</v>
      </c>
      <c r="X51">
        <f>GDS_Monthly!AF168</f>
        <v>76.401556570750671</v>
      </c>
      <c r="Y51">
        <f>OECD!B51</f>
        <v>98.530929999999998</v>
      </c>
      <c r="Z51">
        <f>OECD!C51</f>
        <v>95.57</v>
      </c>
      <c r="AA51">
        <f>'Monthly Haver'!K54</f>
        <v>112.3172</v>
      </c>
      <c r="AB51" s="10">
        <f>'Monthly Haver'!L54</f>
        <v>1674</v>
      </c>
      <c r="AC51" s="8"/>
      <c r="AD51" s="8"/>
      <c r="AE51" s="8"/>
    </row>
    <row r="52" spans="1:32">
      <c r="A52" s="12">
        <v>37681</v>
      </c>
      <c r="B52">
        <f>'Monthly Haver'!C55</f>
        <v>49.0471</v>
      </c>
      <c r="C52">
        <f>'Monthly Haver'!D55</f>
        <v>58.664400000000001</v>
      </c>
      <c r="D52" t="e">
        <f>'Monthly Haver'!E55</f>
        <v>#N/A</v>
      </c>
      <c r="E52">
        <f>'Monthly Haver'!G55</f>
        <v>47.715800000000002</v>
      </c>
      <c r="F52">
        <f>'Monthly Haver'!H55</f>
        <v>47.493600000000001</v>
      </c>
      <c r="G52" t="e">
        <f>'Monthly Haver'!I55</f>
        <v>#N/A</v>
      </c>
      <c r="H52">
        <f>'Monthly Haver'!J55</f>
        <v>47.053699999999999</v>
      </c>
      <c r="I52">
        <f>GDS_Monthly!O169</f>
        <v>60.289677285865672</v>
      </c>
      <c r="J52">
        <f>GDS_Monthly!D169</f>
        <v>76.333102853482032</v>
      </c>
      <c r="K52">
        <f>GDS_Monthly!AH169</f>
        <v>480.85999670000001</v>
      </c>
      <c r="L52">
        <f>GDS_Monthly!AI169</f>
        <v>449.72379849999999</v>
      </c>
      <c r="M52">
        <f>GDS_Monthly!N169</f>
        <v>6.6712259817519062</v>
      </c>
      <c r="N52">
        <f>GDS_Monthly!C169</f>
        <v>100.25273680830877</v>
      </c>
      <c r="O52">
        <f>GDS_Monthly!F169</f>
        <v>3.7792156229500322</v>
      </c>
      <c r="P52">
        <f>GDS_Monthly!G169</f>
        <v>3.2263635665160977</v>
      </c>
      <c r="Q52">
        <f>GDS_Monthly!T169</f>
        <v>83.298462777649178</v>
      </c>
      <c r="R52">
        <f>GDS_Monthly!V169</f>
        <v>87.029916055106654</v>
      </c>
      <c r="S52">
        <f>GDS_Monthly!W169</f>
        <v>66.016238797048061</v>
      </c>
      <c r="T52">
        <f>GDS_Monthly!X169</f>
        <v>45.151396578331223</v>
      </c>
      <c r="U52">
        <f>GDS_Monthly!AA169</f>
        <v>55.027279059657502</v>
      </c>
      <c r="V52">
        <f>GDS_Monthly!AC169</f>
        <v>81.450087169133624</v>
      </c>
      <c r="W52">
        <f>GDS_Monthly!AE169</f>
        <v>71.806319120298667</v>
      </c>
      <c r="X52">
        <f>GDS_Monthly!AF169</f>
        <v>75.98905926646168</v>
      </c>
      <c r="Y52">
        <f>OECD!B52</f>
        <v>98.511899999999997</v>
      </c>
      <c r="Z52">
        <f>OECD!C52</f>
        <v>95.54</v>
      </c>
      <c r="AA52">
        <f>'Monthly Haver'!K55</f>
        <v>114.44665999999999</v>
      </c>
      <c r="AB52" s="10">
        <f>'Monthly Haver'!L55</f>
        <v>1850</v>
      </c>
      <c r="AC52" s="8">
        <f>Quarterly!B18</f>
        <v>96.42</v>
      </c>
      <c r="AD52" s="8">
        <f>Quarterly!C18</f>
        <v>89.38</v>
      </c>
      <c r="AE52" s="8">
        <f>Quarterly!D18</f>
        <v>82.95476442154856</v>
      </c>
      <c r="AF52" s="33">
        <v>2.9898158398715742</v>
      </c>
    </row>
    <row r="53" spans="1:32">
      <c r="A53" s="12">
        <v>37712</v>
      </c>
      <c r="B53">
        <f>'Monthly Haver'!C56</f>
        <v>49.218800000000002</v>
      </c>
      <c r="C53">
        <f>'Monthly Haver'!D56</f>
        <v>55.132800000000003</v>
      </c>
      <c r="D53" t="e">
        <f>'Monthly Haver'!E56</f>
        <v>#N/A</v>
      </c>
      <c r="E53">
        <f>'Monthly Haver'!G56</f>
        <v>47.912700000000001</v>
      </c>
      <c r="F53">
        <f>'Monthly Haver'!H56</f>
        <v>47.735799999999998</v>
      </c>
      <c r="G53" t="e">
        <f>'Monthly Haver'!I56</f>
        <v>#N/A</v>
      </c>
      <c r="H53">
        <f>'Monthly Haver'!J56</f>
        <v>49.630200000000002</v>
      </c>
      <c r="I53">
        <f>GDS_Monthly!O170</f>
        <v>60.274668627486115</v>
      </c>
      <c r="J53">
        <f>GDS_Monthly!D170</f>
        <v>76.193918476329941</v>
      </c>
      <c r="K53">
        <f>GDS_Monthly!AH170</f>
        <v>474.66358259999998</v>
      </c>
      <c r="L53">
        <f>GDS_Monthly!AI170</f>
        <v>452.77084159999998</v>
      </c>
      <c r="M53">
        <f>GDS_Monthly!N170</f>
        <v>6.6739163740524425</v>
      </c>
      <c r="N53">
        <f>GDS_Monthly!C170</f>
        <v>105.57217162019408</v>
      </c>
      <c r="O53">
        <f>GDS_Monthly!F170</f>
        <v>3.8272806953480449</v>
      </c>
      <c r="P53">
        <f>GDS_Monthly!G170</f>
        <v>3.1845969415980018</v>
      </c>
      <c r="Q53">
        <f>GDS_Monthly!T170</f>
        <v>83.204593225054111</v>
      </c>
      <c r="R53">
        <f>GDS_Monthly!V170</f>
        <v>87.13745858973266</v>
      </c>
      <c r="S53">
        <f>GDS_Monthly!W170</f>
        <v>67.563603641649607</v>
      </c>
      <c r="T53">
        <f>GDS_Monthly!X170</f>
        <v>43.642008262189478</v>
      </c>
      <c r="U53">
        <f>GDS_Monthly!AA170</f>
        <v>55.22221731800046</v>
      </c>
      <c r="V53">
        <f>GDS_Monthly!AC170</f>
        <v>71.4765809833589</v>
      </c>
      <c r="W53">
        <f>GDS_Monthly!AE170</f>
        <v>60.683693857126208</v>
      </c>
      <c r="X53">
        <f>GDS_Monthly!AF170</f>
        <v>77.515071831200615</v>
      </c>
      <c r="Y53">
        <f>OECD!B53</f>
        <v>98.570509999999999</v>
      </c>
      <c r="Z53">
        <f>OECD!C53</f>
        <v>95.72</v>
      </c>
      <c r="AA53">
        <f>'Monthly Haver'!K56</f>
        <v>110.58292</v>
      </c>
      <c r="AB53" s="10">
        <f>'Monthly Haver'!L56</f>
        <v>2064</v>
      </c>
      <c r="AC53" s="8"/>
      <c r="AD53" s="8"/>
      <c r="AE53" s="8"/>
    </row>
    <row r="54" spans="1:32">
      <c r="A54" s="12">
        <v>37742</v>
      </c>
      <c r="B54">
        <f>'Monthly Haver'!C57</f>
        <v>52.085900000000002</v>
      </c>
      <c r="C54">
        <f>'Monthly Haver'!D57</f>
        <v>49.929000000000002</v>
      </c>
      <c r="D54" t="e">
        <f>'Monthly Haver'!E57</f>
        <v>#N/A</v>
      </c>
      <c r="E54">
        <f>'Monthly Haver'!G57</f>
        <v>47.904200000000003</v>
      </c>
      <c r="F54">
        <f>'Monthly Haver'!H57</f>
        <v>48.532600000000002</v>
      </c>
      <c r="G54" t="e">
        <f>'Monthly Haver'!I57</f>
        <v>#N/A</v>
      </c>
      <c r="H54">
        <f>'Monthly Haver'!J57</f>
        <v>52.335700000000003</v>
      </c>
      <c r="I54">
        <f>GDS_Monthly!O171</f>
        <v>60.231469120477541</v>
      </c>
      <c r="J54">
        <f>GDS_Monthly!D171</f>
        <v>76.0000276956806</v>
      </c>
      <c r="K54">
        <f>GDS_Monthly!AH171</f>
        <v>481.37156399999998</v>
      </c>
      <c r="L54">
        <f>GDS_Monthly!AI171</f>
        <v>460.04979220000001</v>
      </c>
      <c r="M54">
        <f>GDS_Monthly!N171</f>
        <v>6.7209206232659549</v>
      </c>
      <c r="N54">
        <f>GDS_Monthly!C171</f>
        <v>106.50461726977368</v>
      </c>
      <c r="O54">
        <f>GDS_Monthly!F171</f>
        <v>3.5054517556927607</v>
      </c>
      <c r="P54">
        <f>GDS_Monthly!G171</f>
        <v>3.0856249953267509</v>
      </c>
      <c r="Q54">
        <f>GDS_Monthly!T171</f>
        <v>83.145461440217247</v>
      </c>
      <c r="R54">
        <f>GDS_Monthly!V171</f>
        <v>87.269929950573783</v>
      </c>
      <c r="S54">
        <f>GDS_Monthly!W171</f>
        <v>68.001437219843851</v>
      </c>
      <c r="T54">
        <f>GDS_Monthly!X171</f>
        <v>45.382969847686063</v>
      </c>
      <c r="U54">
        <f>GDS_Monthly!AA171</f>
        <v>55.799033334694364</v>
      </c>
      <c r="V54">
        <f>GDS_Monthly!AC171</f>
        <v>73.565354323055885</v>
      </c>
      <c r="W54">
        <f>GDS_Monthly!AE171</f>
        <v>60.031044267637149</v>
      </c>
      <c r="X54">
        <f>GDS_Monthly!AF171</f>
        <v>74.86464160855769</v>
      </c>
      <c r="Y54">
        <f>OECD!B54</f>
        <v>98.697940000000003</v>
      </c>
      <c r="Z54">
        <f>OECD!C54</f>
        <v>96.46</v>
      </c>
      <c r="AA54">
        <f>'Monthly Haver'!K57</f>
        <v>107.81438</v>
      </c>
      <c r="AB54" s="10">
        <f>'Monthly Haver'!L57</f>
        <v>2231</v>
      </c>
      <c r="AC54" s="8"/>
      <c r="AD54" s="8"/>
      <c r="AE54" s="8"/>
    </row>
    <row r="55" spans="1:32">
      <c r="A55" s="12">
        <v>37773</v>
      </c>
      <c r="B55">
        <f>'Monthly Haver'!C58</f>
        <v>53.198700000000002</v>
      </c>
      <c r="C55">
        <f>'Monthly Haver'!D58</f>
        <v>50.590600000000002</v>
      </c>
      <c r="D55" t="e">
        <f>'Monthly Haver'!E58</f>
        <v>#N/A</v>
      </c>
      <c r="E55">
        <f>'Monthly Haver'!G58</f>
        <v>48.849899999999998</v>
      </c>
      <c r="F55">
        <f>'Monthly Haver'!H58</f>
        <v>49.052700000000002</v>
      </c>
      <c r="G55" t="e">
        <f>'Monthly Haver'!I58</f>
        <v>#N/A</v>
      </c>
      <c r="H55">
        <f>'Monthly Haver'!J58</f>
        <v>55.603700000000003</v>
      </c>
      <c r="I55">
        <f>GDS_Monthly!O172</f>
        <v>60.857315105932273</v>
      </c>
      <c r="J55">
        <f>GDS_Monthly!D172</f>
        <v>76.390893141464204</v>
      </c>
      <c r="K55">
        <f>GDS_Monthly!AH172</f>
        <v>482.82714249999998</v>
      </c>
      <c r="L55">
        <f>GDS_Monthly!AI172</f>
        <v>462.26697780000001</v>
      </c>
      <c r="M55">
        <f>GDS_Monthly!N172</f>
        <v>6.7820797096531127</v>
      </c>
      <c r="N55">
        <f>GDS_Monthly!C172</f>
        <v>106.94939852389135</v>
      </c>
      <c r="O55">
        <f>GDS_Monthly!F172</f>
        <v>3.3193436639390179</v>
      </c>
      <c r="P55">
        <f>GDS_Monthly!G172</f>
        <v>2.837151081723801</v>
      </c>
      <c r="Q55">
        <f>GDS_Monthly!T172</f>
        <v>83.212081529533819</v>
      </c>
      <c r="R55">
        <f>GDS_Monthly!V172</f>
        <v>87.354287562939675</v>
      </c>
      <c r="S55">
        <f>GDS_Monthly!W172</f>
        <v>67.562137279515881</v>
      </c>
      <c r="T55">
        <f>GDS_Monthly!X172</f>
        <v>46.380451132767568</v>
      </c>
      <c r="U55">
        <f>GDS_Monthly!AA172</f>
        <v>55.755256742036153</v>
      </c>
      <c r="V55">
        <f>GDS_Monthly!AC172</f>
        <v>76.804901548290232</v>
      </c>
      <c r="W55">
        <f>GDS_Monthly!AE172</f>
        <v>63.936055146979015</v>
      </c>
      <c r="X55">
        <f>GDS_Monthly!AF172</f>
        <v>76.3508113968836</v>
      </c>
      <c r="Y55">
        <f>OECD!B55</f>
        <v>98.883380000000002</v>
      </c>
      <c r="Z55">
        <f>OECD!C55</f>
        <v>97.21</v>
      </c>
      <c r="AA55">
        <f>'Monthly Haver'!K58</f>
        <v>108.76233999999999</v>
      </c>
      <c r="AB55" s="10">
        <f>'Monthly Haver'!L58</f>
        <v>2136</v>
      </c>
      <c r="AC55" s="8">
        <f>Quarterly!B19</f>
        <v>96.98</v>
      </c>
      <c r="AD55" s="8">
        <f>Quarterly!C19</f>
        <v>90.39</v>
      </c>
      <c r="AE55" s="8">
        <f>Quarterly!D19</f>
        <v>83.480198020732715</v>
      </c>
      <c r="AF55" s="33">
        <v>2.7005226841632526</v>
      </c>
    </row>
    <row r="56" spans="1:32">
      <c r="A56" s="12">
        <v>37803</v>
      </c>
      <c r="B56">
        <f>'Monthly Haver'!C59</f>
        <v>56.7727</v>
      </c>
      <c r="C56">
        <f>'Monthly Haver'!D59</f>
        <v>49.658099999999997</v>
      </c>
      <c r="D56" t="e">
        <f>'Monthly Haver'!E59</f>
        <v>#N/A</v>
      </c>
      <c r="E56">
        <f>'Monthly Haver'!G59</f>
        <v>49.385100000000001</v>
      </c>
      <c r="F56">
        <f>'Monthly Haver'!H59</f>
        <v>50.442</v>
      </c>
      <c r="G56" t="e">
        <f>'Monthly Haver'!I59</f>
        <v>#N/A</v>
      </c>
      <c r="H56">
        <f>'Monthly Haver'!J59</f>
        <v>58.5182</v>
      </c>
      <c r="I56">
        <f>GDS_Monthly!O173</f>
        <v>61.260018692980097</v>
      </c>
      <c r="J56">
        <f>GDS_Monthly!D173</f>
        <v>77.149130995883453</v>
      </c>
      <c r="K56">
        <f>GDS_Monthly!AH173</f>
        <v>486.61866739999999</v>
      </c>
      <c r="L56">
        <f>GDS_Monthly!AI173</f>
        <v>467.72889129999999</v>
      </c>
      <c r="M56">
        <f>GDS_Monthly!N173</f>
        <v>6.7621865239642371</v>
      </c>
      <c r="N56">
        <f>GDS_Monthly!C173</f>
        <v>105.35856966105682</v>
      </c>
      <c r="O56">
        <f>GDS_Monthly!F173</f>
        <v>3.7921648965407351</v>
      </c>
      <c r="P56">
        <f>GDS_Monthly!G173</f>
        <v>2.7521746369207785</v>
      </c>
      <c r="Q56">
        <f>GDS_Monthly!T173</f>
        <v>83.385082073505217</v>
      </c>
      <c r="R56">
        <f>GDS_Monthly!V173</f>
        <v>87.504070092106119</v>
      </c>
      <c r="S56">
        <f>GDS_Monthly!W173</f>
        <v>64.700086464893687</v>
      </c>
      <c r="T56">
        <f>GDS_Monthly!X173</f>
        <v>47.005522875793268</v>
      </c>
      <c r="U56">
        <f>GDS_Monthly!AA173</f>
        <v>54.606696242477604</v>
      </c>
      <c r="V56">
        <f>GDS_Monthly!AC173</f>
        <v>75.837649502475045</v>
      </c>
      <c r="W56">
        <f>GDS_Monthly!AE173</f>
        <v>66.277428103933275</v>
      </c>
      <c r="X56">
        <f>GDS_Monthly!AF173</f>
        <v>76.820275767352285</v>
      </c>
      <c r="Y56">
        <f>OECD!B56</f>
        <v>99.111429999999999</v>
      </c>
      <c r="Z56">
        <f>OECD!C56</f>
        <v>98.07</v>
      </c>
      <c r="AA56">
        <f>'Monthly Haver'!K59</f>
        <v>109.09367</v>
      </c>
      <c r="AB56" s="10">
        <f>'Monthly Haver'!L59</f>
        <v>2192</v>
      </c>
      <c r="AC56" s="8"/>
      <c r="AD56" s="8"/>
      <c r="AE56" s="8"/>
    </row>
    <row r="57" spans="1:32">
      <c r="A57" s="12">
        <v>37834</v>
      </c>
      <c r="B57">
        <f>'Monthly Haver'!C60</f>
        <v>59.921999999999997</v>
      </c>
      <c r="C57">
        <f>'Monthly Haver'!D60</f>
        <v>52.185600000000001</v>
      </c>
      <c r="D57" t="e">
        <f>'Monthly Haver'!E60</f>
        <v>#N/A</v>
      </c>
      <c r="E57">
        <f>'Monthly Haver'!G60</f>
        <v>50.514800000000001</v>
      </c>
      <c r="F57">
        <f>'Monthly Haver'!H60</f>
        <v>52.375</v>
      </c>
      <c r="G57" t="e">
        <f>'Monthly Haver'!I60</f>
        <v>#N/A</v>
      </c>
      <c r="H57">
        <f>'Monthly Haver'!J60</f>
        <v>60.514699999999998</v>
      </c>
      <c r="I57">
        <f>GDS_Monthly!O174</f>
        <v>61.849184358357547</v>
      </c>
      <c r="J57">
        <f>GDS_Monthly!D174</f>
        <v>77.104932035434331</v>
      </c>
      <c r="K57">
        <f>GDS_Monthly!AH174</f>
        <v>472.64444780000002</v>
      </c>
      <c r="L57">
        <f>GDS_Monthly!AI174</f>
        <v>460.73248059999997</v>
      </c>
      <c r="M57">
        <f>GDS_Monthly!N174</f>
        <v>6.7599051824543377</v>
      </c>
      <c r="N57">
        <f>GDS_Monthly!C174</f>
        <v>106.75779238554725</v>
      </c>
      <c r="O57">
        <f>GDS_Monthly!F174</f>
        <v>4.0673842342229909</v>
      </c>
      <c r="P57">
        <f>GDS_Monthly!G174</f>
        <v>2.656724826716891</v>
      </c>
      <c r="Q57">
        <f>GDS_Monthly!T174</f>
        <v>83.593968185495669</v>
      </c>
      <c r="R57">
        <f>GDS_Monthly!V174</f>
        <v>87.597592012066087</v>
      </c>
      <c r="S57">
        <f>GDS_Monthly!W174</f>
        <v>65.127403484444173</v>
      </c>
      <c r="T57">
        <f>GDS_Monthly!X174</f>
        <v>48.042890920574095</v>
      </c>
      <c r="U57">
        <f>GDS_Monthly!AA174</f>
        <v>55.198134815452711</v>
      </c>
      <c r="V57">
        <f>GDS_Monthly!AC174</f>
        <v>77.800350224882465</v>
      </c>
      <c r="W57">
        <f>GDS_Monthly!AE174</f>
        <v>69.461267632224761</v>
      </c>
      <c r="X57">
        <f>GDS_Monthly!AF174</f>
        <v>77.650757576730896</v>
      </c>
      <c r="Y57">
        <f>OECD!B57</f>
        <v>99.364850000000004</v>
      </c>
      <c r="Z57">
        <f>OECD!C57</f>
        <v>98.52</v>
      </c>
      <c r="AA57">
        <f>'Monthly Haver'!K60</f>
        <v>110.41261</v>
      </c>
      <c r="AB57" s="10">
        <f>'Monthly Haver'!L60</f>
        <v>2286</v>
      </c>
      <c r="AC57" s="8"/>
      <c r="AD57" s="8"/>
      <c r="AE57" s="8"/>
    </row>
    <row r="58" spans="1:32">
      <c r="A58" s="12">
        <v>37865</v>
      </c>
      <c r="B58">
        <f>'Monthly Haver'!C61</f>
        <v>58.57</v>
      </c>
      <c r="C58">
        <f>'Monthly Haver'!D61</f>
        <v>54.134</v>
      </c>
      <c r="D58" t="e">
        <f>'Monthly Haver'!E61</f>
        <v>#N/A</v>
      </c>
      <c r="E58">
        <f>'Monthly Haver'!G61</f>
        <v>50.092300000000002</v>
      </c>
      <c r="F58">
        <f>'Monthly Haver'!H61</f>
        <v>52.490699999999997</v>
      </c>
      <c r="G58" t="e">
        <f>'Monthly Haver'!I61</f>
        <v>#N/A</v>
      </c>
      <c r="H58">
        <f>'Monthly Haver'!J61</f>
        <v>60.252299999999998</v>
      </c>
      <c r="I58">
        <f>GDS_Monthly!O175</f>
        <v>62.301659024831224</v>
      </c>
      <c r="J58">
        <f>GDS_Monthly!D175</f>
        <v>77.809616993790215</v>
      </c>
      <c r="K58">
        <f>GDS_Monthly!AH175</f>
        <v>497.90351559999999</v>
      </c>
      <c r="L58">
        <f>GDS_Monthly!AI175</f>
        <v>480.14586389999999</v>
      </c>
      <c r="M58">
        <f>GDS_Monthly!N175</f>
        <v>6.7587702922928372</v>
      </c>
      <c r="N58">
        <f>GDS_Monthly!C175</f>
        <v>105.55092660349166</v>
      </c>
      <c r="O58">
        <f>GDS_Monthly!F175</f>
        <v>4.0405585983201728</v>
      </c>
      <c r="P58">
        <f>GDS_Monthly!G175</f>
        <v>2.5921010111413159</v>
      </c>
      <c r="Q58">
        <f>GDS_Monthly!T175</f>
        <v>83.805835269610668</v>
      </c>
      <c r="R58">
        <f>GDS_Monthly!V175</f>
        <v>87.710279038273086</v>
      </c>
      <c r="S58">
        <f>GDS_Monthly!W175</f>
        <v>71.488981937453687</v>
      </c>
      <c r="T58">
        <f>GDS_Monthly!X175</f>
        <v>48.749950088929019</v>
      </c>
      <c r="U58">
        <f>GDS_Monthly!AA175</f>
        <v>58.874605912062293</v>
      </c>
      <c r="V58">
        <f>GDS_Monthly!AC175</f>
        <v>72.634857359286585</v>
      </c>
      <c r="W58">
        <f>GDS_Monthly!AE175</f>
        <v>62.538034380845694</v>
      </c>
      <c r="X58">
        <f>GDS_Monthly!AF175</f>
        <v>79.225377567080287</v>
      </c>
      <c r="Y58">
        <f>OECD!B58</f>
        <v>99.631919999999994</v>
      </c>
      <c r="Z58">
        <f>OECD!C58</f>
        <v>99.58</v>
      </c>
      <c r="AA58">
        <f>'Monthly Haver'!K61</f>
        <v>109.3061</v>
      </c>
      <c r="AB58" s="10">
        <f>'Monthly Haver'!L61</f>
        <v>2463</v>
      </c>
      <c r="AC58" s="8">
        <f>Quarterly!B20</f>
        <v>97.77</v>
      </c>
      <c r="AD58" s="8">
        <f>Quarterly!C20</f>
        <v>91.2</v>
      </c>
      <c r="AE58" s="8">
        <f>Quarterly!D20</f>
        <v>84.569959456597076</v>
      </c>
      <c r="AF58" s="33">
        <v>6.3961061004274287</v>
      </c>
    </row>
    <row r="59" spans="1:32">
      <c r="A59" s="12">
        <v>37895</v>
      </c>
      <c r="B59">
        <f>'Monthly Haver'!C62</f>
        <v>61.108600000000003</v>
      </c>
      <c r="C59">
        <f>'Monthly Haver'!D62</f>
        <v>54.536499999999997</v>
      </c>
      <c r="D59" t="e">
        <f>'Monthly Haver'!E62</f>
        <v>#N/A</v>
      </c>
      <c r="E59">
        <f>'Monthly Haver'!G62</f>
        <v>51.679000000000002</v>
      </c>
      <c r="F59">
        <f>'Monthly Haver'!H62</f>
        <v>54.691499999999998</v>
      </c>
      <c r="G59" t="e">
        <f>'Monthly Haver'!I62</f>
        <v>#N/A</v>
      </c>
      <c r="H59">
        <f>'Monthly Haver'!J62</f>
        <v>61.426499999999997</v>
      </c>
      <c r="I59">
        <f>GDS_Monthly!O176</f>
        <v>62.766191694499007</v>
      </c>
      <c r="J59">
        <f>GDS_Monthly!D176</f>
        <v>78.717925777667347</v>
      </c>
      <c r="K59">
        <f>GDS_Monthly!AH176</f>
        <v>514.84739390000004</v>
      </c>
      <c r="L59">
        <f>GDS_Monthly!AI176</f>
        <v>497.94158440000001</v>
      </c>
      <c r="M59">
        <f>GDS_Monthly!N176</f>
        <v>6.7191190522697264</v>
      </c>
      <c r="N59">
        <f>GDS_Monthly!C176</f>
        <v>106.95174798727435</v>
      </c>
      <c r="O59">
        <f>GDS_Monthly!F176</f>
        <v>4.0744179379380219</v>
      </c>
      <c r="P59">
        <f>GDS_Monthly!G176</f>
        <v>2.5548831982764311</v>
      </c>
      <c r="Q59">
        <f>GDS_Monthly!T176</f>
        <v>83.858469875300642</v>
      </c>
      <c r="R59">
        <f>GDS_Monthly!V176</f>
        <v>87.820485456962999</v>
      </c>
      <c r="S59">
        <f>GDS_Monthly!W176</f>
        <v>74.891508438380001</v>
      </c>
      <c r="T59">
        <f>GDS_Monthly!X176</f>
        <v>51.909958114232822</v>
      </c>
      <c r="U59">
        <f>GDS_Monthly!AA176</f>
        <v>61.277774264295545</v>
      </c>
      <c r="V59">
        <f>GDS_Monthly!AC176</f>
        <v>76.389471463112855</v>
      </c>
      <c r="W59">
        <f>GDS_Monthly!AE176</f>
        <v>65.680892729278256</v>
      </c>
      <c r="X59">
        <f>GDS_Monthly!AF176</f>
        <v>83.039186356629656</v>
      </c>
      <c r="Y59">
        <f>OECD!B59</f>
        <v>99.892169999999993</v>
      </c>
      <c r="Z59">
        <f>OECD!C59</f>
        <v>100.42</v>
      </c>
      <c r="AA59">
        <f>'Monthly Haver'!K62</f>
        <v>107.83472</v>
      </c>
      <c r="AB59" s="10">
        <f>'Monthly Haver'!L62</f>
        <v>4163</v>
      </c>
      <c r="AC59" s="8"/>
      <c r="AD59" s="8"/>
      <c r="AE59" s="8"/>
    </row>
    <row r="60" spans="1:32">
      <c r="A60" s="12">
        <v>37926</v>
      </c>
      <c r="B60">
        <f>'Monthly Haver'!C63</f>
        <v>61.452599999999997</v>
      </c>
      <c r="C60">
        <f>'Monthly Haver'!D63</f>
        <v>56.173200000000001</v>
      </c>
      <c r="D60" t="e">
        <f>'Monthly Haver'!E63</f>
        <v>#N/A</v>
      </c>
      <c r="E60">
        <f>'Monthly Haver'!G63</f>
        <v>52.952500000000001</v>
      </c>
      <c r="F60">
        <f>'Monthly Haver'!H63</f>
        <v>56.378399999999999</v>
      </c>
      <c r="G60" t="e">
        <f>'Monthly Haver'!I63</f>
        <v>#N/A</v>
      </c>
      <c r="H60">
        <f>'Monthly Haver'!J63</f>
        <v>59.861899999999999</v>
      </c>
      <c r="I60">
        <f>GDS_Monthly!O177</f>
        <v>62.76627764044904</v>
      </c>
      <c r="J60">
        <f>GDS_Monthly!D177</f>
        <v>78.630024405315311</v>
      </c>
      <c r="K60">
        <f>GDS_Monthly!AH177</f>
        <v>514.68907869999998</v>
      </c>
      <c r="L60">
        <f>GDS_Monthly!AI177</f>
        <v>496.79610450000001</v>
      </c>
      <c r="M60">
        <f>GDS_Monthly!N177</f>
        <v>6.6643165699489977</v>
      </c>
      <c r="N60">
        <f>GDS_Monthly!C177</f>
        <v>109.90479410270565</v>
      </c>
      <c r="O60">
        <f>GDS_Monthly!F177</f>
        <v>4.1460693916314844</v>
      </c>
      <c r="P60">
        <f>GDS_Monthly!G177</f>
        <v>2.5307875261152941</v>
      </c>
      <c r="Q60">
        <f>GDS_Monthly!T177</f>
        <v>84.005241886415121</v>
      </c>
      <c r="R60">
        <f>GDS_Monthly!V177</f>
        <v>87.894847991614029</v>
      </c>
      <c r="S60">
        <f>GDS_Monthly!W177</f>
        <v>72.546460364963039</v>
      </c>
      <c r="T60">
        <f>GDS_Monthly!X177</f>
        <v>54.64529583837232</v>
      </c>
      <c r="U60">
        <f>GDS_Monthly!AA177</f>
        <v>61.002445033143395</v>
      </c>
      <c r="V60">
        <f>GDS_Monthly!AC177</f>
        <v>76.609653672770932</v>
      </c>
      <c r="W60">
        <f>GDS_Monthly!AE177</f>
        <v>65.810033714486849</v>
      </c>
      <c r="X60">
        <f>GDS_Monthly!AF177</f>
        <v>83.453040696402155</v>
      </c>
      <c r="Y60">
        <f>OECD!B60</f>
        <v>100.1242</v>
      </c>
      <c r="Z60">
        <f>OECD!C60</f>
        <v>101.38</v>
      </c>
      <c r="AA60">
        <f>'Monthly Haver'!K63</f>
        <v>107.19524</v>
      </c>
      <c r="AB60" s="10">
        <f>'Monthly Haver'!L63</f>
        <v>4250</v>
      </c>
      <c r="AC60" s="8"/>
      <c r="AD60" s="8"/>
      <c r="AE60" s="8"/>
    </row>
    <row r="61" spans="1:32">
      <c r="A61" s="12">
        <v>37956</v>
      </c>
      <c r="B61">
        <f>'Monthly Haver'!C64</f>
        <v>61.386099999999999</v>
      </c>
      <c r="C61">
        <f>'Monthly Haver'!D64</f>
        <v>57.462800000000001</v>
      </c>
      <c r="D61" t="e">
        <f>'Monthly Haver'!E64</f>
        <v>#N/A</v>
      </c>
      <c r="E61">
        <f>'Monthly Haver'!G64</f>
        <v>53.331600000000002</v>
      </c>
      <c r="F61">
        <f>'Monthly Haver'!H64</f>
        <v>57.348199999999999</v>
      </c>
      <c r="G61" t="e">
        <f>'Monthly Haver'!I64</f>
        <v>#N/A</v>
      </c>
      <c r="H61">
        <f>'Monthly Haver'!J64</f>
        <v>58.822200000000002</v>
      </c>
      <c r="I61">
        <f>GDS_Monthly!O178</f>
        <v>62.887522451551149</v>
      </c>
      <c r="J61">
        <f>GDS_Monthly!D178</f>
        <v>79.677375258113187</v>
      </c>
      <c r="K61">
        <f>GDS_Monthly!AH178</f>
        <v>542.65254540000001</v>
      </c>
      <c r="L61">
        <f>GDS_Monthly!AI178</f>
        <v>526.00488459999997</v>
      </c>
      <c r="M61">
        <f>GDS_Monthly!N178</f>
        <v>6.6240618122075885</v>
      </c>
      <c r="N61">
        <f>GDS_Monthly!C178</f>
        <v>110.64727474128965</v>
      </c>
      <c r="O61">
        <f>GDS_Monthly!F178</f>
        <v>4.0863220776190241</v>
      </c>
      <c r="P61">
        <f>GDS_Monthly!G178</f>
        <v>2.5330181301233048</v>
      </c>
      <c r="Q61">
        <f>GDS_Monthly!T178</f>
        <v>84.205191175944606</v>
      </c>
      <c r="R61">
        <f>GDS_Monthly!V178</f>
        <v>87.991234749020634</v>
      </c>
      <c r="S61">
        <f>GDS_Monthly!W178</f>
        <v>71.890856095193257</v>
      </c>
      <c r="T61">
        <f>GDS_Monthly!X178</f>
        <v>59.217721876671931</v>
      </c>
      <c r="U61">
        <f>GDS_Monthly!AA178</f>
        <v>61.868452697958155</v>
      </c>
      <c r="V61">
        <f>GDS_Monthly!AC178</f>
        <v>83.000743694169302</v>
      </c>
      <c r="W61">
        <f>GDS_Monthly!AE178</f>
        <v>66.156399835148576</v>
      </c>
      <c r="X61">
        <f>GDS_Monthly!AF178</f>
        <v>81.470135531143981</v>
      </c>
      <c r="Y61">
        <f>OECD!B61</f>
        <v>100.31359999999999</v>
      </c>
      <c r="Z61">
        <f>OECD!C61</f>
        <v>101.94</v>
      </c>
      <c r="AA61">
        <f>'Monthly Haver'!K64</f>
        <v>105.90237</v>
      </c>
      <c r="AB61" s="10">
        <f>'Monthly Haver'!L64</f>
        <v>4609</v>
      </c>
      <c r="AC61" s="8">
        <f>Quarterly!B21</f>
        <v>97.9</v>
      </c>
      <c r="AD61" s="8">
        <f>Quarterly!C21</f>
        <v>92.55</v>
      </c>
      <c r="AE61" s="8">
        <f>Quarterly!D21</f>
        <v>85.614871664490678</v>
      </c>
      <c r="AF61" s="33">
        <v>6.1926394791764041</v>
      </c>
    </row>
    <row r="62" spans="1:32">
      <c r="A62" s="12">
        <v>37987</v>
      </c>
      <c r="B62">
        <f>'Monthly Haver'!C65</f>
        <v>62.997399999999999</v>
      </c>
      <c r="C62">
        <f>'Monthly Haver'!D65</f>
        <v>59.888399999999997</v>
      </c>
      <c r="D62" t="e">
        <f>'Monthly Haver'!E65</f>
        <v>#N/A</v>
      </c>
      <c r="E62">
        <f>'Monthly Haver'!G65</f>
        <v>53.563499999999998</v>
      </c>
      <c r="F62">
        <f>'Monthly Haver'!H65</f>
        <v>57.404499999999999</v>
      </c>
      <c r="G62" t="e">
        <f>'Monthly Haver'!I65</f>
        <v>#N/A</v>
      </c>
      <c r="H62">
        <f>'Monthly Haver'!J65</f>
        <v>63.822000000000003</v>
      </c>
      <c r="I62">
        <f>GDS_Monthly!O179</f>
        <v>64.259200999182454</v>
      </c>
      <c r="J62">
        <f>GDS_Monthly!D179</f>
        <v>80.060546290389595</v>
      </c>
      <c r="K62">
        <f>GDS_Monthly!AH179</f>
        <v>550.4398175</v>
      </c>
      <c r="L62">
        <f>GDS_Monthly!AI179</f>
        <v>527.66203570000005</v>
      </c>
      <c r="M62">
        <f>GDS_Monthly!N179</f>
        <v>6.6858455005963595</v>
      </c>
      <c r="N62">
        <f>GDS_Monthly!C179</f>
        <v>111.46647429907759</v>
      </c>
      <c r="O62">
        <f>GDS_Monthly!F179</f>
        <v>4.050307731126602</v>
      </c>
      <c r="P62">
        <f>GDS_Monthly!G179</f>
        <v>2.5519027762997553</v>
      </c>
      <c r="Q62">
        <f>GDS_Monthly!T179</f>
        <v>84.415222862900308</v>
      </c>
      <c r="R62">
        <f>GDS_Monthly!V179</f>
        <v>88.149931293226956</v>
      </c>
      <c r="S62">
        <f>GDS_Monthly!W179</f>
        <v>73.40397925304022</v>
      </c>
      <c r="T62">
        <f>GDS_Monthly!X179</f>
        <v>64.337302948235347</v>
      </c>
      <c r="U62">
        <f>GDS_Monthly!AA179</f>
        <v>64.052029361105511</v>
      </c>
      <c r="V62">
        <f>GDS_Monthly!AC179</f>
        <v>86.244798617721912</v>
      </c>
      <c r="W62">
        <f>GDS_Monthly!AE179</f>
        <v>68.048035123955117</v>
      </c>
      <c r="X62">
        <f>GDS_Monthly!AF179</f>
        <v>83.777162968253037</v>
      </c>
      <c r="Y62">
        <f>OECD!B62</f>
        <v>100.45359999999999</v>
      </c>
      <c r="Z62">
        <f>OECD!C62</f>
        <v>102.69</v>
      </c>
      <c r="AA62">
        <f>'Monthly Haver'!K65</f>
        <v>104.8681</v>
      </c>
      <c r="AB62" s="10">
        <f>'Monthly Haver'!L65</f>
        <v>5234</v>
      </c>
      <c r="AC62" s="8"/>
      <c r="AD62" s="8"/>
      <c r="AE62" s="8"/>
    </row>
    <row r="63" spans="1:32">
      <c r="A63" s="12">
        <v>38018</v>
      </c>
      <c r="B63">
        <f>'Monthly Haver'!C66</f>
        <v>60.101700000000001</v>
      </c>
      <c r="C63">
        <f>'Monthly Haver'!D66</f>
        <v>60.592100000000002</v>
      </c>
      <c r="D63" t="e">
        <f>'Monthly Haver'!E66</f>
        <v>#N/A</v>
      </c>
      <c r="E63">
        <f>'Monthly Haver'!G66</f>
        <v>52.776899999999998</v>
      </c>
      <c r="F63">
        <f>'Monthly Haver'!H66</f>
        <v>56.401200000000003</v>
      </c>
      <c r="G63" t="e">
        <f>'Monthly Haver'!I66</f>
        <v>#N/A</v>
      </c>
      <c r="H63">
        <f>'Monthly Haver'!J66</f>
        <v>60.259700000000002</v>
      </c>
      <c r="I63">
        <f>GDS_Monthly!O180</f>
        <v>64.790067675166824</v>
      </c>
      <c r="J63">
        <f>GDS_Monthly!D180</f>
        <v>80.45022908028416</v>
      </c>
      <c r="K63">
        <f>GDS_Monthly!AH180</f>
        <v>566.67375479999998</v>
      </c>
      <c r="L63">
        <f>GDS_Monthly!AI180</f>
        <v>542.48756060000005</v>
      </c>
      <c r="M63">
        <f>GDS_Monthly!N180</f>
        <v>6.6634620788949777</v>
      </c>
      <c r="N63">
        <f>GDS_Monthly!C180</f>
        <v>109.08942813876318</v>
      </c>
      <c r="O63">
        <f>GDS_Monthly!F180</f>
        <v>3.9920508552352767</v>
      </c>
      <c r="P63">
        <f>GDS_Monthly!G180</f>
        <v>2.5526152548249179</v>
      </c>
      <c r="Q63">
        <f>GDS_Monthly!T180</f>
        <v>84.58695446387766</v>
      </c>
      <c r="R63">
        <f>GDS_Monthly!V180</f>
        <v>88.271879184444856</v>
      </c>
      <c r="S63">
        <f>GDS_Monthly!W180</f>
        <v>74.04557710392335</v>
      </c>
      <c r="T63">
        <f>GDS_Monthly!X180</f>
        <v>67.686743885248561</v>
      </c>
      <c r="U63">
        <f>GDS_Monthly!AA180</f>
        <v>64.973046269802538</v>
      </c>
      <c r="V63">
        <f>GDS_Monthly!AC180</f>
        <v>84.316823770287598</v>
      </c>
      <c r="W63">
        <f>GDS_Monthly!AE180</f>
        <v>67.848450462201413</v>
      </c>
      <c r="X63">
        <f>GDS_Monthly!AF180</f>
        <v>85.733717302084912</v>
      </c>
      <c r="Y63">
        <f>OECD!B63</f>
        <v>100.54</v>
      </c>
      <c r="Z63">
        <f>OECD!C63</f>
        <v>103.43</v>
      </c>
      <c r="AA63">
        <f>'Monthly Haver'!K66</f>
        <v>105.01191</v>
      </c>
      <c r="AB63" s="10">
        <f>'Monthly Haver'!L66</f>
        <v>5450</v>
      </c>
      <c r="AC63" s="8"/>
      <c r="AD63" s="8"/>
      <c r="AE63" s="8"/>
    </row>
    <row r="64" spans="1:32">
      <c r="A64" s="12">
        <v>38047</v>
      </c>
      <c r="B64">
        <f>'Monthly Haver'!C67</f>
        <v>59.844499999999996</v>
      </c>
      <c r="C64">
        <f>'Monthly Haver'!D67</f>
        <v>64.555599999999998</v>
      </c>
      <c r="D64" t="e">
        <f>'Monthly Haver'!E67</f>
        <v>#N/A</v>
      </c>
      <c r="E64">
        <f>'Monthly Haver'!G67</f>
        <v>53.455100000000002</v>
      </c>
      <c r="F64">
        <f>'Monthly Haver'!H67</f>
        <v>56.944600000000001</v>
      </c>
      <c r="G64" t="e">
        <f>'Monthly Haver'!I67</f>
        <v>#N/A</v>
      </c>
      <c r="H64">
        <f>'Monthly Haver'!J67</f>
        <v>59.472700000000003</v>
      </c>
      <c r="I64">
        <f>GDS_Monthly!O181</f>
        <v>65.17939416763457</v>
      </c>
      <c r="J64">
        <f>GDS_Monthly!D181</f>
        <v>80.596781273660682</v>
      </c>
      <c r="K64">
        <f>GDS_Monthly!AH181</f>
        <v>572.06431180000004</v>
      </c>
      <c r="L64">
        <f>GDS_Monthly!AI181</f>
        <v>546.15308249999998</v>
      </c>
      <c r="M64">
        <f>GDS_Monthly!N181</f>
        <v>6.6706842130084167</v>
      </c>
      <c r="N64">
        <f>GDS_Monthly!C181</f>
        <v>107.93724881620997</v>
      </c>
      <c r="O64">
        <f>GDS_Monthly!F181</f>
        <v>3.8436898528326693</v>
      </c>
      <c r="P64">
        <f>GDS_Monthly!G181</f>
        <v>2.5313002870001364</v>
      </c>
      <c r="Q64">
        <f>GDS_Monthly!T181</f>
        <v>84.776746038219869</v>
      </c>
      <c r="R64">
        <f>GDS_Monthly!V181</f>
        <v>88.452928066326393</v>
      </c>
      <c r="S64">
        <f>GDS_Monthly!W181</f>
        <v>78.580753259058639</v>
      </c>
      <c r="T64">
        <f>GDS_Monthly!X181</f>
        <v>67.603595916554568</v>
      </c>
      <c r="U64">
        <f>GDS_Monthly!AA181</f>
        <v>67.076417962690925</v>
      </c>
      <c r="V64">
        <f>GDS_Monthly!AC181</f>
        <v>87.764425933480155</v>
      </c>
      <c r="W64">
        <f>GDS_Monthly!AE181</f>
        <v>74.057951781961677</v>
      </c>
      <c r="X64">
        <f>GDS_Monthly!AF181</f>
        <v>85.334697969394838</v>
      </c>
      <c r="Y64">
        <f>OECD!B64</f>
        <v>100.5782</v>
      </c>
      <c r="Z64">
        <f>OECD!C64</f>
        <v>104.3</v>
      </c>
      <c r="AA64">
        <f>'Monthly Haver'!K67</f>
        <v>105.79752999999999</v>
      </c>
      <c r="AB64" s="10">
        <f>'Monthly Haver'!L67</f>
        <v>5131</v>
      </c>
      <c r="AC64" s="8">
        <f>Quarterly!B22</f>
        <v>98.36</v>
      </c>
      <c r="AD64" s="8">
        <f>Quarterly!C22</f>
        <v>93.21</v>
      </c>
      <c r="AE64" s="8">
        <f>Quarterly!D22</f>
        <v>86.340845327601627</v>
      </c>
      <c r="AF64" s="33">
        <v>4.1882745849781395</v>
      </c>
    </row>
    <row r="65" spans="1:32">
      <c r="A65" s="12">
        <v>38078</v>
      </c>
      <c r="B65">
        <f>'Monthly Haver'!C68</f>
        <v>60.214500000000001</v>
      </c>
      <c r="C65">
        <f>'Monthly Haver'!D68</f>
        <v>66.679599999999994</v>
      </c>
      <c r="D65" t="e">
        <f>'Monthly Haver'!E68</f>
        <v>#N/A</v>
      </c>
      <c r="E65">
        <f>'Monthly Haver'!G68</f>
        <v>54.384799999999998</v>
      </c>
      <c r="F65">
        <f>'Monthly Haver'!H68</f>
        <v>57.512999999999998</v>
      </c>
      <c r="G65" t="e">
        <f>'Monthly Haver'!I68</f>
        <v>#N/A</v>
      </c>
      <c r="H65">
        <f>'Monthly Haver'!J68</f>
        <v>60.573700000000002</v>
      </c>
      <c r="I65">
        <f>GDS_Monthly!O182</f>
        <v>65.579687678335958</v>
      </c>
      <c r="J65">
        <f>GDS_Monthly!D182</f>
        <v>81.354819189441514</v>
      </c>
      <c r="K65">
        <f>GDS_Monthly!AH182</f>
        <v>579.93779480000001</v>
      </c>
      <c r="L65">
        <f>GDS_Monthly!AI182</f>
        <v>553.83428279999998</v>
      </c>
      <c r="M65">
        <f>GDS_Monthly!N182</f>
        <v>6.6718597623538836</v>
      </c>
      <c r="N65">
        <f>GDS_Monthly!C182</f>
        <v>109.05559910078587</v>
      </c>
      <c r="O65">
        <f>GDS_Monthly!F182</f>
        <v>4.1680704136124254</v>
      </c>
      <c r="P65">
        <f>GDS_Monthly!G182</f>
        <v>2.4990941572530678</v>
      </c>
      <c r="Q65">
        <f>GDS_Monthly!T182</f>
        <v>84.919668030718512</v>
      </c>
      <c r="R65">
        <f>GDS_Monthly!V182</f>
        <v>88.601294748616482</v>
      </c>
      <c r="S65">
        <f>GDS_Monthly!W182</f>
        <v>80.111032102864087</v>
      </c>
      <c r="T65">
        <f>GDS_Monthly!X182</f>
        <v>66.239980268057664</v>
      </c>
      <c r="U65">
        <f>GDS_Monthly!AA182</f>
        <v>67.345175338863214</v>
      </c>
      <c r="V65">
        <f>GDS_Monthly!AC182</f>
        <v>89.681737345375382</v>
      </c>
      <c r="W65">
        <f>GDS_Monthly!AE182</f>
        <v>74.826290443547407</v>
      </c>
      <c r="X65">
        <f>GDS_Monthly!AF182</f>
        <v>85.070455291217883</v>
      </c>
      <c r="Y65">
        <f>OECD!B65</f>
        <v>100.58</v>
      </c>
      <c r="Z65">
        <f>OECD!C65</f>
        <v>104.5</v>
      </c>
      <c r="AA65">
        <f>'Monthly Haver'!K68</f>
        <v>106.78036</v>
      </c>
      <c r="AB65" s="10">
        <f>'Monthly Haver'!L68</f>
        <v>4494</v>
      </c>
      <c r="AC65" s="8"/>
      <c r="AD65" s="8"/>
      <c r="AE65" s="8"/>
    </row>
    <row r="66" spans="1:32">
      <c r="A66" s="12">
        <v>38108</v>
      </c>
      <c r="B66">
        <f>'Monthly Haver'!C69</f>
        <v>59.546199999999999</v>
      </c>
      <c r="C66">
        <f>'Monthly Haver'!D69</f>
        <v>67.973200000000006</v>
      </c>
      <c r="D66" t="e">
        <f>'Monthly Haver'!E69</f>
        <v>#N/A</v>
      </c>
      <c r="E66">
        <f>'Monthly Haver'!G69</f>
        <v>54.740900000000003</v>
      </c>
      <c r="F66">
        <f>'Monthly Haver'!H69</f>
        <v>57.651400000000002</v>
      </c>
      <c r="G66" t="e">
        <f>'Monthly Haver'!I69</f>
        <v>#N/A</v>
      </c>
      <c r="H66">
        <f>'Monthly Haver'!J69</f>
        <v>59.920999999999999</v>
      </c>
      <c r="I66">
        <f>GDS_Monthly!O183</f>
        <v>65.763962891270012</v>
      </c>
      <c r="J66">
        <f>GDS_Monthly!D183</f>
        <v>81.642336682188883</v>
      </c>
      <c r="K66">
        <f>GDS_Monthly!AH183</f>
        <v>579.98875450000003</v>
      </c>
      <c r="L66">
        <f>GDS_Monthly!AI183</f>
        <v>559.22950990000004</v>
      </c>
      <c r="M66">
        <f>GDS_Monthly!N183</f>
        <v>6.6040132694770612</v>
      </c>
      <c r="N66">
        <f>GDS_Monthly!C183</f>
        <v>109.30793869652135</v>
      </c>
      <c r="O66">
        <f>GDS_Monthly!F183</f>
        <v>4.400323784301551</v>
      </c>
      <c r="P66">
        <f>GDS_Monthly!G183</f>
        <v>2.5298567752572856</v>
      </c>
      <c r="Q66">
        <f>GDS_Monthly!T183</f>
        <v>85.18824021220162</v>
      </c>
      <c r="R66">
        <f>GDS_Monthly!V183</f>
        <v>88.723375437497936</v>
      </c>
      <c r="S66">
        <f>GDS_Monthly!W183</f>
        <v>81.19071912552451</v>
      </c>
      <c r="T66">
        <f>GDS_Monthly!X183</f>
        <v>62.2859872371398</v>
      </c>
      <c r="U66">
        <f>GDS_Monthly!AA183</f>
        <v>66.853905406129698</v>
      </c>
      <c r="V66">
        <f>GDS_Monthly!AC183</f>
        <v>98.390901531375775</v>
      </c>
      <c r="W66">
        <f>GDS_Monthly!AE183</f>
        <v>83.738408552012132</v>
      </c>
      <c r="X66">
        <f>GDS_Monthly!AF183</f>
        <v>87.956892930219013</v>
      </c>
      <c r="Y66">
        <f>OECD!B66</f>
        <v>100.55759999999999</v>
      </c>
      <c r="Z66">
        <f>OECD!C66</f>
        <v>104.98</v>
      </c>
      <c r="AA66">
        <f>'Monthly Haver'!K69</f>
        <v>109.33734</v>
      </c>
      <c r="AB66" s="10">
        <f>'Monthly Haver'!L69</f>
        <v>3596</v>
      </c>
      <c r="AC66" s="8"/>
      <c r="AD66" s="8"/>
      <c r="AE66" s="8"/>
    </row>
    <row r="67" spans="1:32">
      <c r="A67" s="12">
        <v>38139</v>
      </c>
      <c r="B67">
        <f>'Monthly Haver'!C70</f>
        <v>59.136400000000002</v>
      </c>
      <c r="C67">
        <f>'Monthly Haver'!D70</f>
        <v>67.902299999999997</v>
      </c>
      <c r="D67" t="e">
        <f>'Monthly Haver'!E70</f>
        <v>#N/A</v>
      </c>
      <c r="E67">
        <f>'Monthly Haver'!G70</f>
        <v>54.735999999999997</v>
      </c>
      <c r="F67">
        <f>'Monthly Haver'!H70</f>
        <v>56.119</v>
      </c>
      <c r="G67" t="e">
        <f>'Monthly Haver'!I70</f>
        <v>#N/A</v>
      </c>
      <c r="H67">
        <f>'Monthly Haver'!J70</f>
        <v>57.687100000000001</v>
      </c>
      <c r="I67">
        <f>GDS_Monthly!O184</f>
        <v>66.448612716957598</v>
      </c>
      <c r="J67">
        <f>GDS_Monthly!D184</f>
        <v>81.680104824829854</v>
      </c>
      <c r="K67">
        <f>GDS_Monthly!AH184</f>
        <v>601.13048839999999</v>
      </c>
      <c r="L67">
        <f>GDS_Monthly!AI184</f>
        <v>567.04014289999998</v>
      </c>
      <c r="M67">
        <f>GDS_Monthly!N184</f>
        <v>6.6010787504154091</v>
      </c>
      <c r="N67">
        <f>GDS_Monthly!C184</f>
        <v>111.29110168273782</v>
      </c>
      <c r="O67">
        <f>GDS_Monthly!F184</f>
        <v>4.4815777731473867</v>
      </c>
      <c r="P67">
        <f>GDS_Monthly!G184</f>
        <v>2.6302938345928961</v>
      </c>
      <c r="Q67">
        <f>GDS_Monthly!T184</f>
        <v>85.441374406195052</v>
      </c>
      <c r="R67">
        <f>GDS_Monthly!V184</f>
        <v>88.886479595050261</v>
      </c>
      <c r="S67">
        <f>GDS_Monthly!W184</f>
        <v>77.782201829543808</v>
      </c>
      <c r="T67">
        <f>GDS_Monthly!X184</f>
        <v>65.540190553020039</v>
      </c>
      <c r="U67">
        <f>GDS_Monthly!AA184</f>
        <v>66.133504016251521</v>
      </c>
      <c r="V67">
        <f>GDS_Monthly!AC184</f>
        <v>96.114392814821798</v>
      </c>
      <c r="W67">
        <f>GDS_Monthly!AE184</f>
        <v>78.64642038631996</v>
      </c>
      <c r="X67">
        <f>GDS_Monthly!AF184</f>
        <v>87.237329132767485</v>
      </c>
      <c r="Y67">
        <f>OECD!B67</f>
        <v>100.52079999999999</v>
      </c>
      <c r="Z67">
        <f>OECD!C67</f>
        <v>104.79</v>
      </c>
      <c r="AA67">
        <f>'Monthly Haver'!K70</f>
        <v>108.60608999999999</v>
      </c>
      <c r="AB67" s="10">
        <f>'Monthly Haver'!L70</f>
        <v>2902</v>
      </c>
      <c r="AC67" s="8">
        <f>Quarterly!B23</f>
        <v>99.06</v>
      </c>
      <c r="AD67" s="8">
        <f>Quarterly!C23</f>
        <v>94.26</v>
      </c>
      <c r="AE67" s="8">
        <f>Quarterly!D23</f>
        <v>87.013011199429968</v>
      </c>
      <c r="AF67" s="33">
        <v>4.2812152353266804</v>
      </c>
    </row>
    <row r="68" spans="1:32">
      <c r="A68" s="12">
        <v>38169</v>
      </c>
      <c r="B68">
        <f>'Monthly Haver'!C71</f>
        <v>59.822299999999998</v>
      </c>
      <c r="C68">
        <f>'Monthly Haver'!D71</f>
        <v>66.598699999999994</v>
      </c>
      <c r="D68" t="e">
        <f>'Monthly Haver'!E71</f>
        <v>#N/A</v>
      </c>
      <c r="E68">
        <f>'Monthly Haver'!G71</f>
        <v>52.395899999999997</v>
      </c>
      <c r="F68">
        <f>'Monthly Haver'!H71</f>
        <v>56.314599999999999</v>
      </c>
      <c r="G68" t="e">
        <f>'Monthly Haver'!I71</f>
        <v>#N/A</v>
      </c>
      <c r="H68">
        <f>'Monthly Haver'!J71</f>
        <v>60.108600000000003</v>
      </c>
      <c r="I68">
        <f>GDS_Monthly!O185</f>
        <v>66.88224780253708</v>
      </c>
      <c r="J68">
        <f>GDS_Monthly!D185</f>
        <v>82.248128528842983</v>
      </c>
      <c r="K68">
        <f>GDS_Monthly!AH185</f>
        <v>599.48073890000001</v>
      </c>
      <c r="L68">
        <f>GDS_Monthly!AI185</f>
        <v>573.25742700000001</v>
      </c>
      <c r="M68">
        <f>GDS_Monthly!N185</f>
        <v>6.4840604033251301</v>
      </c>
      <c r="N68">
        <f>GDS_Monthly!C185</f>
        <v>112.17234644346128</v>
      </c>
      <c r="O68">
        <f>GDS_Monthly!F185</f>
        <v>4.3463580699257971</v>
      </c>
      <c r="P68">
        <f>GDS_Monthly!G185</f>
        <v>2.6378063292411484</v>
      </c>
      <c r="Q68">
        <f>GDS_Monthly!T185</f>
        <v>85.567782176495442</v>
      </c>
      <c r="R68">
        <f>GDS_Monthly!V185</f>
        <v>89.028991982167483</v>
      </c>
      <c r="S68">
        <f>GDS_Monthly!W185</f>
        <v>75.185296091583126</v>
      </c>
      <c r="T68">
        <f>GDS_Monthly!X185</f>
        <v>68.331077174839933</v>
      </c>
      <c r="U68">
        <f>GDS_Monthly!AA185</f>
        <v>65.488511890324943</v>
      </c>
      <c r="V68">
        <f>GDS_Monthly!AC185</f>
        <v>100.31400910035929</v>
      </c>
      <c r="W68">
        <f>GDS_Monthly!AE185</f>
        <v>83.295592001322049</v>
      </c>
      <c r="X68">
        <f>GDS_Monthly!AF185</f>
        <v>84.760641294366124</v>
      </c>
      <c r="Y68">
        <f>OECD!B68</f>
        <v>100.47410000000001</v>
      </c>
      <c r="Z68">
        <f>OECD!C68</f>
        <v>105.31</v>
      </c>
      <c r="AA68">
        <f>'Monthly Haver'!K71</f>
        <v>107.48626</v>
      </c>
      <c r="AB68" s="10">
        <f>'Monthly Haver'!L71</f>
        <v>3778</v>
      </c>
      <c r="AC68" s="8"/>
      <c r="AD68" s="8"/>
      <c r="AE68" s="8"/>
    </row>
    <row r="69" spans="1:32">
      <c r="A69" s="12">
        <v>38200</v>
      </c>
      <c r="B69">
        <f>'Monthly Haver'!C72</f>
        <v>57.629800000000003</v>
      </c>
      <c r="C69">
        <f>'Monthly Haver'!D72</f>
        <v>67.493399999999994</v>
      </c>
      <c r="D69" t="e">
        <f>'Monthly Haver'!E72</f>
        <v>#N/A</v>
      </c>
      <c r="E69">
        <f>'Monthly Haver'!G72</f>
        <v>53.717599999999997</v>
      </c>
      <c r="F69">
        <f>'Monthly Haver'!H72</f>
        <v>55.240600000000001</v>
      </c>
      <c r="G69" t="e">
        <f>'Monthly Haver'!I72</f>
        <v>#N/A</v>
      </c>
      <c r="H69">
        <f>'Monthly Haver'!J72</f>
        <v>57.751800000000003</v>
      </c>
      <c r="I69">
        <f>GDS_Monthly!O186</f>
        <v>66.939638241341697</v>
      </c>
      <c r="J69">
        <f>GDS_Monthly!D186</f>
        <v>82.170191325861154</v>
      </c>
      <c r="K69">
        <f>GDS_Monthly!AH186</f>
        <v>598.75324509999996</v>
      </c>
      <c r="L69">
        <f>GDS_Monthly!AI186</f>
        <v>568.10878249999996</v>
      </c>
      <c r="M69">
        <f>GDS_Monthly!N186</f>
        <v>6.4795048296983397</v>
      </c>
      <c r="N69">
        <f>GDS_Monthly!C186</f>
        <v>110.5645070024697</v>
      </c>
      <c r="O69">
        <f>GDS_Monthly!F186</f>
        <v>4.1801418068631522</v>
      </c>
      <c r="P69">
        <f>GDS_Monthly!G186</f>
        <v>2.7386543932006746</v>
      </c>
      <c r="Q69">
        <f>GDS_Monthly!T186</f>
        <v>85.704448737966061</v>
      </c>
      <c r="R69">
        <f>GDS_Monthly!V186</f>
        <v>89.13270662549769</v>
      </c>
      <c r="S69">
        <f>GDS_Monthly!W186</f>
        <v>71.099113218796077</v>
      </c>
      <c r="T69">
        <f>GDS_Monthly!X186</f>
        <v>66.553173028464926</v>
      </c>
      <c r="U69">
        <f>GDS_Monthly!AA186</f>
        <v>63.43834884710202</v>
      </c>
      <c r="V69">
        <f>GDS_Monthly!AC186</f>
        <v>106.30566382946945</v>
      </c>
      <c r="W69">
        <f>GDS_Monthly!AE186</f>
        <v>93.069201621583659</v>
      </c>
      <c r="X69">
        <f>GDS_Monthly!AF186</f>
        <v>84.270620016570646</v>
      </c>
      <c r="Y69">
        <f>OECD!B69</f>
        <v>100.4233</v>
      </c>
      <c r="Z69">
        <f>OECD!C69</f>
        <v>105.7</v>
      </c>
      <c r="AA69">
        <f>'Monthly Haver'!K72</f>
        <v>107.68641</v>
      </c>
      <c r="AB69" s="10">
        <f>'Monthly Haver'!L72</f>
        <v>4169</v>
      </c>
      <c r="AC69" s="8"/>
      <c r="AD69" s="8"/>
      <c r="AE69" s="8"/>
    </row>
    <row r="70" spans="1:32">
      <c r="A70" s="12">
        <v>38231</v>
      </c>
      <c r="B70">
        <f>'Monthly Haver'!C73</f>
        <v>57.201700000000002</v>
      </c>
      <c r="C70">
        <f>'Monthly Haver'!D73</f>
        <v>65.602699999999999</v>
      </c>
      <c r="D70" t="e">
        <f>'Monthly Haver'!E73</f>
        <v>#N/A</v>
      </c>
      <c r="E70">
        <f>'Monthly Haver'!G73</f>
        <v>54.54</v>
      </c>
      <c r="F70">
        <f>'Monthly Haver'!H73</f>
        <v>54.354100000000003</v>
      </c>
      <c r="G70" t="e">
        <f>'Monthly Haver'!I73</f>
        <v>#N/A</v>
      </c>
      <c r="H70">
        <f>'Monthly Haver'!J73</f>
        <v>57.474400000000003</v>
      </c>
      <c r="I70">
        <f>GDS_Monthly!O187</f>
        <v>67.624959386718643</v>
      </c>
      <c r="J70">
        <f>GDS_Monthly!D187</f>
        <v>82.791261008001413</v>
      </c>
      <c r="K70">
        <f>GDS_Monthly!AH187</f>
        <v>609.484196</v>
      </c>
      <c r="L70">
        <f>GDS_Monthly!AI187</f>
        <v>577.57553159999998</v>
      </c>
      <c r="M70">
        <f>GDS_Monthly!N187</f>
        <v>6.4636463119368814</v>
      </c>
      <c r="N70">
        <f>GDS_Monthly!C187</f>
        <v>110.01978635576923</v>
      </c>
      <c r="O70">
        <f>GDS_Monthly!F187</f>
        <v>4.07293974327537</v>
      </c>
      <c r="P70">
        <f>GDS_Monthly!G187</f>
        <v>2.8340000396094305</v>
      </c>
      <c r="Q70">
        <f>GDS_Monthly!T187</f>
        <v>85.901034430316201</v>
      </c>
      <c r="R70">
        <f>GDS_Monthly!V187</f>
        <v>89.288762329777825</v>
      </c>
      <c r="S70">
        <f>GDS_Monthly!W187</f>
        <v>71.82913203891016</v>
      </c>
      <c r="T70">
        <f>GDS_Monthly!X187</f>
        <v>67.110515687760511</v>
      </c>
      <c r="U70">
        <f>GDS_Monthly!AA187</f>
        <v>63.978670666836891</v>
      </c>
      <c r="V70">
        <f>GDS_Monthly!AC187</f>
        <v>104.6243232845581</v>
      </c>
      <c r="W70">
        <f>GDS_Monthly!AE187</f>
        <v>91.875716794818985</v>
      </c>
      <c r="X70">
        <f>GDS_Monthly!AF187</f>
        <v>84.150219584643011</v>
      </c>
      <c r="Y70">
        <f>OECD!B70</f>
        <v>100.3836</v>
      </c>
      <c r="Z70">
        <f>OECD!C70</f>
        <v>106.32</v>
      </c>
      <c r="AA70">
        <f>'Monthly Haver'!K73</f>
        <v>106.54895999999999</v>
      </c>
      <c r="AB70" s="10">
        <f>'Monthly Haver'!L73</f>
        <v>4141</v>
      </c>
      <c r="AC70" s="8">
        <f>Quarterly!B24</f>
        <v>99.33</v>
      </c>
      <c r="AD70" s="8">
        <f>Quarterly!C24</f>
        <v>95.86</v>
      </c>
      <c r="AE70" s="8">
        <f>Quarterly!D24</f>
        <v>87.713767570326368</v>
      </c>
      <c r="AF70" s="33">
        <v>4.3521383320630518</v>
      </c>
    </row>
    <row r="71" spans="1:32">
      <c r="A71" s="12">
        <v>38261</v>
      </c>
      <c r="B71">
        <f>'Monthly Haver'!C74</f>
        <v>57.398099999999999</v>
      </c>
      <c r="C71">
        <f>'Monthly Haver'!D74</f>
        <v>69.356399999999994</v>
      </c>
      <c r="D71" t="e">
        <f>'Monthly Haver'!E74</f>
        <v>#N/A</v>
      </c>
      <c r="E71">
        <f>'Monthly Haver'!G74</f>
        <v>54.573500000000003</v>
      </c>
      <c r="F71">
        <f>'Monthly Haver'!H74</f>
        <v>53.626100000000001</v>
      </c>
      <c r="G71" t="e">
        <f>'Monthly Haver'!I74</f>
        <v>#N/A</v>
      </c>
      <c r="H71">
        <f>'Monthly Haver'!J74</f>
        <v>58.235999999999997</v>
      </c>
      <c r="I71">
        <f>GDS_Monthly!O188</f>
        <v>68.122169258784396</v>
      </c>
      <c r="J71">
        <f>GDS_Monthly!D188</f>
        <v>83.156852050475251</v>
      </c>
      <c r="K71">
        <f>GDS_Monthly!AH188</f>
        <v>625.09084970000004</v>
      </c>
      <c r="L71">
        <f>GDS_Monthly!AI188</f>
        <v>591.81190649999996</v>
      </c>
      <c r="M71">
        <f>GDS_Monthly!N188</f>
        <v>6.4089354457929923</v>
      </c>
      <c r="N71">
        <f>GDS_Monthly!C188</f>
        <v>109.45420063962725</v>
      </c>
      <c r="O71">
        <f>GDS_Monthly!F188</f>
        <v>4.0041491372143607</v>
      </c>
      <c r="P71">
        <f>GDS_Monthly!G188</f>
        <v>2.8528384196307148</v>
      </c>
      <c r="Q71">
        <f>GDS_Monthly!T188</f>
        <v>86.233767926296622</v>
      </c>
      <c r="R71">
        <f>GDS_Monthly!V188</f>
        <v>89.449798726949908</v>
      </c>
      <c r="S71">
        <f>GDS_Monthly!W188</f>
        <v>71.211963321607783</v>
      </c>
      <c r="T71">
        <f>GDS_Monthly!X188</f>
        <v>70.176892067962427</v>
      </c>
      <c r="U71">
        <f>GDS_Monthly!AA188</f>
        <v>64.519740727869987</v>
      </c>
      <c r="V71">
        <f>GDS_Monthly!AC188</f>
        <v>118.03433760668921</v>
      </c>
      <c r="W71">
        <f>GDS_Monthly!AE188</f>
        <v>102.44018853164299</v>
      </c>
      <c r="X71">
        <f>GDS_Monthly!AF188</f>
        <v>83.675185642965459</v>
      </c>
      <c r="Y71">
        <f>OECD!B71</f>
        <v>100.355</v>
      </c>
      <c r="Z71">
        <f>OECD!C71</f>
        <v>106.82</v>
      </c>
      <c r="AA71">
        <f>'Monthly Haver'!K74</f>
        <v>106.16631</v>
      </c>
      <c r="AB71" s="10">
        <f>'Monthly Haver'!L74</f>
        <v>4539</v>
      </c>
      <c r="AC71" s="8"/>
      <c r="AD71" s="8"/>
      <c r="AE71" s="8"/>
    </row>
    <row r="72" spans="1:32">
      <c r="A72" s="12">
        <v>38292</v>
      </c>
      <c r="B72">
        <f>'Monthly Haver'!C75</f>
        <v>56.637</v>
      </c>
      <c r="C72">
        <f>'Monthly Haver'!D75</f>
        <v>67.041700000000006</v>
      </c>
      <c r="D72" t="e">
        <f>'Monthly Haver'!E75</f>
        <v>#N/A</v>
      </c>
      <c r="E72">
        <f>'Monthly Haver'!G75</f>
        <v>54.190600000000003</v>
      </c>
      <c r="F72">
        <f>'Monthly Haver'!H75</f>
        <v>52.976900000000001</v>
      </c>
      <c r="G72" t="e">
        <f>'Monthly Haver'!I75</f>
        <v>#N/A</v>
      </c>
      <c r="H72">
        <f>'Monthly Haver'!J75</f>
        <v>59.106900000000003</v>
      </c>
      <c r="I72">
        <f>GDS_Monthly!O189</f>
        <v>68.621727956246346</v>
      </c>
      <c r="J72">
        <f>GDS_Monthly!D189</f>
        <v>83.091468670248545</v>
      </c>
      <c r="K72">
        <f>GDS_Monthly!AH189</f>
        <v>647.91124960000002</v>
      </c>
      <c r="L72">
        <f>GDS_Monthly!AI189</f>
        <v>611.56279730000006</v>
      </c>
      <c r="M72">
        <f>GDS_Monthly!N189</f>
        <v>6.4127900184072129</v>
      </c>
      <c r="N72">
        <f>GDS_Monthly!C189</f>
        <v>109.56091748425645</v>
      </c>
      <c r="O72">
        <f>GDS_Monthly!F189</f>
        <v>4.0104794544586255</v>
      </c>
      <c r="P72">
        <f>GDS_Monthly!G189</f>
        <v>2.9626941059211567</v>
      </c>
      <c r="Q72">
        <f>GDS_Monthly!T189</f>
        <v>86.476384554712197</v>
      </c>
      <c r="R72">
        <f>GDS_Monthly!V189</f>
        <v>89.575481685654069</v>
      </c>
      <c r="S72">
        <f>GDS_Monthly!W189</f>
        <v>73.097471418185108</v>
      </c>
      <c r="T72">
        <f>GDS_Monthly!X189</f>
        <v>70.338653457472773</v>
      </c>
      <c r="U72">
        <f>GDS_Monthly!AA189</f>
        <v>65.819458734134912</v>
      </c>
      <c r="V72">
        <f>GDS_Monthly!AC189</f>
        <v>109.62584344233912</v>
      </c>
      <c r="W72">
        <f>GDS_Monthly!AE189</f>
        <v>90.040382936279443</v>
      </c>
      <c r="X72">
        <f>GDS_Monthly!AF189</f>
        <v>81.35109235425135</v>
      </c>
      <c r="Y72">
        <f>OECD!B72</f>
        <v>100.3344</v>
      </c>
      <c r="Z72">
        <f>OECD!C72</f>
        <v>107.57</v>
      </c>
      <c r="AA72">
        <f>'Monthly Haver'!K75</f>
        <v>104.8777</v>
      </c>
      <c r="AB72" s="10">
        <f>'Monthly Haver'!L75</f>
        <v>5309</v>
      </c>
      <c r="AC72" s="8"/>
      <c r="AD72" s="8"/>
      <c r="AE72" s="8"/>
    </row>
    <row r="73" spans="1:32">
      <c r="A73" s="12">
        <v>38322</v>
      </c>
      <c r="B73">
        <f>'Monthly Haver'!C76</f>
        <v>58.363900000000001</v>
      </c>
      <c r="C73">
        <f>'Monthly Haver'!D76</f>
        <v>65.609899999999996</v>
      </c>
      <c r="D73" t="e">
        <f>'Monthly Haver'!E76</f>
        <v>#N/A</v>
      </c>
      <c r="E73">
        <f>'Monthly Haver'!G76</f>
        <v>53.579300000000003</v>
      </c>
      <c r="F73">
        <f>'Monthly Haver'!H76</f>
        <v>53.354999999999997</v>
      </c>
      <c r="G73" t="e">
        <f>'Monthly Haver'!I76</f>
        <v>#N/A</v>
      </c>
      <c r="H73">
        <f>'Monthly Haver'!J76</f>
        <v>60.305500000000002</v>
      </c>
      <c r="I73">
        <f>GDS_Monthly!O190</f>
        <v>68.939466665059683</v>
      </c>
      <c r="J73">
        <f>GDS_Monthly!D190</f>
        <v>83.817561719417682</v>
      </c>
      <c r="K73">
        <f>GDS_Monthly!AH190</f>
        <v>652.76203350000003</v>
      </c>
      <c r="L73">
        <f>GDS_Monthly!AI190</f>
        <v>622.27772860000005</v>
      </c>
      <c r="M73">
        <f>GDS_Monthly!N190</f>
        <v>6.39502690683873</v>
      </c>
      <c r="N73">
        <f>GDS_Monthly!C190</f>
        <v>111.66788804912412</v>
      </c>
      <c r="O73">
        <f>GDS_Monthly!F190</f>
        <v>3.9089788597830206</v>
      </c>
      <c r="P73">
        <f>GDS_Monthly!G190</f>
        <v>3.0551802554895331</v>
      </c>
      <c r="Q73">
        <f>GDS_Monthly!T190</f>
        <v>86.519834849649499</v>
      </c>
      <c r="R73">
        <f>GDS_Monthly!V190</f>
        <v>89.739693961936823</v>
      </c>
      <c r="S73">
        <f>GDS_Monthly!W190</f>
        <v>76.94867231844853</v>
      </c>
      <c r="T73">
        <f>GDS_Monthly!X190</f>
        <v>70.563798387445971</v>
      </c>
      <c r="U73">
        <f>GDS_Monthly!AA190</f>
        <v>67.551273045864519</v>
      </c>
      <c r="V73">
        <f>GDS_Monthly!AC190</f>
        <v>104.28916668372923</v>
      </c>
      <c r="W73">
        <f>GDS_Monthly!AE190</f>
        <v>82.105591508168587</v>
      </c>
      <c r="X73">
        <f>GDS_Monthly!AF190</f>
        <v>78.404359418996265</v>
      </c>
      <c r="Y73">
        <f>OECD!B73</f>
        <v>100.3081</v>
      </c>
      <c r="Z73">
        <f>OECD!C73</f>
        <v>108.74</v>
      </c>
      <c r="AA73">
        <f>'Monthly Haver'!K76</f>
        <v>103.0774</v>
      </c>
      <c r="AB73" s="10">
        <f>'Monthly Haver'!L76</f>
        <v>5519</v>
      </c>
      <c r="AC73" s="8">
        <f>Quarterly!B25</f>
        <v>99.87</v>
      </c>
      <c r="AD73" s="8">
        <f>Quarterly!C25</f>
        <v>96.73</v>
      </c>
      <c r="AE73" s="8">
        <f>Quarterly!D25</f>
        <v>88.356433004069686</v>
      </c>
      <c r="AF73" s="33">
        <v>3.8515878041264604</v>
      </c>
    </row>
    <row r="74" spans="1:32">
      <c r="A74" s="12">
        <v>38353</v>
      </c>
      <c r="B74">
        <f>'Monthly Haver'!C77</f>
        <v>58.572499999999998</v>
      </c>
      <c r="C74">
        <f>'Monthly Haver'!D77</f>
        <v>64.247</v>
      </c>
      <c r="D74" t="e">
        <f>'Monthly Haver'!E77</f>
        <v>#N/A</v>
      </c>
      <c r="E74">
        <f>'Monthly Haver'!G77</f>
        <v>54.872999999999998</v>
      </c>
      <c r="F74">
        <f>'Monthly Haver'!H77</f>
        <v>53.3401</v>
      </c>
      <c r="G74" t="e">
        <f>'Monthly Haver'!I77</f>
        <v>#N/A</v>
      </c>
      <c r="H74">
        <f>'Monthly Haver'!J77</f>
        <v>59.092599999999997</v>
      </c>
      <c r="I74">
        <f>GDS_Monthly!O191</f>
        <v>69.46661185762062</v>
      </c>
      <c r="J74">
        <f>GDS_Monthly!D191</f>
        <v>84.468953106467225</v>
      </c>
      <c r="K74">
        <f>GDS_Monthly!AH191</f>
        <v>648.37892290000002</v>
      </c>
      <c r="L74">
        <f>GDS_Monthly!AI191</f>
        <v>614.8726729</v>
      </c>
      <c r="M74">
        <f>GDS_Monthly!N191</f>
        <v>6.4111335063052453</v>
      </c>
      <c r="N74">
        <f>GDS_Monthly!C191</f>
        <v>111.99981433720613</v>
      </c>
      <c r="O74">
        <f>GDS_Monthly!F191</f>
        <v>3.9139885161144283</v>
      </c>
      <c r="P74">
        <f>GDS_Monthly!G191</f>
        <v>3.0905098230579737</v>
      </c>
      <c r="Q74">
        <f>GDS_Monthly!T191</f>
        <v>86.552537879481292</v>
      </c>
      <c r="R74">
        <f>GDS_Monthly!V191</f>
        <v>89.878782558183559</v>
      </c>
      <c r="S74">
        <f>GDS_Monthly!W191</f>
        <v>76.506190259974034</v>
      </c>
      <c r="T74">
        <f>GDS_Monthly!X191</f>
        <v>77.734824823539384</v>
      </c>
      <c r="U74">
        <f>GDS_Monthly!AA191</f>
        <v>68.654652074359134</v>
      </c>
      <c r="V74">
        <f>GDS_Monthly!AC191</f>
        <v>109.68673388272489</v>
      </c>
      <c r="W74">
        <f>GDS_Monthly!AE191</f>
        <v>91.388983715134017</v>
      </c>
      <c r="X74">
        <f>GDS_Monthly!AF191</f>
        <v>82.135661650512347</v>
      </c>
      <c r="Y74">
        <f>OECD!B74</f>
        <v>100.26309999999999</v>
      </c>
      <c r="Z74">
        <f>OECD!C74</f>
        <v>108.18</v>
      </c>
      <c r="AA74">
        <f>'Monthly Haver'!K77</f>
        <v>103.63824</v>
      </c>
      <c r="AB74" s="10">
        <f>'Monthly Haver'!L77</f>
        <v>4502</v>
      </c>
      <c r="AC74" s="8"/>
      <c r="AD74" s="8"/>
      <c r="AE74" s="8"/>
    </row>
    <row r="75" spans="1:32">
      <c r="A75" s="12">
        <v>38384</v>
      </c>
      <c r="B75">
        <f>'Monthly Haver'!C78</f>
        <v>58.837899999999998</v>
      </c>
      <c r="C75">
        <f>'Monthly Haver'!D78</f>
        <v>63.870600000000003</v>
      </c>
      <c r="D75" t="e">
        <f>'Monthly Haver'!E78</f>
        <v>#N/A</v>
      </c>
      <c r="E75">
        <f>'Monthly Haver'!G78</f>
        <v>57.141800000000003</v>
      </c>
      <c r="F75">
        <f>'Monthly Haver'!H78</f>
        <v>53.167400000000001</v>
      </c>
      <c r="G75" t="e">
        <f>'Monthly Haver'!I78</f>
        <v>#N/A</v>
      </c>
      <c r="H75">
        <f>'Monthly Haver'!J78</f>
        <v>58.6751</v>
      </c>
      <c r="I75">
        <f>GDS_Monthly!O192</f>
        <v>69.8738662893373</v>
      </c>
      <c r="J75">
        <f>GDS_Monthly!D192</f>
        <v>84.768413461236548</v>
      </c>
      <c r="K75">
        <f>GDS_Monthly!AH192</f>
        <v>651.98332949999997</v>
      </c>
      <c r="L75">
        <f>GDS_Monthly!AI192</f>
        <v>618.3542721</v>
      </c>
      <c r="M75">
        <f>GDS_Monthly!N192</f>
        <v>6.3989687850501262</v>
      </c>
      <c r="N75">
        <f>GDS_Monthly!C192</f>
        <v>111.87134043276016</v>
      </c>
      <c r="O75">
        <f>GDS_Monthly!F192</f>
        <v>3.8884357300725867</v>
      </c>
      <c r="P75">
        <f>GDS_Monthly!G192</f>
        <v>3.1783180438991088</v>
      </c>
      <c r="Q75">
        <f>GDS_Monthly!T192</f>
        <v>86.831187611835119</v>
      </c>
      <c r="R75">
        <f>GDS_Monthly!V192</f>
        <v>89.996065175313319</v>
      </c>
      <c r="S75">
        <f>GDS_Monthly!W192</f>
        <v>79.020403355956915</v>
      </c>
      <c r="T75">
        <f>GDS_Monthly!X192</f>
        <v>80.009993630377096</v>
      </c>
      <c r="U75">
        <f>GDS_Monthly!AA192</f>
        <v>70.580590048256298</v>
      </c>
      <c r="V75">
        <f>GDS_Monthly!AC192</f>
        <v>111.83720101547975</v>
      </c>
      <c r="W75">
        <f>GDS_Monthly!AE192</f>
        <v>94.726472066989984</v>
      </c>
      <c r="X75">
        <f>GDS_Monthly!AF192</f>
        <v>82.210297892133539</v>
      </c>
      <c r="Y75">
        <f>OECD!B75</f>
        <v>100.19410000000001</v>
      </c>
      <c r="Z75">
        <f>OECD!C75</f>
        <v>109.29</v>
      </c>
      <c r="AA75">
        <f>'Monthly Haver'!K78</f>
        <v>103.90049</v>
      </c>
      <c r="AB75" s="10">
        <f>'Monthly Haver'!L78</f>
        <v>4532</v>
      </c>
      <c r="AC75" s="8"/>
      <c r="AD75" s="8"/>
      <c r="AE75" s="8"/>
    </row>
    <row r="76" spans="1:32">
      <c r="A76" s="12">
        <v>38412</v>
      </c>
      <c r="B76">
        <f>'Monthly Haver'!C79</f>
        <v>57.655900000000003</v>
      </c>
      <c r="C76">
        <f>'Monthly Haver'!D79</f>
        <v>62.497599999999998</v>
      </c>
      <c r="D76" t="e">
        <f>'Monthly Haver'!E79</f>
        <v>#N/A</v>
      </c>
      <c r="E76">
        <f>'Monthly Haver'!G79</f>
        <v>55.992699999999999</v>
      </c>
      <c r="F76">
        <f>'Monthly Haver'!H79</f>
        <v>53.370399999999997</v>
      </c>
      <c r="G76" t="e">
        <f>'Monthly Haver'!I79</f>
        <v>#N/A</v>
      </c>
      <c r="H76">
        <f>'Monthly Haver'!J79</f>
        <v>58.365400000000001</v>
      </c>
      <c r="I76">
        <f>GDS_Monthly!O193</f>
        <v>70.23095288517186</v>
      </c>
      <c r="J76">
        <f>GDS_Monthly!D193</f>
        <v>84.905408529029145</v>
      </c>
      <c r="K76">
        <f>GDS_Monthly!AH193</f>
        <v>670.93817899999999</v>
      </c>
      <c r="L76">
        <f>GDS_Monthly!AI193</f>
        <v>634.94309369999996</v>
      </c>
      <c r="M76">
        <f>GDS_Monthly!N193</f>
        <v>6.3615157507923223</v>
      </c>
      <c r="N76">
        <f>GDS_Monthly!C193</f>
        <v>111.32292461580107</v>
      </c>
      <c r="O76">
        <f>GDS_Monthly!F193</f>
        <v>4.0967632563923733</v>
      </c>
      <c r="P76">
        <f>GDS_Monthly!G193</f>
        <v>3.2633766970366644</v>
      </c>
      <c r="Q76">
        <f>GDS_Monthly!T193</f>
        <v>87.06758970981798</v>
      </c>
      <c r="R76">
        <f>GDS_Monthly!V193</f>
        <v>90.102570317171725</v>
      </c>
      <c r="S76">
        <f>GDS_Monthly!W193</f>
        <v>80.939394567975015</v>
      </c>
      <c r="T76">
        <f>GDS_Monthly!X193</f>
        <v>82.993805218833756</v>
      </c>
      <c r="U76">
        <f>GDS_Monthly!AA193</f>
        <v>72.904786662524529</v>
      </c>
      <c r="V76">
        <f>GDS_Monthly!AC193</f>
        <v>125.78819474672711</v>
      </c>
      <c r="W76">
        <f>GDS_Monthly!AE193</f>
        <v>108.13513779349258</v>
      </c>
      <c r="X76">
        <f>GDS_Monthly!AF193</f>
        <v>86.861559556885851</v>
      </c>
      <c r="Y76">
        <f>OECD!B76</f>
        <v>100.1153</v>
      </c>
      <c r="Z76">
        <f>OECD!C76</f>
        <v>109.48</v>
      </c>
      <c r="AA76">
        <f>'Monthly Haver'!K79</f>
        <v>103.84204</v>
      </c>
      <c r="AB76" s="10">
        <f>'Monthly Haver'!L79</f>
        <v>4678</v>
      </c>
      <c r="AC76" s="8">
        <f>Quarterly!B26</f>
        <v>99.34</v>
      </c>
      <c r="AD76" s="8">
        <f>Quarterly!C26</f>
        <v>98.02</v>
      </c>
      <c r="AE76" s="8">
        <f>Quarterly!D26</f>
        <v>89.161507436546032</v>
      </c>
      <c r="AF76" s="33">
        <v>5.0662018255773376</v>
      </c>
    </row>
    <row r="77" spans="1:32">
      <c r="A77" s="12">
        <v>38443</v>
      </c>
      <c r="B77">
        <f>'Monthly Haver'!C80</f>
        <v>55.893500000000003</v>
      </c>
      <c r="C77">
        <f>'Monthly Haver'!D80</f>
        <v>60.696599999999997</v>
      </c>
      <c r="D77" t="e">
        <f>'Monthly Haver'!E80</f>
        <v>#N/A</v>
      </c>
      <c r="E77">
        <f>'Monthly Haver'!G80</f>
        <v>54.148400000000002</v>
      </c>
      <c r="F77">
        <f>'Monthly Haver'!H80</f>
        <v>51.906199999999998</v>
      </c>
      <c r="G77" t="e">
        <f>'Monthly Haver'!I80</f>
        <v>#N/A</v>
      </c>
      <c r="H77">
        <f>'Monthly Haver'!J80</f>
        <v>56.568300000000001</v>
      </c>
      <c r="I77">
        <f>GDS_Monthly!O194</f>
        <v>71.056720442033537</v>
      </c>
      <c r="J77">
        <f>GDS_Monthly!D194</f>
        <v>85.626803143127034</v>
      </c>
      <c r="K77">
        <f>GDS_Monthly!AH194</f>
        <v>680.82754139999997</v>
      </c>
      <c r="L77">
        <f>GDS_Monthly!AI194</f>
        <v>643.64432569999997</v>
      </c>
      <c r="M77">
        <f>GDS_Monthly!N194</f>
        <v>6.3224483579326165</v>
      </c>
      <c r="N77">
        <f>GDS_Monthly!C194</f>
        <v>110.08609818762601</v>
      </c>
      <c r="O77">
        <f>GDS_Monthly!F194</f>
        <v>3.956520269217159</v>
      </c>
      <c r="P77">
        <f>GDS_Monthly!G194</f>
        <v>3.2610104694319046</v>
      </c>
      <c r="Q77">
        <f>GDS_Monthly!T194</f>
        <v>87.280540860219645</v>
      </c>
      <c r="R77">
        <f>GDS_Monthly!V194</f>
        <v>90.239179363970024</v>
      </c>
      <c r="S77">
        <f>GDS_Monthly!W194</f>
        <v>78.496379464833609</v>
      </c>
      <c r="T77">
        <f>GDS_Monthly!X194</f>
        <v>82.036843376659817</v>
      </c>
      <c r="U77">
        <f>GDS_Monthly!AA194</f>
        <v>71.307323357900344</v>
      </c>
      <c r="V77">
        <f>GDS_Monthly!AC194</f>
        <v>127.00292288128084</v>
      </c>
      <c r="W77">
        <f>GDS_Monthly!AE194</f>
        <v>108.67103453013205</v>
      </c>
      <c r="X77">
        <f>GDS_Monthly!AF194</f>
        <v>84.983677198416174</v>
      </c>
      <c r="Y77">
        <f>OECD!B77</f>
        <v>100.04859999999999</v>
      </c>
      <c r="Z77">
        <f>OECD!C77</f>
        <v>109.43</v>
      </c>
      <c r="AA77">
        <f>'Monthly Haver'!K80</f>
        <v>104.70048</v>
      </c>
      <c r="AB77" s="10">
        <f>'Monthly Haver'!L80</f>
        <v>4532</v>
      </c>
      <c r="AC77" s="8"/>
      <c r="AD77" s="8"/>
      <c r="AE77" s="8"/>
    </row>
    <row r="78" spans="1:32">
      <c r="A78" s="12">
        <v>38473</v>
      </c>
      <c r="B78">
        <f>'Monthly Haver'!C81</f>
        <v>56.012599999999999</v>
      </c>
      <c r="C78">
        <f>'Monthly Haver'!D81</f>
        <v>56.062199999999997</v>
      </c>
      <c r="D78" t="e">
        <f>'Monthly Haver'!E81</f>
        <v>#N/A</v>
      </c>
      <c r="E78">
        <f>'Monthly Haver'!G81</f>
        <v>53.049900000000001</v>
      </c>
      <c r="F78">
        <f>'Monthly Haver'!H81</f>
        <v>51.395200000000003</v>
      </c>
      <c r="G78" t="e">
        <f>'Monthly Haver'!I81</f>
        <v>#N/A</v>
      </c>
      <c r="H78">
        <f>'Monthly Haver'!J81</f>
        <v>55.968000000000004</v>
      </c>
      <c r="I78">
        <f>GDS_Monthly!O195</f>
        <v>70.981939617207274</v>
      </c>
      <c r="J78">
        <f>GDS_Monthly!D195</f>
        <v>85.42296129396658</v>
      </c>
      <c r="K78">
        <f>GDS_Monthly!AH195</f>
        <v>678.61413589999995</v>
      </c>
      <c r="L78">
        <f>GDS_Monthly!AI195</f>
        <v>641.33880550000003</v>
      </c>
      <c r="M78">
        <f>GDS_Monthly!N195</f>
        <v>6.3311656790840942</v>
      </c>
      <c r="N78">
        <f>GDS_Monthly!C195</f>
        <v>111.22183499775798</v>
      </c>
      <c r="O78">
        <f>GDS_Monthly!F195</f>
        <v>3.7838179664795719</v>
      </c>
      <c r="P78">
        <f>GDS_Monthly!G195</f>
        <v>3.3412634197986772</v>
      </c>
      <c r="Q78">
        <f>GDS_Monthly!T195</f>
        <v>87.315932318422426</v>
      </c>
      <c r="R78">
        <f>GDS_Monthly!V195</f>
        <v>90.383910323239377</v>
      </c>
      <c r="S78">
        <f>GDS_Monthly!W195</f>
        <v>79.541590275141886</v>
      </c>
      <c r="T78">
        <f>GDS_Monthly!X195</f>
        <v>81.234577715781427</v>
      </c>
      <c r="U78">
        <f>GDS_Monthly!AA195</f>
        <v>71.677672435343737</v>
      </c>
      <c r="V78">
        <f>GDS_Monthly!AC195</f>
        <v>120.42760203248572</v>
      </c>
      <c r="W78">
        <f>GDS_Monthly!AE195</f>
        <v>103.67401323834542</v>
      </c>
      <c r="X78">
        <f>GDS_Monthly!AF195</f>
        <v>85.685352778214551</v>
      </c>
      <c r="Y78">
        <f>OECD!B78</f>
        <v>100.0159</v>
      </c>
      <c r="Z78">
        <f>OECD!C78</f>
        <v>108.73</v>
      </c>
      <c r="AA78">
        <f>'Monthly Haver'!K81</f>
        <v>104.99907</v>
      </c>
      <c r="AB78" s="10">
        <f>'Monthly Haver'!L81</f>
        <v>3667</v>
      </c>
      <c r="AC78" s="8"/>
      <c r="AD78" s="8"/>
      <c r="AE78" s="8"/>
    </row>
    <row r="79" spans="1:32">
      <c r="A79" s="12">
        <v>38504</v>
      </c>
      <c r="B79">
        <f>'Monthly Haver'!C82</f>
        <v>56.794800000000002</v>
      </c>
      <c r="C79">
        <f>'Monthly Haver'!D82</f>
        <v>55.474499999999999</v>
      </c>
      <c r="D79" t="e">
        <f>'Monthly Haver'!E82</f>
        <v>#N/A</v>
      </c>
      <c r="E79">
        <f>'Monthly Haver'!G82</f>
        <v>54.9758</v>
      </c>
      <c r="F79">
        <f>'Monthly Haver'!H82</f>
        <v>52.188699999999997</v>
      </c>
      <c r="G79" t="e">
        <f>'Monthly Haver'!I82</f>
        <v>#N/A</v>
      </c>
      <c r="H79">
        <f>'Monthly Haver'!J82</f>
        <v>57.888100000000001</v>
      </c>
      <c r="I79">
        <f>GDS_Monthly!O196</f>
        <v>71.750086084101909</v>
      </c>
      <c r="J79">
        <f>GDS_Monthly!D196</f>
        <v>85.920737831741562</v>
      </c>
      <c r="K79">
        <f>GDS_Monthly!AH196</f>
        <v>676.67591970000001</v>
      </c>
      <c r="L79">
        <f>GDS_Monthly!AI196</f>
        <v>638.12897020000003</v>
      </c>
      <c r="M79">
        <f>GDS_Monthly!N196</f>
        <v>6.3020182157051261</v>
      </c>
      <c r="N79">
        <f>GDS_Monthly!C196</f>
        <v>111.97485354866242</v>
      </c>
      <c r="O79">
        <f>GDS_Monthly!F196</f>
        <v>3.6474670723406213</v>
      </c>
      <c r="P79">
        <f>GDS_Monthly!G196</f>
        <v>3.4216594234211808</v>
      </c>
      <c r="Q79">
        <f>GDS_Monthly!T196</f>
        <v>87.400780842708429</v>
      </c>
      <c r="R79">
        <f>GDS_Monthly!V196</f>
        <v>90.427819326916577</v>
      </c>
      <c r="S79">
        <f>GDS_Monthly!W196</f>
        <v>75.929298518109107</v>
      </c>
      <c r="T79">
        <f>GDS_Monthly!X196</f>
        <v>81.884273650921571</v>
      </c>
      <c r="U79">
        <f>GDS_Monthly!AA196</f>
        <v>70.344488355579387</v>
      </c>
      <c r="V79">
        <f>GDS_Monthly!AC196</f>
        <v>131.81269783603381</v>
      </c>
      <c r="W79">
        <f>GDS_Monthly!AE196</f>
        <v>119.08150241143208</v>
      </c>
      <c r="X79">
        <f>GDS_Monthly!AF196</f>
        <v>85.869720434981915</v>
      </c>
      <c r="Y79">
        <f>OECD!B79</f>
        <v>100.0334</v>
      </c>
      <c r="Z79">
        <f>OECD!C79</f>
        <v>109.08</v>
      </c>
      <c r="AA79">
        <f>'Monthly Haver'!K82</f>
        <v>106.18849</v>
      </c>
      <c r="AB79" s="10">
        <f>'Monthly Haver'!L82</f>
        <v>2746</v>
      </c>
      <c r="AC79" s="8">
        <f>Quarterly!B27</f>
        <v>99.88</v>
      </c>
      <c r="AD79" s="8">
        <f>Quarterly!C27</f>
        <v>99.49</v>
      </c>
      <c r="AE79" s="8">
        <f>Quarterly!D27</f>
        <v>89.920645898448925</v>
      </c>
      <c r="AF79" s="33">
        <v>4.6437110046771126</v>
      </c>
    </row>
    <row r="80" spans="1:32">
      <c r="A80" s="12">
        <v>38534</v>
      </c>
      <c r="B80">
        <f>'Monthly Haver'!C83</f>
        <v>59.623800000000003</v>
      </c>
      <c r="C80">
        <f>'Monthly Haver'!D83</f>
        <v>59.529899999999998</v>
      </c>
      <c r="D80" t="e">
        <f>'Monthly Haver'!E83</f>
        <v>#N/A</v>
      </c>
      <c r="E80">
        <f>'Monthly Haver'!G83</f>
        <v>54.833399999999997</v>
      </c>
      <c r="F80">
        <f>'Monthly Haver'!H83</f>
        <v>52.614600000000003</v>
      </c>
      <c r="G80" t="e">
        <f>'Monthly Haver'!I83</f>
        <v>#N/A</v>
      </c>
      <c r="H80">
        <f>'Monthly Haver'!J83</f>
        <v>58.331299999999999</v>
      </c>
      <c r="I80">
        <f>GDS_Monthly!O197</f>
        <v>72.047885856946962</v>
      </c>
      <c r="J80">
        <f>GDS_Monthly!D197</f>
        <v>85.897369101947277</v>
      </c>
      <c r="K80">
        <f>GDS_Monthly!AH197</f>
        <v>671.41286860000002</v>
      </c>
      <c r="L80">
        <f>GDS_Monthly!AI197</f>
        <v>634.7498799</v>
      </c>
      <c r="M80">
        <f>GDS_Monthly!N197</f>
        <v>6.2960833330036667</v>
      </c>
      <c r="N80">
        <f>GDS_Monthly!C197</f>
        <v>111.32812386663636</v>
      </c>
      <c r="O80">
        <f>GDS_Monthly!F197</f>
        <v>3.7422365608583297</v>
      </c>
      <c r="P80">
        <f>GDS_Monthly!G197</f>
        <v>3.4227567989045911</v>
      </c>
      <c r="Q80">
        <f>GDS_Monthly!T197</f>
        <v>87.750645003344346</v>
      </c>
      <c r="R80">
        <f>GDS_Monthly!V197</f>
        <v>90.55537479473648</v>
      </c>
      <c r="S80">
        <f>GDS_Monthly!W197</f>
        <v>75.522063823273399</v>
      </c>
      <c r="T80">
        <f>GDS_Monthly!X197</f>
        <v>80.498180901679561</v>
      </c>
      <c r="U80">
        <f>GDS_Monthly!AA197</f>
        <v>69.663031290673587</v>
      </c>
      <c r="V80">
        <f>GDS_Monthly!AC197</f>
        <v>138.61651863113232</v>
      </c>
      <c r="W80">
        <f>GDS_Monthly!AE197</f>
        <v>126.04444353415886</v>
      </c>
      <c r="X80">
        <f>GDS_Monthly!AF197</f>
        <v>87.013777374439684</v>
      </c>
      <c r="Y80">
        <f>OECD!B80</f>
        <v>100.09269999999999</v>
      </c>
      <c r="Z80">
        <f>OECD!C80</f>
        <v>109.7</v>
      </c>
      <c r="AA80">
        <f>'Monthly Haver'!K83</f>
        <v>107.33878</v>
      </c>
      <c r="AB80" s="10">
        <f>'Monthly Haver'!L83</f>
        <v>2220</v>
      </c>
      <c r="AC80" s="8"/>
      <c r="AD80" s="8"/>
      <c r="AE80" s="8"/>
    </row>
    <row r="81" spans="1:32">
      <c r="A81" s="12">
        <v>38565</v>
      </c>
      <c r="B81">
        <f>'Monthly Haver'!C84</f>
        <v>59.931399999999996</v>
      </c>
      <c r="C81">
        <f>'Monthly Haver'!D84</f>
        <v>61.508499999999998</v>
      </c>
      <c r="D81" t="e">
        <f>'Monthly Haver'!E84</f>
        <v>#N/A</v>
      </c>
      <c r="E81">
        <f>'Monthly Haver'!G84</f>
        <v>57.1614</v>
      </c>
      <c r="F81">
        <f>'Monthly Haver'!H84</f>
        <v>52.304900000000004</v>
      </c>
      <c r="G81" t="e">
        <f>'Monthly Haver'!I84</f>
        <v>#N/A</v>
      </c>
      <c r="H81">
        <f>'Monthly Haver'!J84</f>
        <v>60.354399999999998</v>
      </c>
      <c r="I81">
        <f>GDS_Monthly!O198</f>
        <v>72.711628277576949</v>
      </c>
      <c r="J81">
        <f>GDS_Monthly!D198</f>
        <v>86.418974905104989</v>
      </c>
      <c r="K81">
        <f>GDS_Monthly!AH198</f>
        <v>701.11287860000004</v>
      </c>
      <c r="L81">
        <f>GDS_Monthly!AI198</f>
        <v>655.97647359999996</v>
      </c>
      <c r="M81">
        <f>GDS_Monthly!N198</f>
        <v>6.267287830504797</v>
      </c>
      <c r="N81">
        <f>GDS_Monthly!C198</f>
        <v>111.9476032355567</v>
      </c>
      <c r="O81">
        <f>GDS_Monthly!F198</f>
        <v>3.8049059935127012</v>
      </c>
      <c r="P81">
        <f>GDS_Monthly!G198</f>
        <v>3.4836677821029176</v>
      </c>
      <c r="Q81">
        <f>GDS_Monthly!T198</f>
        <v>88.01120726150296</v>
      </c>
      <c r="R81">
        <f>GDS_Monthly!V198</f>
        <v>90.664973182008737</v>
      </c>
      <c r="S81">
        <f>GDS_Monthly!W198</f>
        <v>74.045845755367637</v>
      </c>
      <c r="T81">
        <f>GDS_Monthly!X198</f>
        <v>83.37168385703626</v>
      </c>
      <c r="U81">
        <f>GDS_Monthly!AA198</f>
        <v>69.840404399603685</v>
      </c>
      <c r="V81">
        <f>GDS_Monthly!AC198</f>
        <v>152.93287248888237</v>
      </c>
      <c r="W81">
        <f>GDS_Monthly!AE198</f>
        <v>136.69755842222108</v>
      </c>
      <c r="X81">
        <f>GDS_Monthly!AF198</f>
        <v>88.776039674917129</v>
      </c>
      <c r="Y81">
        <f>OECD!B81</f>
        <v>100.18389999999999</v>
      </c>
      <c r="Z81">
        <f>OECD!C81</f>
        <v>109.84</v>
      </c>
      <c r="AA81">
        <f>'Monthly Haver'!K84</f>
        <v>106.68134000000001</v>
      </c>
      <c r="AB81" s="10">
        <f>'Monthly Haver'!L84</f>
        <v>2207</v>
      </c>
      <c r="AC81" s="8"/>
      <c r="AD81" s="8"/>
      <c r="AE81" s="8"/>
    </row>
    <row r="82" spans="1:32">
      <c r="A82" s="12">
        <v>38596</v>
      </c>
      <c r="B82">
        <f>'Monthly Haver'!C85</f>
        <v>56.322400000000002</v>
      </c>
      <c r="C82">
        <f>'Monthly Haver'!D85</f>
        <v>71.510900000000007</v>
      </c>
      <c r="D82" t="e">
        <f>'Monthly Haver'!E85</f>
        <v>#N/A</v>
      </c>
      <c r="E82">
        <f>'Monthly Haver'!G85</f>
        <v>55.145400000000002</v>
      </c>
      <c r="F82">
        <f>'Monthly Haver'!H85</f>
        <v>54.4253</v>
      </c>
      <c r="G82" t="e">
        <f>'Monthly Haver'!I85</f>
        <v>#N/A</v>
      </c>
      <c r="H82">
        <f>'Monthly Haver'!J85</f>
        <v>54.813400000000001</v>
      </c>
      <c r="I82">
        <f>GDS_Monthly!O199</f>
        <v>73.407019530841552</v>
      </c>
      <c r="J82">
        <f>GDS_Monthly!D199</f>
        <v>86.58037336365534</v>
      </c>
      <c r="K82">
        <f>GDS_Monthly!AH199</f>
        <v>711.80048599999998</v>
      </c>
      <c r="L82">
        <f>GDS_Monthly!AI199</f>
        <v>663.99636239999995</v>
      </c>
      <c r="M82">
        <f>GDS_Monthly!N199</f>
        <v>6.2707976470000188</v>
      </c>
      <c r="N82">
        <f>GDS_Monthly!C199</f>
        <v>107.41975221047274</v>
      </c>
      <c r="O82">
        <f>GDS_Monthly!F199</f>
        <v>3.7032844718279518</v>
      </c>
      <c r="P82">
        <f>GDS_Monthly!G199</f>
        <v>3.5663128984850654</v>
      </c>
      <c r="Q82">
        <f>GDS_Monthly!T199</f>
        <v>88.612529301802212</v>
      </c>
      <c r="R82">
        <f>GDS_Monthly!V199</f>
        <v>90.762760795379222</v>
      </c>
      <c r="S82">
        <f>GDS_Monthly!W199</f>
        <v>74.155410894360372</v>
      </c>
      <c r="T82">
        <f>GDS_Monthly!X199</f>
        <v>82.816648607019943</v>
      </c>
      <c r="U82">
        <f>GDS_Monthly!AA199</f>
        <v>70.129918669150541</v>
      </c>
      <c r="V82">
        <f>GDS_Monthly!AC199</f>
        <v>162.0129129099268</v>
      </c>
      <c r="W82">
        <f>GDS_Monthly!AE199</f>
        <v>136.43303689020101</v>
      </c>
      <c r="X82">
        <f>GDS_Monthly!AF199</f>
        <v>89.843606844628184</v>
      </c>
      <c r="Y82">
        <f>OECD!B82</f>
        <v>100.30070000000001</v>
      </c>
      <c r="Z82">
        <f>OECD!C82</f>
        <v>106.5</v>
      </c>
      <c r="AA82">
        <f>'Monthly Haver'!K85</f>
        <v>108.82196999999999</v>
      </c>
      <c r="AB82" s="10">
        <f>'Monthly Haver'!L85</f>
        <v>2804</v>
      </c>
      <c r="AC82" s="8">
        <f>Quarterly!B28</f>
        <v>100.04</v>
      </c>
      <c r="AD82" s="8">
        <f>Quarterly!C28</f>
        <v>100.74</v>
      </c>
      <c r="AE82" s="8">
        <f>Quarterly!D28</f>
        <v>90.837665569411612</v>
      </c>
      <c r="AF82" s="33">
        <v>4.9417302780752026</v>
      </c>
    </row>
    <row r="83" spans="1:32">
      <c r="A83" s="12">
        <v>38626</v>
      </c>
      <c r="B83">
        <f>'Monthly Haver'!C86</f>
        <v>57.105699999999999</v>
      </c>
      <c r="C83">
        <f>'Monthly Haver'!D86</f>
        <v>69.954700000000003</v>
      </c>
      <c r="D83" t="e">
        <f>'Monthly Haver'!E86</f>
        <v>#N/A</v>
      </c>
      <c r="E83">
        <f>'Monthly Haver'!G86</f>
        <v>54.780999999999999</v>
      </c>
      <c r="F83">
        <f>'Monthly Haver'!H86</f>
        <v>54.6586</v>
      </c>
      <c r="G83" t="e">
        <f>'Monthly Haver'!I86</f>
        <v>#N/A</v>
      </c>
      <c r="H83">
        <f>'Monthly Haver'!J86</f>
        <v>57.512099999999997</v>
      </c>
      <c r="I83">
        <f>GDS_Monthly!O200</f>
        <v>73.995075777014151</v>
      </c>
      <c r="J83">
        <f>GDS_Monthly!D200</f>
        <v>87.200257738363618</v>
      </c>
      <c r="K83">
        <f>GDS_Monthly!AH200</f>
        <v>709.25418490000004</v>
      </c>
      <c r="L83">
        <f>GDS_Monthly!AI200</f>
        <v>661.58511209999995</v>
      </c>
      <c r="M83">
        <f>GDS_Monthly!N200</f>
        <v>6.2726038180160044</v>
      </c>
      <c r="N83">
        <f>GDS_Monthly!C200</f>
        <v>107.08964690643927</v>
      </c>
      <c r="O83">
        <f>GDS_Monthly!F200</f>
        <v>3.9050794534486051</v>
      </c>
      <c r="P83">
        <f>GDS_Monthly!G200</f>
        <v>3.5775029219969414</v>
      </c>
      <c r="Q83">
        <f>GDS_Monthly!T200</f>
        <v>88.809902284471207</v>
      </c>
      <c r="R83">
        <f>GDS_Monthly!V200</f>
        <v>90.938043091442424</v>
      </c>
      <c r="S83">
        <f>GDS_Monthly!W200</f>
        <v>73.964461306429257</v>
      </c>
      <c r="T83">
        <f>GDS_Monthly!X200</f>
        <v>83.315716448907281</v>
      </c>
      <c r="U83">
        <f>GDS_Monthly!AA200</f>
        <v>70.539510117202553</v>
      </c>
      <c r="V83">
        <f>GDS_Monthly!AC200</f>
        <v>160.17587228321588</v>
      </c>
      <c r="W83">
        <f>GDS_Monthly!AE200</f>
        <v>130.47763182146909</v>
      </c>
      <c r="X83">
        <f>GDS_Monthly!AF200</f>
        <v>90.459230505733771</v>
      </c>
      <c r="Y83">
        <f>OECD!B83</f>
        <v>100.43940000000001</v>
      </c>
      <c r="Z83">
        <f>OECD!C83</f>
        <v>107.37</v>
      </c>
      <c r="AA83">
        <f>'Monthly Haver'!K86</f>
        <v>112.26128</v>
      </c>
      <c r="AB83" s="10">
        <f>'Monthly Haver'!L86</f>
        <v>3161</v>
      </c>
      <c r="AC83" s="8"/>
      <c r="AD83" s="8"/>
      <c r="AE83" s="8"/>
    </row>
    <row r="84" spans="1:32">
      <c r="A84" s="12">
        <v>38657</v>
      </c>
      <c r="B84">
        <f>'Monthly Haver'!C87</f>
        <v>58.044499999999999</v>
      </c>
      <c r="C84">
        <f>'Monthly Haver'!D87</f>
        <v>65.015600000000006</v>
      </c>
      <c r="D84" t="e">
        <f>'Monthly Haver'!E87</f>
        <v>#N/A</v>
      </c>
      <c r="E84">
        <f>'Monthly Haver'!G87</f>
        <v>55.958399999999997</v>
      </c>
      <c r="F84">
        <f>'Monthly Haver'!H87</f>
        <v>54.629199999999997</v>
      </c>
      <c r="G84" t="e">
        <f>'Monthly Haver'!I87</f>
        <v>#N/A</v>
      </c>
      <c r="H84">
        <f>'Monthly Haver'!J87</f>
        <v>57.778500000000001</v>
      </c>
      <c r="I84">
        <f>GDS_Monthly!O201</f>
        <v>74.403723304231633</v>
      </c>
      <c r="J84">
        <f>GDS_Monthly!D201</f>
        <v>87.872905767825969</v>
      </c>
      <c r="K84">
        <f>GDS_Monthly!AH201</f>
        <v>716.57337050000001</v>
      </c>
      <c r="L84">
        <f>GDS_Monthly!AI201</f>
        <v>665.99952159999998</v>
      </c>
      <c r="M84">
        <f>GDS_Monthly!N201</f>
        <v>6.2597402928864128</v>
      </c>
      <c r="N84">
        <f>GDS_Monthly!C201</f>
        <v>110.09966457879865</v>
      </c>
      <c r="O84">
        <f>GDS_Monthly!F201</f>
        <v>4.0016238279309579</v>
      </c>
      <c r="P84">
        <f>GDS_Monthly!G201</f>
        <v>3.6589051548195188</v>
      </c>
      <c r="Q84">
        <f>GDS_Monthly!T201</f>
        <v>88.728669916341147</v>
      </c>
      <c r="R84">
        <f>GDS_Monthly!V201</f>
        <v>91.033923276424972</v>
      </c>
      <c r="S84">
        <f>GDS_Monthly!W201</f>
        <v>73.187725597903764</v>
      </c>
      <c r="T84">
        <f>GDS_Monthly!X201</f>
        <v>85.990768306950827</v>
      </c>
      <c r="U84">
        <f>GDS_Monthly!AA201</f>
        <v>70.762048349028674</v>
      </c>
      <c r="V84">
        <f>GDS_Monthly!AC201</f>
        <v>145.21824396232358</v>
      </c>
      <c r="W84">
        <f>GDS_Monthly!AE201</f>
        <v>125.08677818486501</v>
      </c>
      <c r="X84">
        <f>GDS_Monthly!AF201</f>
        <v>89.173622117648932</v>
      </c>
      <c r="Y84">
        <f>OECD!B84</f>
        <v>100.5869</v>
      </c>
      <c r="Z84">
        <f>OECD!C84</f>
        <v>109.05</v>
      </c>
      <c r="AA84">
        <f>'Monthly Haver'!K87</f>
        <v>111.85851</v>
      </c>
      <c r="AB84" s="10">
        <f>'Monthly Haver'!L87</f>
        <v>2916</v>
      </c>
      <c r="AC84" s="8"/>
      <c r="AD84" s="8"/>
      <c r="AE84" s="8"/>
    </row>
    <row r="85" spans="1:32">
      <c r="A85" s="12">
        <v>38687</v>
      </c>
      <c r="B85">
        <f>'Monthly Haver'!C88</f>
        <v>60.001199999999997</v>
      </c>
      <c r="C85">
        <f>'Monthly Haver'!D88</f>
        <v>62.872700000000002</v>
      </c>
      <c r="D85" t="e">
        <f>'Monthly Haver'!E88</f>
        <v>#N/A</v>
      </c>
      <c r="E85">
        <f>'Monthly Haver'!G88</f>
        <v>55.804000000000002</v>
      </c>
      <c r="F85">
        <f>'Monthly Haver'!H88</f>
        <v>54.621099999999998</v>
      </c>
      <c r="G85" t="e">
        <f>'Monthly Haver'!I88</f>
        <v>#N/A</v>
      </c>
      <c r="H85">
        <f>'Monthly Haver'!J88</f>
        <v>58.873699999999999</v>
      </c>
      <c r="I85">
        <f>GDS_Monthly!O202</f>
        <v>75.022914049688737</v>
      </c>
      <c r="J85">
        <f>GDS_Monthly!D202</f>
        <v>88.502277969886322</v>
      </c>
      <c r="K85">
        <f>GDS_Monthly!AH202</f>
        <v>732.94417050000004</v>
      </c>
      <c r="L85">
        <f>GDS_Monthly!AI202</f>
        <v>687.14817749999997</v>
      </c>
      <c r="M85">
        <f>GDS_Monthly!N202</f>
        <v>6.2351930874866355</v>
      </c>
      <c r="N85">
        <f>GDS_Monthly!C202</f>
        <v>111.53412798132489</v>
      </c>
      <c r="O85">
        <f>GDS_Monthly!F202</f>
        <v>3.915145762306643</v>
      </c>
      <c r="P85">
        <f>GDS_Monthly!G202</f>
        <v>3.8026788264691262</v>
      </c>
      <c r="Q85">
        <f>GDS_Monthly!T202</f>
        <v>88.841270669430642</v>
      </c>
      <c r="R85">
        <f>GDS_Monthly!V202</f>
        <v>91.189175747819348</v>
      </c>
      <c r="S85">
        <f>GDS_Monthly!W202</f>
        <v>74.39966144861252</v>
      </c>
      <c r="T85">
        <f>GDS_Monthly!X202</f>
        <v>92.202780532274176</v>
      </c>
      <c r="U85">
        <f>GDS_Monthly!AA202</f>
        <v>73.02697705653209</v>
      </c>
      <c r="V85">
        <f>GDS_Monthly!AC202</f>
        <v>154.13989467306311</v>
      </c>
      <c r="W85">
        <f>GDS_Monthly!AE202</f>
        <v>127.72162618809112</v>
      </c>
      <c r="X85">
        <f>GDS_Monthly!AF202</f>
        <v>89.320916638049383</v>
      </c>
      <c r="Y85">
        <f>OECD!B85</f>
        <v>100.72490000000001</v>
      </c>
      <c r="Z85">
        <f>OECD!C85</f>
        <v>109.63</v>
      </c>
      <c r="AA85">
        <f>'Monthly Haver'!K88</f>
        <v>110.58374999999999</v>
      </c>
      <c r="AB85" s="10">
        <f>'Monthly Haver'!L88</f>
        <v>2600</v>
      </c>
      <c r="AC85" s="8">
        <f>Quarterly!B29</f>
        <v>100.74</v>
      </c>
      <c r="AD85" s="8">
        <f>Quarterly!C29</f>
        <v>101.76</v>
      </c>
      <c r="AE85" s="8">
        <f>Quarterly!D29</f>
        <v>91.6943198424879</v>
      </c>
      <c r="AF85" s="33">
        <v>5.4978259436570251</v>
      </c>
    </row>
    <row r="86" spans="1:32">
      <c r="A86" s="12">
        <v>38718</v>
      </c>
      <c r="B86">
        <f>'Monthly Haver'!C89</f>
        <v>57.405000000000001</v>
      </c>
      <c r="C86">
        <f>'Monthly Haver'!D89</f>
        <v>62.7712</v>
      </c>
      <c r="D86" t="e">
        <f>'Monthly Haver'!E89</f>
        <v>#N/A</v>
      </c>
      <c r="E86">
        <f>'Monthly Haver'!G89</f>
        <v>54.592500000000001</v>
      </c>
      <c r="F86">
        <f>'Monthly Haver'!H89</f>
        <v>54.451000000000001</v>
      </c>
      <c r="G86" t="e">
        <f>'Monthly Haver'!I89</f>
        <v>#N/A</v>
      </c>
      <c r="H86">
        <f>'Monthly Haver'!J89</f>
        <v>57.941000000000003</v>
      </c>
      <c r="I86">
        <f>GDS_Monthly!O203</f>
        <v>75.909168850677986</v>
      </c>
      <c r="J86">
        <f>GDS_Monthly!D203</f>
        <v>88.861463531033991</v>
      </c>
      <c r="K86">
        <f>GDS_Monthly!AH203</f>
        <v>749.33566659999997</v>
      </c>
      <c r="L86">
        <f>GDS_Monthly!AI203</f>
        <v>697.65244380000001</v>
      </c>
      <c r="M86">
        <f>GDS_Monthly!N203</f>
        <v>6.0687791144736138</v>
      </c>
      <c r="N86">
        <f>GDS_Monthly!C203</f>
        <v>112.00494846907806</v>
      </c>
      <c r="O86">
        <f>GDS_Monthly!F203</f>
        <v>3.875234360639074</v>
      </c>
      <c r="P86">
        <f>GDS_Monthly!G203</f>
        <v>3.9345948962202084</v>
      </c>
      <c r="Q86">
        <f>GDS_Monthly!T203</f>
        <v>89.17619977704318</v>
      </c>
      <c r="R86">
        <f>GDS_Monthly!V203</f>
        <v>91.311756074307425</v>
      </c>
      <c r="S86">
        <f>GDS_Monthly!W203</f>
        <v>75.85260958051235</v>
      </c>
      <c r="T86">
        <f>GDS_Monthly!X203</f>
        <v>99.69905222386997</v>
      </c>
      <c r="U86">
        <f>GDS_Monthly!AA203</f>
        <v>76.296476160414585</v>
      </c>
      <c r="V86">
        <f>GDS_Monthly!AC203</f>
        <v>153.62777908542816</v>
      </c>
      <c r="W86">
        <f>GDS_Monthly!AE203</f>
        <v>139.47578217656761</v>
      </c>
      <c r="X86">
        <f>GDS_Monthly!AF203</f>
        <v>92.819599151487481</v>
      </c>
      <c r="Y86">
        <f>OECD!B86</f>
        <v>100.8428</v>
      </c>
      <c r="Z86">
        <f>OECD!C86</f>
        <v>110.9</v>
      </c>
      <c r="AA86">
        <f>'Monthly Haver'!K89</f>
        <v>109.20908</v>
      </c>
      <c r="AB86" s="10">
        <f>'Monthly Haver'!L89</f>
        <v>2262</v>
      </c>
      <c r="AC86" s="8"/>
      <c r="AD86" s="8"/>
      <c r="AE86" s="8"/>
    </row>
    <row r="87" spans="1:32">
      <c r="A87" s="12">
        <v>38749</v>
      </c>
      <c r="B87">
        <f>'Monthly Haver'!C90</f>
        <v>58.016100000000002</v>
      </c>
      <c r="C87">
        <f>'Monthly Haver'!D90</f>
        <v>62.207000000000001</v>
      </c>
      <c r="D87" t="e">
        <f>'Monthly Haver'!E90</f>
        <v>#N/A</v>
      </c>
      <c r="E87">
        <f>'Monthly Haver'!G90</f>
        <v>56.2883</v>
      </c>
      <c r="F87">
        <f>'Monthly Haver'!H90</f>
        <v>55.058399999999999</v>
      </c>
      <c r="G87" t="e">
        <f>'Monthly Haver'!I90</f>
        <v>#N/A</v>
      </c>
      <c r="H87">
        <f>'Monthly Haver'!J90</f>
        <v>60.1402</v>
      </c>
      <c r="I87">
        <f>GDS_Monthly!O204</f>
        <v>76.32217298245223</v>
      </c>
      <c r="J87">
        <f>GDS_Monthly!D204</f>
        <v>89.133831419415841</v>
      </c>
      <c r="K87">
        <f>GDS_Monthly!AH204</f>
        <v>750.5324008</v>
      </c>
      <c r="L87">
        <f>GDS_Monthly!AI204</f>
        <v>704.48685639999997</v>
      </c>
      <c r="M87">
        <f>GDS_Monthly!N204</f>
        <v>6.0735276739246773</v>
      </c>
      <c r="N87">
        <f>GDS_Monthly!C204</f>
        <v>111.16425975992735</v>
      </c>
      <c r="O87">
        <f>GDS_Monthly!F204</f>
        <v>3.9902297754287512</v>
      </c>
      <c r="P87">
        <f>GDS_Monthly!G204</f>
        <v>3.9353435658689273</v>
      </c>
      <c r="Q87">
        <f>GDS_Monthly!T204</f>
        <v>89.319094440154387</v>
      </c>
      <c r="R87">
        <f>GDS_Monthly!V204</f>
        <v>91.451185280851305</v>
      </c>
      <c r="S87">
        <f>GDS_Monthly!W204</f>
        <v>77.400624853796714</v>
      </c>
      <c r="T87">
        <f>GDS_Monthly!X204</f>
        <v>102.61365190869364</v>
      </c>
      <c r="U87">
        <f>GDS_Monthly!AA204</f>
        <v>77.824931175457777</v>
      </c>
      <c r="V87">
        <f>GDS_Monthly!AC204</f>
        <v>147.023767648236</v>
      </c>
      <c r="W87">
        <f>GDS_Monthly!AE204</f>
        <v>134.82587667303213</v>
      </c>
      <c r="X87">
        <f>GDS_Monthly!AF204</f>
        <v>96.292815429840957</v>
      </c>
      <c r="Y87">
        <f>OECD!B87</f>
        <v>100.93559999999999</v>
      </c>
      <c r="Z87">
        <f>OECD!C87</f>
        <v>110.82</v>
      </c>
      <c r="AA87">
        <f>'Monthly Haver'!K90</f>
        <v>107.60973</v>
      </c>
      <c r="AB87" s="10">
        <f>'Monthly Haver'!L90</f>
        <v>2444</v>
      </c>
      <c r="AC87" s="8"/>
      <c r="AD87" s="8"/>
      <c r="AE87" s="8"/>
    </row>
    <row r="88" spans="1:32">
      <c r="A88" s="12">
        <v>38777</v>
      </c>
      <c r="B88">
        <f>'Monthly Haver'!C91</f>
        <v>58.010399999999997</v>
      </c>
      <c r="C88">
        <f>'Monthly Haver'!D91</f>
        <v>59.131</v>
      </c>
      <c r="D88" t="e">
        <f>'Monthly Haver'!E91</f>
        <v>#N/A</v>
      </c>
      <c r="E88">
        <f>'Monthly Haver'!G91</f>
        <v>55.280900000000003</v>
      </c>
      <c r="F88">
        <f>'Monthly Haver'!H91</f>
        <v>54.301499999999997</v>
      </c>
      <c r="G88" t="e">
        <f>'Monthly Haver'!I91</f>
        <v>#N/A</v>
      </c>
      <c r="H88">
        <f>'Monthly Haver'!J91</f>
        <v>59.124400000000001</v>
      </c>
      <c r="I88">
        <f>GDS_Monthly!O205</f>
        <v>76.561148243299641</v>
      </c>
      <c r="J88">
        <f>GDS_Monthly!D205</f>
        <v>89.800585058054878</v>
      </c>
      <c r="K88">
        <f>GDS_Monthly!AH205</f>
        <v>761.02550819999999</v>
      </c>
      <c r="L88">
        <f>GDS_Monthly!AI205</f>
        <v>721.51902389999998</v>
      </c>
      <c r="M88">
        <f>GDS_Monthly!N205</f>
        <v>6.0352379668255116</v>
      </c>
      <c r="N88">
        <f>GDS_Monthly!C205</f>
        <v>112.31293826353615</v>
      </c>
      <c r="O88">
        <f>GDS_Monthly!F205</f>
        <v>4.1310968321905142</v>
      </c>
      <c r="P88">
        <f>GDS_Monthly!G205</f>
        <v>4.0661922970060154</v>
      </c>
      <c r="Q88">
        <f>GDS_Monthly!T205</f>
        <v>89.424113390719825</v>
      </c>
      <c r="R88">
        <f>GDS_Monthly!V205</f>
        <v>91.625805538398723</v>
      </c>
      <c r="S88">
        <f>GDS_Monthly!W205</f>
        <v>78.342903926310228</v>
      </c>
      <c r="T88">
        <f>GDS_Monthly!X205</f>
        <v>103.99812855756804</v>
      </c>
      <c r="U88">
        <f>GDS_Monthly!AA205</f>
        <v>78.448970528522722</v>
      </c>
      <c r="V88">
        <f>GDS_Monthly!AC205</f>
        <v>147.87370247732105</v>
      </c>
      <c r="W88">
        <f>GDS_Monthly!AE205</f>
        <v>137.27364813097677</v>
      </c>
      <c r="X88">
        <f>GDS_Monthly!AF205</f>
        <v>95.842489550761599</v>
      </c>
      <c r="Y88">
        <f>OECD!B88</f>
        <v>101</v>
      </c>
      <c r="Z88">
        <f>OECD!C88</f>
        <v>110.77</v>
      </c>
      <c r="AA88">
        <f>'Monthly Haver'!K91</f>
        <v>107.45659999999999</v>
      </c>
      <c r="AB88" s="10">
        <f>'Monthly Haver'!L91</f>
        <v>2599</v>
      </c>
      <c r="AC88" s="8">
        <f>Quarterly!B30</f>
        <v>101.5</v>
      </c>
      <c r="AD88" s="8">
        <f>Quarterly!C30</f>
        <v>102.88</v>
      </c>
      <c r="AE88" s="8">
        <f>Quarterly!D30</f>
        <v>92.779482888844996</v>
      </c>
      <c r="AF88" s="33">
        <v>6.337796311460882</v>
      </c>
    </row>
    <row r="89" spans="1:32">
      <c r="A89" s="12">
        <v>38808</v>
      </c>
      <c r="B89">
        <f>'Monthly Haver'!C92</f>
        <v>59.488799999999998</v>
      </c>
      <c r="C89">
        <f>'Monthly Haver'!D92</f>
        <v>63.932899999999997</v>
      </c>
      <c r="D89" t="e">
        <f>'Monthly Haver'!E92</f>
        <v>#N/A</v>
      </c>
      <c r="E89">
        <f>'Monthly Haver'!G92</f>
        <v>56.216999999999999</v>
      </c>
      <c r="F89">
        <f>'Monthly Haver'!H92</f>
        <v>55.127499999999998</v>
      </c>
      <c r="G89" t="e">
        <f>'Monthly Haver'!I92</f>
        <v>#N/A</v>
      </c>
      <c r="H89">
        <f>'Monthly Haver'!J92</f>
        <v>60.131700000000002</v>
      </c>
      <c r="I89">
        <f>GDS_Monthly!O206</f>
        <v>77.38783863116933</v>
      </c>
      <c r="J89">
        <f>GDS_Monthly!D206</f>
        <v>89.949388997599883</v>
      </c>
      <c r="K89">
        <f>GDS_Monthly!AH206</f>
        <v>766.1584689</v>
      </c>
      <c r="L89">
        <f>GDS_Monthly!AI206</f>
        <v>726.45179510000003</v>
      </c>
      <c r="M89">
        <f>GDS_Monthly!N206</f>
        <v>6.031539477965346</v>
      </c>
      <c r="N89">
        <f>GDS_Monthly!C206</f>
        <v>112.82980041680774</v>
      </c>
      <c r="O89">
        <f>GDS_Monthly!F206</f>
        <v>4.368796276039622</v>
      </c>
      <c r="P89">
        <f>GDS_Monthly!G206</f>
        <v>4.0591852696174415</v>
      </c>
      <c r="Q89">
        <f>GDS_Monthly!T206</f>
        <v>89.727577126926519</v>
      </c>
      <c r="R89">
        <f>GDS_Monthly!V206</f>
        <v>91.769292271273912</v>
      </c>
      <c r="S89">
        <f>GDS_Monthly!W206</f>
        <v>81.640633356424686</v>
      </c>
      <c r="T89">
        <f>GDS_Monthly!X206</f>
        <v>119.39113510505508</v>
      </c>
      <c r="U89">
        <f>GDS_Monthly!AA206</f>
        <v>83.943434950728943</v>
      </c>
      <c r="V89">
        <f>GDS_Monthly!AC206</f>
        <v>161.63154633322785</v>
      </c>
      <c r="W89">
        <f>GDS_Monthly!AE206</f>
        <v>151.88975402371662</v>
      </c>
      <c r="X89">
        <f>GDS_Monthly!AF206</f>
        <v>96.346150719734695</v>
      </c>
      <c r="Y89">
        <f>OECD!B89</f>
        <v>101.0325</v>
      </c>
      <c r="Z89">
        <f>OECD!C89</f>
        <v>110.63</v>
      </c>
      <c r="AA89">
        <f>'Monthly Haver'!K92</f>
        <v>107.00127000000001</v>
      </c>
      <c r="AB89" s="10">
        <f>'Monthly Haver'!L92</f>
        <v>2465</v>
      </c>
      <c r="AC89" s="8"/>
      <c r="AD89" s="8"/>
      <c r="AE89" s="8"/>
    </row>
    <row r="90" spans="1:32">
      <c r="A90" s="12">
        <v>38838</v>
      </c>
      <c r="B90">
        <f>'Monthly Haver'!C93</f>
        <v>58.271700000000003</v>
      </c>
      <c r="C90">
        <f>'Monthly Haver'!D93</f>
        <v>66.438000000000002</v>
      </c>
      <c r="D90" t="e">
        <f>'Monthly Haver'!E93</f>
        <v>#N/A</v>
      </c>
      <c r="E90">
        <f>'Monthly Haver'!G93</f>
        <v>55.411499999999997</v>
      </c>
      <c r="F90">
        <f>'Monthly Haver'!H93</f>
        <v>54.5623</v>
      </c>
      <c r="G90" t="e">
        <f>'Monthly Haver'!I93</f>
        <v>#N/A</v>
      </c>
      <c r="H90">
        <f>'Monthly Haver'!J93</f>
        <v>58.555999999999997</v>
      </c>
      <c r="I90">
        <f>GDS_Monthly!O207</f>
        <v>77.897484839157542</v>
      </c>
      <c r="J90">
        <f>GDS_Monthly!D207</f>
        <v>90.779612353454581</v>
      </c>
      <c r="K90">
        <f>GDS_Monthly!AH207</f>
        <v>803.37086120000004</v>
      </c>
      <c r="L90">
        <f>GDS_Monthly!AI207</f>
        <v>749.28417109999998</v>
      </c>
      <c r="M90">
        <f>GDS_Monthly!N207</f>
        <v>5.9921860070992752</v>
      </c>
      <c r="N90">
        <f>GDS_Monthly!C207</f>
        <v>111.70608238773218</v>
      </c>
      <c r="O90">
        <f>GDS_Monthly!F207</f>
        <v>4.4489847540558092</v>
      </c>
      <c r="P90">
        <f>GDS_Monthly!G207</f>
        <v>4.1561648616752906</v>
      </c>
      <c r="Q90">
        <f>GDS_Monthly!T207</f>
        <v>89.984771586579299</v>
      </c>
      <c r="R90">
        <f>GDS_Monthly!V207</f>
        <v>91.965643414997018</v>
      </c>
      <c r="S90">
        <f>GDS_Monthly!W207</f>
        <v>87.815434514714383</v>
      </c>
      <c r="T90">
        <f>GDS_Monthly!X207</f>
        <v>136.89720323672498</v>
      </c>
      <c r="U90">
        <f>GDS_Monthly!AA207</f>
        <v>91.521168214946144</v>
      </c>
      <c r="V90">
        <f>GDS_Monthly!AC207</f>
        <v>160.93013882180313</v>
      </c>
      <c r="W90">
        <f>GDS_Monthly!AE207</f>
        <v>149.62574726861851</v>
      </c>
      <c r="X90">
        <f>GDS_Monthly!AF207</f>
        <v>101.3203287467954</v>
      </c>
      <c r="Y90">
        <f>OECD!B90</f>
        <v>101.03660000000001</v>
      </c>
      <c r="Z90">
        <f>OECD!C90</f>
        <v>110.54</v>
      </c>
      <c r="AA90">
        <f>'Monthly Haver'!K93</f>
        <v>105.40491</v>
      </c>
      <c r="AB90" s="10">
        <f>'Monthly Haver'!L93</f>
        <v>2442</v>
      </c>
      <c r="AC90" s="8"/>
      <c r="AD90" s="8"/>
      <c r="AE90" s="8"/>
    </row>
    <row r="91" spans="1:32">
      <c r="A91" s="12">
        <v>38869</v>
      </c>
      <c r="B91">
        <f>'Monthly Haver'!C94</f>
        <v>57.615600000000001</v>
      </c>
      <c r="C91">
        <f>'Monthly Haver'!D94</f>
        <v>65.6798</v>
      </c>
      <c r="D91" t="e">
        <f>'Monthly Haver'!E94</f>
        <v>#N/A</v>
      </c>
      <c r="E91">
        <f>'Monthly Haver'!G94</f>
        <v>54.0717</v>
      </c>
      <c r="F91">
        <f>'Monthly Haver'!H94</f>
        <v>54.085700000000003</v>
      </c>
      <c r="G91" t="e">
        <f>'Monthly Haver'!I94</f>
        <v>#N/A</v>
      </c>
      <c r="H91">
        <f>'Monthly Haver'!J94</f>
        <v>57.770499999999998</v>
      </c>
      <c r="I91">
        <f>GDS_Monthly!O208</f>
        <v>78.090609540373933</v>
      </c>
      <c r="J91">
        <f>GDS_Monthly!D208</f>
        <v>91.07898959329421</v>
      </c>
      <c r="K91">
        <f>GDS_Monthly!AH208</f>
        <v>797.41643260000001</v>
      </c>
      <c r="L91">
        <f>GDS_Monthly!AI208</f>
        <v>751.02514889999998</v>
      </c>
      <c r="M91">
        <f>GDS_Monthly!N208</f>
        <v>6.0028811511042184</v>
      </c>
      <c r="N91">
        <f>GDS_Monthly!C208</f>
        <v>111.66696429279853</v>
      </c>
      <c r="O91">
        <f>GDS_Monthly!F208</f>
        <v>4.4887242704200512</v>
      </c>
      <c r="P91">
        <f>GDS_Monthly!G208</f>
        <v>4.323488124750531</v>
      </c>
      <c r="Q91">
        <f>GDS_Monthly!T208</f>
        <v>90.175829375727091</v>
      </c>
      <c r="R91">
        <f>GDS_Monthly!V208</f>
        <v>92.131108835885684</v>
      </c>
      <c r="S91">
        <f>GDS_Monthly!W208</f>
        <v>85.465886180206738</v>
      </c>
      <c r="T91">
        <f>GDS_Monthly!X208</f>
        <v>126.64113259911414</v>
      </c>
      <c r="U91">
        <f>GDS_Monthly!AA208</f>
        <v>87.15954611477396</v>
      </c>
      <c r="V91">
        <f>GDS_Monthly!AC208</f>
        <v>160.72023798890962</v>
      </c>
      <c r="W91">
        <f>GDS_Monthly!AE208</f>
        <v>149.83175949608747</v>
      </c>
      <c r="X91">
        <f>GDS_Monthly!AF208</f>
        <v>105.02575859857761</v>
      </c>
      <c r="Y91">
        <f>OECD!B91</f>
        <v>101.03360000000001</v>
      </c>
      <c r="Z91">
        <f>OECD!C91</f>
        <v>110.31</v>
      </c>
      <c r="AA91">
        <f>'Monthly Haver'!K94</f>
        <v>106.69431</v>
      </c>
      <c r="AB91" s="10">
        <f>'Monthly Haver'!L94</f>
        <v>2718</v>
      </c>
      <c r="AC91" s="8">
        <f>Quarterly!B31</f>
        <v>101.72</v>
      </c>
      <c r="AD91" s="8">
        <f>Quarterly!C31</f>
        <v>103.59</v>
      </c>
      <c r="AE91" s="8">
        <f>Quarterly!D31</f>
        <v>93.486064041804752</v>
      </c>
      <c r="AF91" s="33">
        <v>4.10360134274414</v>
      </c>
    </row>
    <row r="92" spans="1:32">
      <c r="A92" s="12">
        <v>38899</v>
      </c>
      <c r="B92">
        <f>'Monthly Haver'!C95</f>
        <v>57.651699999999998</v>
      </c>
      <c r="C92">
        <f>'Monthly Haver'!D95</f>
        <v>66.354900000000001</v>
      </c>
      <c r="D92" t="e">
        <f>'Monthly Haver'!E95</f>
        <v>#N/A</v>
      </c>
      <c r="E92">
        <f>'Monthly Haver'!G95</f>
        <v>54.584200000000003</v>
      </c>
      <c r="F92">
        <f>'Monthly Haver'!H95</f>
        <v>54.371899999999997</v>
      </c>
      <c r="G92" t="e">
        <f>'Monthly Haver'!I95</f>
        <v>#N/A</v>
      </c>
      <c r="H92">
        <f>'Monthly Haver'!J95</f>
        <v>56.784799999999997</v>
      </c>
      <c r="I92">
        <f>GDS_Monthly!O209</f>
        <v>78.337828215458089</v>
      </c>
      <c r="J92">
        <f>GDS_Monthly!D209</f>
        <v>91.148260790209576</v>
      </c>
      <c r="K92">
        <f>GDS_Monthly!AH209</f>
        <v>786.69535900000005</v>
      </c>
      <c r="L92">
        <f>GDS_Monthly!AI209</f>
        <v>737.31958629999997</v>
      </c>
      <c r="M92">
        <f>GDS_Monthly!N209</f>
        <v>5.9920866074896564</v>
      </c>
      <c r="N92">
        <f>GDS_Monthly!C209</f>
        <v>111.96664850554266</v>
      </c>
      <c r="O92">
        <f>GDS_Monthly!F209</f>
        <v>4.4729231988161295</v>
      </c>
      <c r="P92">
        <f>GDS_Monthly!G209</f>
        <v>4.3577553815700973</v>
      </c>
      <c r="Q92">
        <f>GDS_Monthly!T209</f>
        <v>90.444004211693681</v>
      </c>
      <c r="R92">
        <f>GDS_Monthly!V209</f>
        <v>92.296621897728386</v>
      </c>
      <c r="S92">
        <f>GDS_Monthly!W209</f>
        <v>84.690373610626409</v>
      </c>
      <c r="T92">
        <f>GDS_Monthly!X209</f>
        <v>137.66057780502422</v>
      </c>
      <c r="U92">
        <f>GDS_Monthly!AA209</f>
        <v>89.51849251975861</v>
      </c>
      <c r="V92">
        <f>GDS_Monthly!AC209</f>
        <v>168.28208677937462</v>
      </c>
      <c r="W92">
        <f>GDS_Monthly!AE209</f>
        <v>158.94880584121358</v>
      </c>
      <c r="X92">
        <f>GDS_Monthly!AF209</f>
        <v>103.63375668394843</v>
      </c>
      <c r="Y92">
        <f>OECD!B92</f>
        <v>101.0407</v>
      </c>
      <c r="Z92">
        <f>OECD!C92</f>
        <v>110.13</v>
      </c>
      <c r="AA92">
        <f>'Monthly Haver'!K95</f>
        <v>105.96725000000001</v>
      </c>
      <c r="AB92" s="10">
        <f>'Monthly Haver'!L95</f>
        <v>3050</v>
      </c>
      <c r="AC92" s="8"/>
      <c r="AD92" s="8"/>
      <c r="AE92" s="8"/>
    </row>
    <row r="93" spans="1:32">
      <c r="A93" s="12">
        <v>38930</v>
      </c>
      <c r="B93">
        <f>'Monthly Haver'!C96</f>
        <v>55.270099999999999</v>
      </c>
      <c r="C93">
        <f>'Monthly Haver'!D96</f>
        <v>66.085300000000004</v>
      </c>
      <c r="D93" t="e">
        <f>'Monthly Haver'!E96</f>
        <v>#N/A</v>
      </c>
      <c r="E93">
        <f>'Monthly Haver'!G96</f>
        <v>53.977800000000002</v>
      </c>
      <c r="F93">
        <f>'Monthly Haver'!H96</f>
        <v>54.136499999999998</v>
      </c>
      <c r="G93" t="e">
        <f>'Monthly Haver'!I96</f>
        <v>#N/A</v>
      </c>
      <c r="H93">
        <f>'Monthly Haver'!J96</f>
        <v>56.775500000000001</v>
      </c>
      <c r="I93">
        <f>GDS_Monthly!O210</f>
        <v>78.858105294178699</v>
      </c>
      <c r="J93">
        <f>GDS_Monthly!D210</f>
        <v>91.702684514751155</v>
      </c>
      <c r="K93">
        <f>GDS_Monthly!AH210</f>
        <v>816.97565210000005</v>
      </c>
      <c r="L93">
        <f>GDS_Monthly!AI210</f>
        <v>763.55200960000002</v>
      </c>
      <c r="M93">
        <f>GDS_Monthly!N210</f>
        <v>5.9685865368606086</v>
      </c>
      <c r="N93">
        <f>GDS_Monthly!C210</f>
        <v>110.32633496197658</v>
      </c>
      <c r="O93">
        <f>GDS_Monthly!F210</f>
        <v>4.312755871656849</v>
      </c>
      <c r="P93">
        <f>GDS_Monthly!G210</f>
        <v>4.4525837902440077</v>
      </c>
      <c r="Q93">
        <f>GDS_Monthly!T210</f>
        <v>90.715155027679984</v>
      </c>
      <c r="R93">
        <f>GDS_Monthly!V210</f>
        <v>92.418791445812445</v>
      </c>
      <c r="S93">
        <f>GDS_Monthly!W210</f>
        <v>82.955519940882326</v>
      </c>
      <c r="T93">
        <f>GDS_Monthly!X210</f>
        <v>142.82250972243324</v>
      </c>
      <c r="U93">
        <f>GDS_Monthly!AA210</f>
        <v>89.899213741681038</v>
      </c>
      <c r="V93">
        <f>GDS_Monthly!AC210</f>
        <v>169.43854955719667</v>
      </c>
      <c r="W93">
        <f>GDS_Monthly!AE210</f>
        <v>156.59733201037022</v>
      </c>
      <c r="X93">
        <f>GDS_Monthly!AF210</f>
        <v>102.69386219127591</v>
      </c>
      <c r="Y93">
        <f>OECD!B93</f>
        <v>101.0753</v>
      </c>
      <c r="Z93">
        <f>OECD!C93</f>
        <v>110.17</v>
      </c>
      <c r="AA93">
        <f>'Monthly Haver'!K96</f>
        <v>106.00157</v>
      </c>
      <c r="AB93" s="10">
        <f>'Monthly Haver'!L96</f>
        <v>3687</v>
      </c>
      <c r="AC93" s="8"/>
      <c r="AD93" s="8"/>
      <c r="AE93" s="8"/>
    </row>
    <row r="94" spans="1:32">
      <c r="A94" s="12">
        <v>38961</v>
      </c>
      <c r="B94">
        <f>'Monthly Haver'!C97</f>
        <v>56.921900000000001</v>
      </c>
      <c r="C94">
        <f>'Monthly Haver'!D97</f>
        <v>60.032899999999998</v>
      </c>
      <c r="D94" t="e">
        <f>'Monthly Haver'!E97</f>
        <v>#N/A</v>
      </c>
      <c r="E94">
        <f>'Monthly Haver'!G97</f>
        <v>54.264000000000003</v>
      </c>
      <c r="F94">
        <f>'Monthly Haver'!H97</f>
        <v>54.1785</v>
      </c>
      <c r="G94" t="e">
        <f>'Monthly Haver'!I97</f>
        <v>#N/A</v>
      </c>
      <c r="H94">
        <f>'Monthly Haver'!J97</f>
        <v>55.558100000000003</v>
      </c>
      <c r="I94">
        <f>GDS_Monthly!O211</f>
        <v>79.003168226832898</v>
      </c>
      <c r="J94">
        <f>GDS_Monthly!D211</f>
        <v>92.044322746594091</v>
      </c>
      <c r="K94">
        <f>GDS_Monthly!AH211</f>
        <v>808.88876970000001</v>
      </c>
      <c r="L94">
        <f>GDS_Monthly!AI211</f>
        <v>763.33547150000004</v>
      </c>
      <c r="M94">
        <f>GDS_Monthly!N211</f>
        <v>5.9030035049622738</v>
      </c>
      <c r="N94">
        <f>GDS_Monthly!C211</f>
        <v>111.61295479318073</v>
      </c>
      <c r="O94">
        <f>GDS_Monthly!F211</f>
        <v>4.1824914125193313</v>
      </c>
      <c r="P94">
        <f>GDS_Monthly!G211</f>
        <v>4.4694209919716377</v>
      </c>
      <c r="Q94">
        <f>GDS_Monthly!T211</f>
        <v>90.640078415241177</v>
      </c>
      <c r="R94">
        <f>GDS_Monthly!V211</f>
        <v>92.597062243727663</v>
      </c>
      <c r="S94">
        <f>GDS_Monthly!W211</f>
        <v>82.457066262930198</v>
      </c>
      <c r="T94">
        <f>GDS_Monthly!X211</f>
        <v>142.87717833457043</v>
      </c>
      <c r="U94">
        <f>GDS_Monthly!AA211</f>
        <v>88.822463748178919</v>
      </c>
      <c r="V94">
        <f>GDS_Monthly!AC211</f>
        <v>147.02507377222975</v>
      </c>
      <c r="W94">
        <f>GDS_Monthly!AE211</f>
        <v>136.16801565983798</v>
      </c>
      <c r="X94">
        <f>GDS_Monthly!AF211</f>
        <v>98.825603788526777</v>
      </c>
      <c r="Y94">
        <f>OECD!B94</f>
        <v>101.1386</v>
      </c>
      <c r="Z94">
        <f>OECD!C94</f>
        <v>110.29</v>
      </c>
      <c r="AA94">
        <f>'Monthly Haver'!K97</f>
        <v>104.8729</v>
      </c>
      <c r="AB94" s="10">
        <f>'Monthly Haver'!L97</f>
        <v>4039</v>
      </c>
      <c r="AC94" s="8">
        <f>Quarterly!B32</f>
        <v>102.12</v>
      </c>
      <c r="AD94" s="8">
        <f>Quarterly!C32</f>
        <v>104.13</v>
      </c>
      <c r="AE94" s="8">
        <f>Quarterly!D32</f>
        <v>94.042667651106868</v>
      </c>
      <c r="AF94" s="33">
        <v>4.2690384444887473</v>
      </c>
    </row>
    <row r="95" spans="1:32">
      <c r="A95" s="12">
        <v>38991</v>
      </c>
      <c r="B95">
        <f>'Monthly Haver'!C98</f>
        <v>56.423999999999999</v>
      </c>
      <c r="C95">
        <f>'Monthly Haver'!D98</f>
        <v>56.077500000000001</v>
      </c>
      <c r="D95" t="e">
        <f>'Monthly Haver'!E98</f>
        <v>#N/A</v>
      </c>
      <c r="E95">
        <f>'Monthly Haver'!G98</f>
        <v>54.265999999999998</v>
      </c>
      <c r="F95">
        <f>'Monthly Haver'!H98</f>
        <v>53.720199999999998</v>
      </c>
      <c r="G95" t="e">
        <f>'Monthly Haver'!I98</f>
        <v>#N/A</v>
      </c>
      <c r="H95">
        <f>'Monthly Haver'!J98</f>
        <v>57.181899999999999</v>
      </c>
      <c r="I95">
        <f>GDS_Monthly!O212</f>
        <v>79.278788559890074</v>
      </c>
      <c r="J95">
        <f>GDS_Monthly!D212</f>
        <v>92.159554519152294</v>
      </c>
      <c r="K95">
        <f>GDS_Monthly!AH212</f>
        <v>802.92208029999995</v>
      </c>
      <c r="L95">
        <f>GDS_Monthly!AI212</f>
        <v>762.23532790000002</v>
      </c>
      <c r="M95">
        <f>GDS_Monthly!N212</f>
        <v>5.8406603428808355</v>
      </c>
      <c r="N95">
        <f>GDS_Monthly!C212</f>
        <v>111.80254145475816</v>
      </c>
      <c r="O95">
        <f>GDS_Monthly!F212</f>
        <v>4.2120134279926171</v>
      </c>
      <c r="P95">
        <f>GDS_Monthly!G212</f>
        <v>4.5293487041817002</v>
      </c>
      <c r="Q95">
        <f>GDS_Monthly!T212</f>
        <v>90.552802711540465</v>
      </c>
      <c r="R95">
        <f>GDS_Monthly!V212</f>
        <v>92.756291286048082</v>
      </c>
      <c r="S95">
        <f>GDS_Monthly!W212</f>
        <v>82.737142223318713</v>
      </c>
      <c r="T95">
        <f>GDS_Monthly!X212</f>
        <v>149.07831363486818</v>
      </c>
      <c r="U95">
        <f>GDS_Monthly!AA212</f>
        <v>89.71032767029314</v>
      </c>
      <c r="V95">
        <f>GDS_Monthly!AC212</f>
        <v>141.31174975202637</v>
      </c>
      <c r="W95">
        <f>GDS_Monthly!AE212</f>
        <v>127.43752864998127</v>
      </c>
      <c r="X95">
        <f>GDS_Monthly!AF212</f>
        <v>98.884914129939332</v>
      </c>
      <c r="Y95">
        <f>OECD!B95</f>
        <v>101.221</v>
      </c>
      <c r="Z95">
        <f>OECD!C95</f>
        <v>110.32</v>
      </c>
      <c r="AA95">
        <f>'Monthly Haver'!K98</f>
        <v>103.38598</v>
      </c>
      <c r="AB95" s="10">
        <f>'Monthly Haver'!L98</f>
        <v>4028</v>
      </c>
      <c r="AC95" s="8"/>
      <c r="AD95" s="8"/>
      <c r="AE95" s="8"/>
    </row>
    <row r="96" spans="1:32">
      <c r="A96" s="12">
        <v>39022</v>
      </c>
      <c r="B96">
        <f>'Monthly Haver'!C99</f>
        <v>56.9358</v>
      </c>
      <c r="C96">
        <f>'Monthly Haver'!D99</f>
        <v>56.641399999999997</v>
      </c>
      <c r="D96" t="e">
        <f>'Monthly Haver'!E99</f>
        <v>#N/A</v>
      </c>
      <c r="E96">
        <f>'Monthly Haver'!G99</f>
        <v>54.183500000000002</v>
      </c>
      <c r="F96">
        <f>'Monthly Haver'!H99</f>
        <v>53.106900000000003</v>
      </c>
      <c r="G96" t="e">
        <f>'Monthly Haver'!I99</f>
        <v>#N/A</v>
      </c>
      <c r="H96">
        <f>'Monthly Haver'!J99</f>
        <v>58.709200000000003</v>
      </c>
      <c r="I96">
        <f>GDS_Monthly!O213</f>
        <v>79.836184902491979</v>
      </c>
      <c r="J96">
        <f>GDS_Monthly!D213</f>
        <v>93.32984582449491</v>
      </c>
      <c r="K96">
        <f>GDS_Monthly!AH213</f>
        <v>822.12701330000004</v>
      </c>
      <c r="L96">
        <f>GDS_Monthly!AI213</f>
        <v>789.28366240000003</v>
      </c>
      <c r="M96">
        <f>GDS_Monthly!N213</f>
        <v>5.8290689599958627</v>
      </c>
      <c r="N96">
        <f>GDS_Monthly!C213</f>
        <v>111.89269161202684</v>
      </c>
      <c r="O96">
        <f>GDS_Monthly!F213</f>
        <v>4.1075657037116686</v>
      </c>
      <c r="P96">
        <f>GDS_Monthly!G213</f>
        <v>4.5403101802340133</v>
      </c>
      <c r="Q96">
        <f>GDS_Monthly!T213</f>
        <v>90.704606985074051</v>
      </c>
      <c r="R96">
        <f>GDS_Monthly!V213</f>
        <v>92.866006757446598</v>
      </c>
      <c r="S96">
        <f>GDS_Monthly!W213</f>
        <v>84.741731896900802</v>
      </c>
      <c r="T96">
        <f>GDS_Monthly!X213</f>
        <v>148.02296125685803</v>
      </c>
      <c r="U96">
        <f>GDS_Monthly!AA213</f>
        <v>91.339024895438584</v>
      </c>
      <c r="V96">
        <f>GDS_Monthly!AC213</f>
        <v>145.41041427397141</v>
      </c>
      <c r="W96">
        <f>GDS_Monthly!AE213</f>
        <v>126.57530869948765</v>
      </c>
      <c r="X96">
        <f>GDS_Monthly!AF213</f>
        <v>96.442394729063238</v>
      </c>
      <c r="Y96">
        <f>OECD!B96</f>
        <v>101.3107</v>
      </c>
      <c r="Z96">
        <f>OECD!C96</f>
        <v>110.62</v>
      </c>
      <c r="AA96">
        <f>'Monthly Haver'!K99</f>
        <v>104.26607</v>
      </c>
      <c r="AB96" s="10">
        <f>'Monthly Haver'!L99</f>
        <v>4190</v>
      </c>
      <c r="AC96" s="8"/>
      <c r="AD96" s="8"/>
      <c r="AE96" s="8"/>
    </row>
    <row r="97" spans="1:32">
      <c r="A97" s="12">
        <v>39052</v>
      </c>
      <c r="B97">
        <f>'Monthly Haver'!C100</f>
        <v>55.922400000000003</v>
      </c>
      <c r="C97">
        <f>'Monthly Haver'!D100</f>
        <v>57.667200000000001</v>
      </c>
      <c r="D97" t="e">
        <f>'Monthly Haver'!E100</f>
        <v>#N/A</v>
      </c>
      <c r="E97">
        <f>'Monthly Haver'!G100</f>
        <v>54.383000000000003</v>
      </c>
      <c r="F97">
        <f>'Monthly Haver'!H100</f>
        <v>53.331000000000003</v>
      </c>
      <c r="G97" t="e">
        <f>'Monthly Haver'!I100</f>
        <v>#N/A</v>
      </c>
      <c r="H97">
        <f>'Monthly Haver'!J100</f>
        <v>56.877299999999998</v>
      </c>
      <c r="I97">
        <f>GDS_Monthly!O214</f>
        <v>80.467355673331042</v>
      </c>
      <c r="J97">
        <f>GDS_Monthly!D214</f>
        <v>94.033125524163651</v>
      </c>
      <c r="K97">
        <f>GDS_Monthly!AH214</f>
        <v>841.74168940000004</v>
      </c>
      <c r="L97">
        <f>GDS_Monthly!AI214</f>
        <v>804.34018270000001</v>
      </c>
      <c r="M97">
        <f>GDS_Monthly!N214</f>
        <v>5.7833464027678385</v>
      </c>
      <c r="N97">
        <f>GDS_Monthly!C214</f>
        <v>113.03326362223861</v>
      </c>
      <c r="O97">
        <f>GDS_Monthly!F214</f>
        <v>4.1165199651838531</v>
      </c>
      <c r="P97">
        <f>GDS_Monthly!G214</f>
        <v>4.6084022966453126</v>
      </c>
      <c r="Q97">
        <f>GDS_Monthly!T214</f>
        <v>91.053313090154859</v>
      </c>
      <c r="R97">
        <f>GDS_Monthly!V214</f>
        <v>93.01689173788364</v>
      </c>
      <c r="S97">
        <f>GDS_Monthly!W214</f>
        <v>84.915473349133563</v>
      </c>
      <c r="T97">
        <f>GDS_Monthly!X214</f>
        <v>151.44388105203524</v>
      </c>
      <c r="U97">
        <f>GDS_Monthly!AA214</f>
        <v>92.649420084345167</v>
      </c>
      <c r="V97">
        <f>GDS_Monthly!AC214</f>
        <v>148.67678199130953</v>
      </c>
      <c r="W97">
        <f>GDS_Monthly!AE214</f>
        <v>131.14668269137567</v>
      </c>
      <c r="X97">
        <f>GDS_Monthly!AF214</f>
        <v>100.08070635496365</v>
      </c>
      <c r="Y97">
        <f>OECD!B97</f>
        <v>101.3967</v>
      </c>
      <c r="Z97">
        <f>OECD!C97</f>
        <v>111.76</v>
      </c>
      <c r="AA97">
        <f>'Monthly Haver'!K100</f>
        <v>103.74003999999999</v>
      </c>
      <c r="AB97" s="10">
        <f>'Monthly Haver'!L100</f>
        <v>4336</v>
      </c>
      <c r="AC97" s="8">
        <f>Quarterly!B33</f>
        <v>103.11</v>
      </c>
      <c r="AD97" s="8">
        <f>Quarterly!C33</f>
        <v>105.37</v>
      </c>
      <c r="AE97" s="8">
        <f>Quarterly!D33</f>
        <v>95.196403169410573</v>
      </c>
      <c r="AF97" s="33">
        <v>6.3659467043571025</v>
      </c>
    </row>
    <row r="98" spans="1:32">
      <c r="A98" s="12">
        <v>39083</v>
      </c>
      <c r="B98">
        <f>'Monthly Haver'!C101</f>
        <v>56.165399999999998</v>
      </c>
      <c r="C98">
        <f>'Monthly Haver'!D101</f>
        <v>57.178899999999999</v>
      </c>
      <c r="D98" t="e">
        <f>'Monthly Haver'!E101</f>
        <v>#N/A</v>
      </c>
      <c r="E98">
        <f>'Monthly Haver'!G101</f>
        <v>55.315800000000003</v>
      </c>
      <c r="F98">
        <f>'Monthly Haver'!H101</f>
        <v>52.658499999999997</v>
      </c>
      <c r="G98" t="e">
        <f>'Monthly Haver'!I101</f>
        <v>#N/A</v>
      </c>
      <c r="H98">
        <f>'Monthly Haver'!J101</f>
        <v>58.1188</v>
      </c>
      <c r="I98">
        <f>GDS_Monthly!O215</f>
        <v>80.922460747878688</v>
      </c>
      <c r="J98">
        <f>GDS_Monthly!D215</f>
        <v>94.411667516343329</v>
      </c>
      <c r="K98">
        <f>GDS_Monthly!AH215</f>
        <v>830.96596409999995</v>
      </c>
      <c r="L98">
        <f>GDS_Monthly!AI215</f>
        <v>797.91783120000002</v>
      </c>
      <c r="M98">
        <f>GDS_Monthly!N215</f>
        <v>5.7566493794228393</v>
      </c>
      <c r="N98">
        <f>GDS_Monthly!C215</f>
        <v>112.68682872985217</v>
      </c>
      <c r="O98">
        <f>GDS_Monthly!F215</f>
        <v>4.3140535022003714</v>
      </c>
      <c r="P98">
        <f>GDS_Monthly!G215</f>
        <v>4.7230360304663801</v>
      </c>
      <c r="Q98">
        <f>GDS_Monthly!T215</f>
        <v>91.179548790436812</v>
      </c>
      <c r="R98">
        <f>GDS_Monthly!V215</f>
        <v>93.179541929468286</v>
      </c>
      <c r="S98">
        <f>GDS_Monthly!W215</f>
        <v>86.566511310100225</v>
      </c>
      <c r="T98">
        <f>GDS_Monthly!X215</f>
        <v>148.67777809474364</v>
      </c>
      <c r="U98">
        <f>GDS_Monthly!AA215</f>
        <v>93.550058234778064</v>
      </c>
      <c r="V98">
        <f>GDS_Monthly!AC215</f>
        <v>136.11746036849371</v>
      </c>
      <c r="W98">
        <f>GDS_Monthly!AE215</f>
        <v>116.85388827608448</v>
      </c>
      <c r="X98">
        <f>GDS_Monthly!AF215</f>
        <v>103.56778629439589</v>
      </c>
      <c r="Y98">
        <f>OECD!B98</f>
        <v>101.4687</v>
      </c>
      <c r="Z98">
        <f>OECD!C98</f>
        <v>112</v>
      </c>
      <c r="AA98">
        <f>'Monthly Haver'!K101</f>
        <v>103.47403</v>
      </c>
      <c r="AB98" s="10">
        <f>'Monthly Haver'!L101</f>
        <v>4462</v>
      </c>
      <c r="AC98" s="8"/>
      <c r="AD98" s="8"/>
      <c r="AE98" s="8"/>
    </row>
    <row r="99" spans="1:32">
      <c r="A99" s="12">
        <v>39114</v>
      </c>
      <c r="B99">
        <f>'Monthly Haver'!C102</f>
        <v>56.223599999999998</v>
      </c>
      <c r="C99">
        <f>'Monthly Haver'!D102</f>
        <v>56.434100000000001</v>
      </c>
      <c r="D99" t="e">
        <f>'Monthly Haver'!E102</f>
        <v>#N/A</v>
      </c>
      <c r="E99">
        <f>'Monthly Haver'!G102</f>
        <v>54.390300000000003</v>
      </c>
      <c r="F99">
        <f>'Monthly Haver'!H102</f>
        <v>53.294199999999996</v>
      </c>
      <c r="G99" t="e">
        <f>'Monthly Haver'!I102</f>
        <v>#N/A</v>
      </c>
      <c r="H99">
        <f>'Monthly Haver'!J102</f>
        <v>56.645800000000001</v>
      </c>
      <c r="I99">
        <f>GDS_Monthly!O216</f>
        <v>81.435754076259087</v>
      </c>
      <c r="J99">
        <f>GDS_Monthly!D216</f>
        <v>94.853839673481161</v>
      </c>
      <c r="K99">
        <f>GDS_Monthly!AH216</f>
        <v>845.92062039999996</v>
      </c>
      <c r="L99">
        <f>GDS_Monthly!AI216</f>
        <v>806.64122190000001</v>
      </c>
      <c r="M99">
        <f>GDS_Monthly!N216</f>
        <v>5.7382390091368265</v>
      </c>
      <c r="N99">
        <f>GDS_Monthly!C216</f>
        <v>112.94602678616796</v>
      </c>
      <c r="O99">
        <f>GDS_Monthly!F216</f>
        <v>4.3181235821644428</v>
      </c>
      <c r="P99">
        <f>GDS_Monthly!G216</f>
        <v>4.732566993987966</v>
      </c>
      <c r="Q99">
        <f>GDS_Monthly!T216</f>
        <v>91.408704313356182</v>
      </c>
      <c r="R99">
        <f>GDS_Monthly!V216</f>
        <v>93.346842616813674</v>
      </c>
      <c r="S99">
        <f>GDS_Monthly!W216</f>
        <v>88.488039675689009</v>
      </c>
      <c r="T99">
        <f>GDS_Monthly!X216</f>
        <v>154.1996192039862</v>
      </c>
      <c r="U99">
        <f>GDS_Monthly!AA216</f>
        <v>96.503997096689574</v>
      </c>
      <c r="V99">
        <f>GDS_Monthly!AC216</f>
        <v>146.09713553485093</v>
      </c>
      <c r="W99">
        <f>GDS_Monthly!AE216</f>
        <v>124.71766602636986</v>
      </c>
      <c r="X99">
        <f>GDS_Monthly!AF216</f>
        <v>106.02663515136942</v>
      </c>
      <c r="Y99">
        <f>OECD!B99</f>
        <v>101.5292</v>
      </c>
      <c r="Z99">
        <f>OECD!C99</f>
        <v>112.16</v>
      </c>
      <c r="AA99">
        <f>'Monthly Haver'!K102</f>
        <v>104.72768000000001</v>
      </c>
      <c r="AB99" s="10">
        <f>'Monthly Haver'!L102</f>
        <v>4398</v>
      </c>
      <c r="AC99" s="8"/>
      <c r="AD99" s="8"/>
      <c r="AE99" s="8"/>
    </row>
    <row r="100" spans="1:32">
      <c r="A100" s="12">
        <v>39142</v>
      </c>
      <c r="B100">
        <f>'Monthly Haver'!C103</f>
        <v>54.829799999999999</v>
      </c>
      <c r="C100">
        <f>'Monthly Haver'!D103</f>
        <v>59.674100000000003</v>
      </c>
      <c r="D100" t="e">
        <f>'Monthly Haver'!E103</f>
        <v>#N/A</v>
      </c>
      <c r="E100">
        <f>'Monthly Haver'!G103</f>
        <v>53.894100000000002</v>
      </c>
      <c r="F100">
        <f>'Monthly Haver'!H103</f>
        <v>52.425800000000002</v>
      </c>
      <c r="G100" t="e">
        <f>'Monthly Haver'!I103</f>
        <v>#N/A</v>
      </c>
      <c r="H100">
        <f>'Monthly Haver'!J103</f>
        <v>54.803400000000003</v>
      </c>
      <c r="I100">
        <f>GDS_Monthly!O217</f>
        <v>82.721577144040808</v>
      </c>
      <c r="J100">
        <f>GDS_Monthly!D217</f>
        <v>95.520222312340962</v>
      </c>
      <c r="K100">
        <f>GDS_Monthly!AH217</f>
        <v>858.16954429999998</v>
      </c>
      <c r="L100">
        <f>GDS_Monthly!AI217</f>
        <v>819.22537620000003</v>
      </c>
      <c r="M100">
        <f>GDS_Monthly!N217</f>
        <v>5.6971737092394319</v>
      </c>
      <c r="N100">
        <f>GDS_Monthly!C217</f>
        <v>112.30165892729816</v>
      </c>
      <c r="O100">
        <f>GDS_Monthly!F217</f>
        <v>4.2076149486794279</v>
      </c>
      <c r="P100">
        <f>GDS_Monthly!G217</f>
        <v>4.8119901464473465</v>
      </c>
      <c r="Q100">
        <f>GDS_Monthly!T217</f>
        <v>91.694105841841662</v>
      </c>
      <c r="R100">
        <f>GDS_Monthly!V217</f>
        <v>93.46603078436128</v>
      </c>
      <c r="S100">
        <f>GDS_Monthly!W217</f>
        <v>88.275689522163901</v>
      </c>
      <c r="T100">
        <f>GDS_Monthly!X217</f>
        <v>166.32276122034966</v>
      </c>
      <c r="U100">
        <f>GDS_Monthly!AA217</f>
        <v>98.737041810782529</v>
      </c>
      <c r="V100">
        <f>GDS_Monthly!AC217</f>
        <v>149.53734374422177</v>
      </c>
      <c r="W100">
        <f>GDS_Monthly!AE217</f>
        <v>130.38163877977058</v>
      </c>
      <c r="X100">
        <f>GDS_Monthly!AF217</f>
        <v>103.82292650801969</v>
      </c>
      <c r="Y100">
        <f>OECD!B100</f>
        <v>101.57940000000001</v>
      </c>
      <c r="Z100">
        <f>OECD!C100</f>
        <v>112.98</v>
      </c>
      <c r="AA100">
        <f>'Monthly Haver'!K103</f>
        <v>104.97774</v>
      </c>
      <c r="AB100" s="10">
        <f>'Monthly Haver'!L103</f>
        <v>5123</v>
      </c>
      <c r="AC100" s="8">
        <f>Quarterly!B34</f>
        <v>103.5</v>
      </c>
      <c r="AD100" s="8">
        <f>Quarterly!C34</f>
        <v>105.66</v>
      </c>
      <c r="AE100" s="8">
        <f>Quarterly!D34</f>
        <v>96.126810330997472</v>
      </c>
      <c r="AF100" s="33">
        <v>6.3839834254509444</v>
      </c>
    </row>
    <row r="101" spans="1:32">
      <c r="A101" s="12">
        <v>39173</v>
      </c>
      <c r="B101">
        <f>'Monthly Haver'!C104</f>
        <v>56.213799999999999</v>
      </c>
      <c r="C101">
        <f>'Monthly Haver'!D104</f>
        <v>60.459899999999998</v>
      </c>
      <c r="D101" t="e">
        <f>'Monthly Haver'!E104</f>
        <v>#N/A</v>
      </c>
      <c r="E101">
        <f>'Monthly Haver'!G104</f>
        <v>53.610900000000001</v>
      </c>
      <c r="F101">
        <f>'Monthly Haver'!H104</f>
        <v>53.520299999999999</v>
      </c>
      <c r="G101" t="e">
        <f>'Monthly Haver'!I104</f>
        <v>#N/A</v>
      </c>
      <c r="H101">
        <f>'Monthly Haver'!J104</f>
        <v>56.607199999999999</v>
      </c>
      <c r="I101">
        <f>GDS_Monthly!O218</f>
        <v>82.92492233169807</v>
      </c>
      <c r="J101">
        <f>GDS_Monthly!D218</f>
        <v>95.695600517472528</v>
      </c>
      <c r="K101">
        <f>GDS_Monthly!AH218</f>
        <v>868.29302529999995</v>
      </c>
      <c r="L101">
        <f>GDS_Monthly!AI218</f>
        <v>832.17644080000002</v>
      </c>
      <c r="M101">
        <f>GDS_Monthly!N218</f>
        <v>5.6350994322068804</v>
      </c>
      <c r="N101">
        <f>GDS_Monthly!C218</f>
        <v>111.90078614304518</v>
      </c>
      <c r="O101">
        <f>GDS_Monthly!F218</f>
        <v>4.3493775825083709</v>
      </c>
      <c r="P101">
        <f>GDS_Monthly!G218</f>
        <v>4.8210472048682123</v>
      </c>
      <c r="Q101">
        <f>GDS_Monthly!T218</f>
        <v>91.927032138729686</v>
      </c>
      <c r="R101">
        <f>GDS_Monthly!V218</f>
        <v>93.647945683650789</v>
      </c>
      <c r="S101">
        <f>GDS_Monthly!W218</f>
        <v>92.066142544042066</v>
      </c>
      <c r="T101">
        <f>GDS_Monthly!X218</f>
        <v>183.18135595868421</v>
      </c>
      <c r="U101">
        <f>GDS_Monthly!AA218</f>
        <v>104.3465836174254</v>
      </c>
      <c r="V101">
        <f>GDS_Monthly!AC218</f>
        <v>158.15230786359257</v>
      </c>
      <c r="W101">
        <f>GDS_Monthly!AE218</f>
        <v>138.95886089691314</v>
      </c>
      <c r="X101">
        <f>GDS_Monthly!AF218</f>
        <v>105.82757954181426</v>
      </c>
      <c r="Y101">
        <f>OECD!B101</f>
        <v>101.6194</v>
      </c>
      <c r="Z101">
        <f>OECD!C101</f>
        <v>113.25</v>
      </c>
      <c r="AA101">
        <f>'Monthly Haver'!K104</f>
        <v>103.9773</v>
      </c>
      <c r="AB101" s="10">
        <f>'Monthly Haver'!L104</f>
        <v>5754</v>
      </c>
      <c r="AC101" s="8"/>
      <c r="AD101" s="8"/>
      <c r="AE101" s="8"/>
    </row>
    <row r="102" spans="1:32">
      <c r="A102" s="12">
        <v>39203</v>
      </c>
      <c r="B102">
        <f>'Monthly Haver'!C105</f>
        <v>57.25</v>
      </c>
      <c r="C102">
        <f>'Monthly Haver'!D105</f>
        <v>60.989699999999999</v>
      </c>
      <c r="D102" t="e">
        <f>'Monthly Haver'!E105</f>
        <v>#N/A</v>
      </c>
      <c r="E102">
        <f>'Monthly Haver'!G105</f>
        <v>54.502000000000002</v>
      </c>
      <c r="F102">
        <f>'Monthly Haver'!H105</f>
        <v>53.325800000000001</v>
      </c>
      <c r="G102">
        <f>'Monthly Haver'!I105</f>
        <v>49.158999999999999</v>
      </c>
      <c r="H102">
        <f>'Monthly Haver'!J105</f>
        <v>57.7971</v>
      </c>
      <c r="I102">
        <f>GDS_Monthly!O219</f>
        <v>83.45078329538886</v>
      </c>
      <c r="J102">
        <f>GDS_Monthly!D219</f>
        <v>96.712043510502838</v>
      </c>
      <c r="K102">
        <f>GDS_Monthly!AH219</f>
        <v>880.52975530000003</v>
      </c>
      <c r="L102">
        <f>GDS_Monthly!AI219</f>
        <v>840.40802269999995</v>
      </c>
      <c r="M102">
        <f>GDS_Monthly!N219</f>
        <v>5.5955361943297559</v>
      </c>
      <c r="N102">
        <f>GDS_Monthly!C219</f>
        <v>112.44904237509469</v>
      </c>
      <c r="O102">
        <f>GDS_Monthly!F219</f>
        <v>4.4271388756416075</v>
      </c>
      <c r="P102">
        <f>GDS_Monthly!G219</f>
        <v>4.8432578045498031</v>
      </c>
      <c r="Q102">
        <f>GDS_Monthly!T219</f>
        <v>92.20255431345339</v>
      </c>
      <c r="R102">
        <f>GDS_Monthly!V219</f>
        <v>93.794848301871141</v>
      </c>
      <c r="S102">
        <f>GDS_Monthly!W219</f>
        <v>91.341058902596771</v>
      </c>
      <c r="T102">
        <f>GDS_Monthly!X219</f>
        <v>186.78185060478498</v>
      </c>
      <c r="U102">
        <f>GDS_Monthly!AA219</f>
        <v>104.43034082278045</v>
      </c>
      <c r="V102">
        <f>GDS_Monthly!AC219</f>
        <v>159.03435636698887</v>
      </c>
      <c r="W102">
        <f>GDS_Monthly!AE219</f>
        <v>139.33258266016099</v>
      </c>
      <c r="X102">
        <f>GDS_Monthly!AF219</f>
        <v>107.01553348262834</v>
      </c>
      <c r="Y102">
        <f>OECD!B102</f>
        <v>101.6468</v>
      </c>
      <c r="Z102">
        <f>OECD!C102</f>
        <v>113.72</v>
      </c>
      <c r="AA102">
        <f>'Monthly Haver'!K105</f>
        <v>104.00438</v>
      </c>
      <c r="AB102" s="10">
        <f>'Monthly Haver'!L105</f>
        <v>6402</v>
      </c>
      <c r="AC102" s="8"/>
      <c r="AD102" s="8"/>
      <c r="AE102" s="8"/>
    </row>
    <row r="103" spans="1:32">
      <c r="A103" s="12">
        <v>39234</v>
      </c>
      <c r="B103">
        <f>'Monthly Haver'!C106</f>
        <v>57.8048</v>
      </c>
      <c r="C103">
        <f>'Monthly Haver'!D106</f>
        <v>61.021799999999999</v>
      </c>
      <c r="D103" t="e">
        <f>'Monthly Haver'!E106</f>
        <v>#N/A</v>
      </c>
      <c r="E103">
        <f>'Monthly Haver'!G106</f>
        <v>55.1342</v>
      </c>
      <c r="F103">
        <f>'Monthly Haver'!H106</f>
        <v>53.708199999999998</v>
      </c>
      <c r="G103">
        <f>'Monthly Haver'!I106</f>
        <v>49.289099999999998</v>
      </c>
      <c r="H103">
        <f>'Monthly Haver'!J106</f>
        <v>59.122900000000001</v>
      </c>
      <c r="I103">
        <f>GDS_Monthly!O220</f>
        <v>83.916823551209262</v>
      </c>
      <c r="J103">
        <f>GDS_Monthly!D220</f>
        <v>96.893285057471573</v>
      </c>
      <c r="K103">
        <f>GDS_Monthly!AH220</f>
        <v>882.78914320000001</v>
      </c>
      <c r="L103">
        <f>GDS_Monthly!AI220</f>
        <v>843.00170990000004</v>
      </c>
      <c r="M103">
        <f>GDS_Monthly!N220</f>
        <v>5.5932030021650396</v>
      </c>
      <c r="N103">
        <f>GDS_Monthly!C220</f>
        <v>111.69664441683354</v>
      </c>
      <c r="O103">
        <f>GDS_Monthly!F220</f>
        <v>4.7109483536603269</v>
      </c>
      <c r="P103">
        <f>GDS_Monthly!G220</f>
        <v>4.9083379489207601</v>
      </c>
      <c r="Q103">
        <f>GDS_Monthly!T220</f>
        <v>92.399636222100455</v>
      </c>
      <c r="R103">
        <f>GDS_Monthly!V220</f>
        <v>93.927504542136191</v>
      </c>
      <c r="S103">
        <f>GDS_Monthly!W220</f>
        <v>91.487109167393157</v>
      </c>
      <c r="T103">
        <f>GDS_Monthly!X220</f>
        <v>174.08028732330342</v>
      </c>
      <c r="U103">
        <f>GDS_Monthly!AA220</f>
        <v>101.82614234448695</v>
      </c>
      <c r="V103">
        <f>GDS_Monthly!AC220</f>
        <v>163.88545525698464</v>
      </c>
      <c r="W103">
        <f>GDS_Monthly!AE220</f>
        <v>146.30062105204723</v>
      </c>
      <c r="X103">
        <f>GDS_Monthly!AF220</f>
        <v>103.69822436084831</v>
      </c>
      <c r="Y103">
        <f>OECD!B103</f>
        <v>101.6514</v>
      </c>
      <c r="Z103">
        <f>OECD!C103</f>
        <v>113.7</v>
      </c>
      <c r="AA103">
        <f>'Monthly Haver'!K106</f>
        <v>104.24436</v>
      </c>
      <c r="AB103" s="10">
        <f>'Monthly Haver'!L106</f>
        <v>5772</v>
      </c>
      <c r="AC103" s="8">
        <f>Quarterly!B35</f>
        <v>103.68</v>
      </c>
      <c r="AD103" s="8">
        <f>Quarterly!C35</f>
        <v>105.77</v>
      </c>
      <c r="AE103" s="8">
        <f>Quarterly!D35</f>
        <v>96.938428274753136</v>
      </c>
      <c r="AF103" s="33">
        <v>4.9310156149125079</v>
      </c>
    </row>
    <row r="104" spans="1:32">
      <c r="A104" s="12">
        <v>39264</v>
      </c>
      <c r="B104">
        <f>'Monthly Haver'!C107</f>
        <v>56.453200000000002</v>
      </c>
      <c r="C104">
        <f>'Monthly Haver'!D107</f>
        <v>59.846499999999999</v>
      </c>
      <c r="D104" t="e">
        <f>'Monthly Haver'!E107</f>
        <v>#N/A</v>
      </c>
      <c r="E104">
        <f>'Monthly Haver'!G107</f>
        <v>54.000700000000002</v>
      </c>
      <c r="F104">
        <f>'Monthly Haver'!H107</f>
        <v>52.924799999999998</v>
      </c>
      <c r="G104">
        <f>'Monthly Haver'!I107</f>
        <v>49.281100000000002</v>
      </c>
      <c r="H104">
        <f>'Monthly Haver'!J107</f>
        <v>57.350999999999999</v>
      </c>
      <c r="I104">
        <f>GDS_Monthly!O221</f>
        <v>84.192095552774433</v>
      </c>
      <c r="J104">
        <f>GDS_Monthly!D221</f>
        <v>97.229658741521121</v>
      </c>
      <c r="K104">
        <f>GDS_Monthly!AH221</f>
        <v>906.20332770000005</v>
      </c>
      <c r="L104">
        <f>GDS_Monthly!AI221</f>
        <v>854.4625671</v>
      </c>
      <c r="M104">
        <f>GDS_Monthly!N221</f>
        <v>5.5398856263261171</v>
      </c>
      <c r="N104">
        <f>GDS_Monthly!C221</f>
        <v>112.90419884748414</v>
      </c>
      <c r="O104">
        <f>GDS_Monthly!F221</f>
        <v>4.6692745295833742</v>
      </c>
      <c r="P104">
        <f>GDS_Monthly!G221</f>
        <v>4.9281399056103012</v>
      </c>
      <c r="Q104">
        <f>GDS_Monthly!T221</f>
        <v>92.621819546631073</v>
      </c>
      <c r="R104">
        <f>GDS_Monthly!V221</f>
        <v>94.063951774223611</v>
      </c>
      <c r="S104">
        <f>GDS_Monthly!W221</f>
        <v>93.301805424902824</v>
      </c>
      <c r="T104">
        <f>GDS_Monthly!X221</f>
        <v>167.72079292029107</v>
      </c>
      <c r="U104">
        <f>GDS_Monthly!AA221</f>
        <v>101.55973331560905</v>
      </c>
      <c r="V104">
        <f>GDS_Monthly!AC221</f>
        <v>170.44185299585908</v>
      </c>
      <c r="W104">
        <f>GDS_Monthly!AE221</f>
        <v>155.93769856499785</v>
      </c>
      <c r="X104">
        <f>GDS_Monthly!AF221</f>
        <v>102.02420684882102</v>
      </c>
      <c r="Y104">
        <f>OECD!B104</f>
        <v>101.6263</v>
      </c>
      <c r="Z104">
        <f>OECD!C104</f>
        <v>113.58</v>
      </c>
      <c r="AA104">
        <f>'Monthly Haver'!K107</f>
        <v>103.2842</v>
      </c>
      <c r="AB104" s="10">
        <f>'Monthly Haver'!L107</f>
        <v>6572</v>
      </c>
      <c r="AC104" s="8"/>
      <c r="AD104" s="8"/>
      <c r="AE104" s="8"/>
    </row>
    <row r="105" spans="1:32">
      <c r="A105" s="12">
        <v>39295</v>
      </c>
      <c r="B105">
        <f>'Monthly Haver'!C108</f>
        <v>56.924999999999997</v>
      </c>
      <c r="C105">
        <f>'Monthly Haver'!D108</f>
        <v>59.626199999999997</v>
      </c>
      <c r="D105" t="e">
        <f>'Monthly Haver'!E108</f>
        <v>#N/A</v>
      </c>
      <c r="E105">
        <f>'Monthly Haver'!G108</f>
        <v>52.851100000000002</v>
      </c>
      <c r="F105">
        <f>'Monthly Haver'!H108</f>
        <v>52.603900000000003</v>
      </c>
      <c r="G105">
        <f>'Monthly Haver'!I108</f>
        <v>47.933500000000002</v>
      </c>
      <c r="H105">
        <f>'Monthly Haver'!J108</f>
        <v>56.527200000000001</v>
      </c>
      <c r="I105">
        <f>GDS_Monthly!O222</f>
        <v>84.801623614202512</v>
      </c>
      <c r="J105">
        <f>GDS_Monthly!D222</f>
        <v>97.987320199794354</v>
      </c>
      <c r="K105">
        <f>GDS_Monthly!AH222</f>
        <v>908.30417120000004</v>
      </c>
      <c r="L105">
        <f>GDS_Monthly!AI222</f>
        <v>869.16313300000002</v>
      </c>
      <c r="M105">
        <f>GDS_Monthly!N222</f>
        <v>5.5183025484653081</v>
      </c>
      <c r="N105">
        <f>GDS_Monthly!C222</f>
        <v>111.42202170440189</v>
      </c>
      <c r="O105">
        <f>GDS_Monthly!F222</f>
        <v>4.4442537782409293</v>
      </c>
      <c r="P105">
        <f>GDS_Monthly!G222</f>
        <v>4.9597585967434217</v>
      </c>
      <c r="Q105">
        <f>GDS_Monthly!T222</f>
        <v>92.80911470524012</v>
      </c>
      <c r="R105">
        <f>GDS_Monthly!V222</f>
        <v>94.230705085767184</v>
      </c>
      <c r="S105">
        <f>GDS_Monthly!W222</f>
        <v>92.760099418417028</v>
      </c>
      <c r="T105">
        <f>GDS_Monthly!X222</f>
        <v>152.09913826163279</v>
      </c>
      <c r="U105">
        <f>GDS_Monthly!AA222</f>
        <v>97.828270610738812</v>
      </c>
      <c r="V105">
        <f>GDS_Monthly!AC222</f>
        <v>165.40121925094897</v>
      </c>
      <c r="W105">
        <f>GDS_Monthly!AE222</f>
        <v>148.69930330750398</v>
      </c>
      <c r="X105">
        <f>GDS_Monthly!AF222</f>
        <v>97.650054098002215</v>
      </c>
      <c r="Y105">
        <f>OECD!B105</f>
        <v>101.5697</v>
      </c>
      <c r="Z105">
        <f>OECD!C105</f>
        <v>112.5</v>
      </c>
      <c r="AA105">
        <f>'Monthly Haver'!K108</f>
        <v>102.35413</v>
      </c>
      <c r="AB105" s="10">
        <f>'Monthly Haver'!L108</f>
        <v>7195</v>
      </c>
      <c r="AC105" s="8"/>
      <c r="AD105" s="8"/>
      <c r="AE105" s="8"/>
    </row>
    <row r="106" spans="1:32">
      <c r="A106" s="12">
        <v>39326</v>
      </c>
      <c r="B106">
        <f>'Monthly Haver'!C109</f>
        <v>53.939900000000002</v>
      </c>
      <c r="C106">
        <f>'Monthly Haver'!D109</f>
        <v>61.680799999999998</v>
      </c>
      <c r="D106" t="e">
        <f>'Monthly Haver'!E109</f>
        <v>#N/A</v>
      </c>
      <c r="E106">
        <f>'Monthly Haver'!G109</f>
        <v>54.261899999999997</v>
      </c>
      <c r="F106">
        <f>'Monthly Haver'!H109</f>
        <v>52.684100000000001</v>
      </c>
      <c r="G106">
        <f>'Monthly Haver'!I109</f>
        <v>48.400399999999998</v>
      </c>
      <c r="H106">
        <f>'Monthly Haver'!J109</f>
        <v>53.949599999999997</v>
      </c>
      <c r="I106">
        <f>GDS_Monthly!O223</f>
        <v>85.519675494318108</v>
      </c>
      <c r="J106">
        <f>GDS_Monthly!D223</f>
        <v>97.795183129428693</v>
      </c>
      <c r="K106">
        <f>GDS_Monthly!AH223</f>
        <v>909.16404809999995</v>
      </c>
      <c r="L106">
        <f>GDS_Monthly!AI223</f>
        <v>873.24408600000004</v>
      </c>
      <c r="M106">
        <f>GDS_Monthly!N223</f>
        <v>5.4972939310032851</v>
      </c>
      <c r="N106">
        <f>GDS_Monthly!C223</f>
        <v>110.09079670766531</v>
      </c>
      <c r="O106">
        <f>GDS_Monthly!F223</f>
        <v>4.356434146753509</v>
      </c>
      <c r="P106">
        <f>GDS_Monthly!G223</f>
        <v>4.8307419394878144</v>
      </c>
      <c r="Q106">
        <f>GDS_Monthly!T223</f>
        <v>93.119824634198139</v>
      </c>
      <c r="R106">
        <f>GDS_Monthly!V223</f>
        <v>94.389163235103808</v>
      </c>
      <c r="S106">
        <f>GDS_Monthly!W223</f>
        <v>96.640299665692027</v>
      </c>
      <c r="T106">
        <f>GDS_Monthly!X223</f>
        <v>150.84393579745043</v>
      </c>
      <c r="U106">
        <f>GDS_Monthly!AA223</f>
        <v>100.89315342409172</v>
      </c>
      <c r="V106">
        <f>GDS_Monthly!AC223</f>
        <v>176.46862695554546</v>
      </c>
      <c r="W106">
        <f>GDS_Monthly!AE223</f>
        <v>161.05692296456365</v>
      </c>
      <c r="X106">
        <f>GDS_Monthly!AF223</f>
        <v>103.79787513809367</v>
      </c>
      <c r="Y106">
        <f>OECD!B106</f>
        <v>101.49250000000001</v>
      </c>
      <c r="Z106">
        <f>OECD!C106</f>
        <v>112.47</v>
      </c>
      <c r="AA106">
        <f>'Monthly Haver'!K109</f>
        <v>101.04508</v>
      </c>
      <c r="AB106" s="10">
        <f>'Monthly Haver'!L109</f>
        <v>8574</v>
      </c>
      <c r="AC106" s="8">
        <f>Quarterly!B36</f>
        <v>103.66</v>
      </c>
      <c r="AD106" s="8">
        <f>Quarterly!C36</f>
        <v>105.41</v>
      </c>
      <c r="AE106" s="8">
        <f>Quarterly!D36</f>
        <v>97.576208447929048</v>
      </c>
      <c r="AF106" s="33">
        <v>3.9829937795524146</v>
      </c>
    </row>
    <row r="107" spans="1:32">
      <c r="A107" s="12">
        <v>39356</v>
      </c>
      <c r="B107">
        <f>'Monthly Haver'!C110</f>
        <v>55.133000000000003</v>
      </c>
      <c r="C107">
        <f>'Monthly Haver'!D110</f>
        <v>62.557000000000002</v>
      </c>
      <c r="D107" t="e">
        <f>'Monthly Haver'!E110</f>
        <v>#N/A</v>
      </c>
      <c r="E107">
        <f>'Monthly Haver'!G110</f>
        <v>54.343200000000003</v>
      </c>
      <c r="F107">
        <f>'Monthly Haver'!H110</f>
        <v>52.340200000000003</v>
      </c>
      <c r="G107">
        <f>'Monthly Haver'!I110</f>
        <v>48.161499999999997</v>
      </c>
      <c r="H107">
        <f>'Monthly Haver'!J110</f>
        <v>54.342300000000002</v>
      </c>
      <c r="I107">
        <f>GDS_Monthly!O224</f>
        <v>86.325316859920491</v>
      </c>
      <c r="J107">
        <f>GDS_Monthly!D224</f>
        <v>98.766980725624222</v>
      </c>
      <c r="K107">
        <f>GDS_Monthly!AH224</f>
        <v>956.27516149999997</v>
      </c>
      <c r="L107">
        <f>GDS_Monthly!AI224</f>
        <v>913.4647344</v>
      </c>
      <c r="M107">
        <f>GDS_Monthly!N224</f>
        <v>5.4546201096861529</v>
      </c>
      <c r="N107">
        <f>GDS_Monthly!C224</f>
        <v>109.1926029813896</v>
      </c>
      <c r="O107">
        <f>GDS_Monthly!F224</f>
        <v>4.2960386686097154</v>
      </c>
      <c r="P107">
        <f>GDS_Monthly!G224</f>
        <v>4.7677201007736825</v>
      </c>
      <c r="Q107">
        <f>GDS_Monthly!T224</f>
        <v>93.503434863683239</v>
      </c>
      <c r="R107">
        <f>GDS_Monthly!V224</f>
        <v>94.598275848585985</v>
      </c>
      <c r="S107">
        <f>GDS_Monthly!W224</f>
        <v>99.50507120497798</v>
      </c>
      <c r="T107">
        <f>GDS_Monthly!X224</f>
        <v>155.76006856199734</v>
      </c>
      <c r="U107">
        <f>GDS_Monthly!AA224</f>
        <v>104.18451079937019</v>
      </c>
      <c r="V107">
        <f>GDS_Monthly!AC224</f>
        <v>190.30981856727198</v>
      </c>
      <c r="W107">
        <f>GDS_Monthly!AE224</f>
        <v>170.5095510315692</v>
      </c>
      <c r="X107">
        <f>GDS_Monthly!AF224</f>
        <v>103.91533407050261</v>
      </c>
      <c r="Y107">
        <f>OECD!B107</f>
        <v>101.4054</v>
      </c>
      <c r="Z107">
        <f>OECD!C107</f>
        <v>112</v>
      </c>
      <c r="AA107">
        <f>'Monthly Haver'!K110</f>
        <v>99.582790000000003</v>
      </c>
      <c r="AB107" s="10">
        <f>'Monthly Haver'!L110</f>
        <v>10426</v>
      </c>
      <c r="AC107" s="8"/>
      <c r="AD107" s="8"/>
      <c r="AE107" s="8"/>
    </row>
    <row r="108" spans="1:32">
      <c r="A108" s="12">
        <v>39387</v>
      </c>
      <c r="B108">
        <f>'Monthly Haver'!C111</f>
        <v>53.542499999999997</v>
      </c>
      <c r="C108">
        <f>'Monthly Haver'!D111</f>
        <v>66.3279</v>
      </c>
      <c r="D108" t="e">
        <f>'Monthly Haver'!E111</f>
        <v>#N/A</v>
      </c>
      <c r="E108">
        <f>'Monthly Haver'!G111</f>
        <v>53.545999999999999</v>
      </c>
      <c r="F108">
        <f>'Monthly Haver'!H111</f>
        <v>52.352899999999998</v>
      </c>
      <c r="G108">
        <f>'Monthly Haver'!I111</f>
        <v>48.488999999999997</v>
      </c>
      <c r="H108">
        <f>'Monthly Haver'!J111</f>
        <v>54.428100000000001</v>
      </c>
      <c r="I108">
        <f>GDS_Monthly!O225</f>
        <v>87.834192341331757</v>
      </c>
      <c r="J108">
        <f>GDS_Monthly!D225</f>
        <v>99.239978571893474</v>
      </c>
      <c r="K108">
        <f>GDS_Monthly!AH225</f>
        <v>988.2862781</v>
      </c>
      <c r="L108">
        <f>GDS_Monthly!AI225</f>
        <v>944.1957281</v>
      </c>
      <c r="M108">
        <f>GDS_Monthly!N225</f>
        <v>5.3997822480705198</v>
      </c>
      <c r="N108">
        <f>GDS_Monthly!C225</f>
        <v>107.16528663605659</v>
      </c>
      <c r="O108">
        <f>GDS_Monthly!F225</f>
        <v>4.1676548391699226</v>
      </c>
      <c r="P108">
        <f>GDS_Monthly!G225</f>
        <v>4.7719541329355915</v>
      </c>
      <c r="Q108">
        <f>GDS_Monthly!T225</f>
        <v>94.108312319552226</v>
      </c>
      <c r="R108">
        <f>GDS_Monthly!V225</f>
        <v>94.826780805017194</v>
      </c>
      <c r="S108">
        <f>GDS_Monthly!W225</f>
        <v>100.73945632078933</v>
      </c>
      <c r="T108">
        <f>GDS_Monthly!X225</f>
        <v>149.16057138867961</v>
      </c>
      <c r="U108">
        <f>GDS_Monthly!AA225</f>
        <v>104.92802678075215</v>
      </c>
      <c r="V108">
        <f>GDS_Monthly!AC225</f>
        <v>209.49830155318338</v>
      </c>
      <c r="W108">
        <f>GDS_Monthly!AE225</f>
        <v>186.78790244265022</v>
      </c>
      <c r="X108">
        <f>GDS_Monthly!AF225</f>
        <v>106.93441211700718</v>
      </c>
      <c r="Y108">
        <f>OECD!B108</f>
        <v>101.30840000000001</v>
      </c>
      <c r="Z108">
        <f>OECD!C108</f>
        <v>111.49</v>
      </c>
      <c r="AA108">
        <f>'Monthly Haver'!K111</f>
        <v>99.743589999999998</v>
      </c>
      <c r="AB108" s="10">
        <f>'Monthly Haver'!L111</f>
        <v>10543</v>
      </c>
      <c r="AC108" s="8"/>
      <c r="AD108" s="8"/>
      <c r="AE108" s="8"/>
    </row>
    <row r="109" spans="1:32">
      <c r="A109" s="12">
        <v>39417</v>
      </c>
      <c r="B109">
        <f>'Monthly Haver'!C112</f>
        <v>52.851700000000001</v>
      </c>
      <c r="C109">
        <f>'Monthly Haver'!D112</f>
        <v>66.031199999999998</v>
      </c>
      <c r="D109" t="e">
        <f>'Monthly Haver'!E112</f>
        <v>#N/A</v>
      </c>
      <c r="E109">
        <f>'Monthly Haver'!G112</f>
        <v>53.4801</v>
      </c>
      <c r="F109">
        <f>'Monthly Haver'!H112</f>
        <v>51.967100000000002</v>
      </c>
      <c r="G109">
        <f>'Monthly Haver'!I112</f>
        <v>48.086100000000002</v>
      </c>
      <c r="H109">
        <f>'Monthly Haver'!J112</f>
        <v>53.190300000000001</v>
      </c>
      <c r="I109">
        <f>GDS_Monthly!O226</f>
        <v>87.832924337337943</v>
      </c>
      <c r="J109">
        <f>GDS_Monthly!D226</f>
        <v>99.592958052380126</v>
      </c>
      <c r="K109">
        <f>GDS_Monthly!AH226</f>
        <v>984.94349509999995</v>
      </c>
      <c r="L109">
        <f>GDS_Monthly!AI226</f>
        <v>930.08431859999996</v>
      </c>
      <c r="M109">
        <f>GDS_Monthly!N226</f>
        <v>5.4050026232396053</v>
      </c>
      <c r="N109">
        <f>GDS_Monthly!C226</f>
        <v>107.80136352689595</v>
      </c>
      <c r="O109">
        <f>GDS_Monthly!F226</f>
        <v>4.1949543557866695</v>
      </c>
      <c r="P109">
        <f>GDS_Monthly!G226</f>
        <v>4.6805401332924736</v>
      </c>
      <c r="Q109">
        <f>GDS_Monthly!T226</f>
        <v>94.434255995035727</v>
      </c>
      <c r="R109">
        <f>GDS_Monthly!V226</f>
        <v>95.057042507754886</v>
      </c>
      <c r="S109">
        <f>GDS_Monthly!W226</f>
        <v>105.86602389084958</v>
      </c>
      <c r="T109">
        <f>GDS_Monthly!X226</f>
        <v>139.15181692825504</v>
      </c>
      <c r="U109">
        <f>GDS_Monthly!AA226</f>
        <v>105.86023120465512</v>
      </c>
      <c r="V109">
        <f>GDS_Monthly!AC226</f>
        <v>208.06905036631323</v>
      </c>
      <c r="W109">
        <f>GDS_Monthly!AE226</f>
        <v>184.76266474672263</v>
      </c>
      <c r="X109">
        <f>GDS_Monthly!AF226</f>
        <v>106.23043932972784</v>
      </c>
      <c r="Y109">
        <f>OECD!B109</f>
        <v>101.2028</v>
      </c>
      <c r="Z109">
        <f>OECD!C109</f>
        <v>110.37</v>
      </c>
      <c r="AA109">
        <f>'Monthly Haver'!K112</f>
        <v>99.654210000000006</v>
      </c>
      <c r="AB109" s="10">
        <f>'Monthly Haver'!L112</f>
        <v>9854</v>
      </c>
      <c r="AC109" s="8">
        <f>Quarterly!B37</f>
        <v>103.65</v>
      </c>
      <c r="AD109" s="8">
        <f>Quarterly!C37</f>
        <v>104.83</v>
      </c>
      <c r="AE109" s="8">
        <f>Quarterly!D37</f>
        <v>98.546321423208795</v>
      </c>
      <c r="AF109" s="33">
        <v>6.2649672606026776</v>
      </c>
    </row>
    <row r="110" spans="1:32">
      <c r="A110" s="12">
        <v>39448</v>
      </c>
      <c r="B110">
        <f>'Monthly Haver'!C113</f>
        <v>49.251300000000001</v>
      </c>
      <c r="C110">
        <f>'Monthly Haver'!D113</f>
        <v>65.897499999999994</v>
      </c>
      <c r="D110" t="e">
        <f>'Monthly Haver'!E113</f>
        <v>#N/A</v>
      </c>
      <c r="E110">
        <f>'Monthly Haver'!G113</f>
        <v>50.909100000000002</v>
      </c>
      <c r="F110">
        <f>'Monthly Haver'!H113</f>
        <v>52.1113</v>
      </c>
      <c r="G110">
        <f>'Monthly Haver'!I113</f>
        <v>47.884999999999998</v>
      </c>
      <c r="H110">
        <f>'Monthly Haver'!J113</f>
        <v>47.07</v>
      </c>
      <c r="I110">
        <f>GDS_Monthly!O227</f>
        <v>89.025729961806746</v>
      </c>
      <c r="J110">
        <f>GDS_Monthly!D227</f>
        <v>100.48185180047575</v>
      </c>
      <c r="K110">
        <f>GDS_Monthly!AH227</f>
        <v>1041.7425522000001</v>
      </c>
      <c r="L110">
        <f>GDS_Monthly!AI227</f>
        <v>986.69502829999999</v>
      </c>
      <c r="M110">
        <f>GDS_Monthly!N227</f>
        <v>5.4245431417496466</v>
      </c>
      <c r="N110">
        <f>GDS_Monthly!C227</f>
        <v>106.5484008361869</v>
      </c>
      <c r="O110">
        <f>GDS_Monthly!F227</f>
        <v>4.0050805767857822</v>
      </c>
      <c r="P110">
        <f>GDS_Monthly!G227</f>
        <v>4.4453917025044865</v>
      </c>
      <c r="Q110">
        <f>GDS_Monthly!T227</f>
        <v>94.76407019421498</v>
      </c>
      <c r="R110">
        <f>GDS_Monthly!V227</f>
        <v>95.270565286858442</v>
      </c>
      <c r="S110">
        <f>GDS_Monthly!W227</f>
        <v>108.70679203024839</v>
      </c>
      <c r="T110">
        <f>GDS_Monthly!X227</f>
        <v>156.90459660640425</v>
      </c>
      <c r="U110">
        <f>GDS_Monthly!AA227</f>
        <v>112.77809454887336</v>
      </c>
      <c r="V110">
        <f>GDS_Monthly!AC227</f>
        <v>214.72114713596352</v>
      </c>
      <c r="W110">
        <f>GDS_Monthly!AE227</f>
        <v>185.81828713855029</v>
      </c>
      <c r="X110">
        <f>GDS_Monthly!AF227</f>
        <v>110.46637390068403</v>
      </c>
      <c r="Y110">
        <f>OECD!B110</f>
        <v>101.0804</v>
      </c>
      <c r="Z110">
        <f>OECD!C110</f>
        <v>108.92</v>
      </c>
      <c r="AA110">
        <f>'Monthly Haver'!K113</f>
        <v>99.137500000000003</v>
      </c>
      <c r="AB110" s="10">
        <f>'Monthly Haver'!L113</f>
        <v>7170</v>
      </c>
      <c r="AC110" s="8"/>
      <c r="AD110" s="8"/>
      <c r="AE110" s="8"/>
    </row>
    <row r="111" spans="1:32">
      <c r="A111" s="12">
        <v>39479</v>
      </c>
      <c r="B111">
        <f>'Monthly Haver'!C114</f>
        <v>51.509599999999999</v>
      </c>
      <c r="C111">
        <f>'Monthly Haver'!D114</f>
        <v>64.615600000000001</v>
      </c>
      <c r="D111" t="e">
        <f>'Monthly Haver'!E114</f>
        <v>#N/A</v>
      </c>
      <c r="E111">
        <f>'Monthly Haver'!G114</f>
        <v>51.020499999999998</v>
      </c>
      <c r="F111">
        <f>'Monthly Haver'!H114</f>
        <v>50.7361</v>
      </c>
      <c r="G111">
        <f>'Monthly Haver'!I114</f>
        <v>49.334099999999999</v>
      </c>
      <c r="H111">
        <f>'Monthly Haver'!J114</f>
        <v>51.912999999999997</v>
      </c>
      <c r="I111">
        <f>GDS_Monthly!O228</f>
        <v>89.80217597368366</v>
      </c>
      <c r="J111">
        <f>GDS_Monthly!D228</f>
        <v>100.77826420401507</v>
      </c>
      <c r="K111">
        <f>GDS_Monthly!AH228</f>
        <v>1057.5434415</v>
      </c>
      <c r="L111">
        <f>GDS_Monthly!AI228</f>
        <v>999.61042750000001</v>
      </c>
      <c r="M111">
        <f>GDS_Monthly!N228</f>
        <v>5.4436853793266105</v>
      </c>
      <c r="N111">
        <f>GDS_Monthly!C228</f>
        <v>103.87594523232305</v>
      </c>
      <c r="O111">
        <f>GDS_Monthly!F228</f>
        <v>3.9020767063189514</v>
      </c>
      <c r="P111">
        <f>GDS_Monthly!G228</f>
        <v>4.4468506729051471</v>
      </c>
      <c r="Q111">
        <f>GDS_Monthly!T228</f>
        <v>95.155008636149873</v>
      </c>
      <c r="R111">
        <f>GDS_Monthly!V228</f>
        <v>95.441502836701972</v>
      </c>
      <c r="S111">
        <f>GDS_Monthly!W228</f>
        <v>113.95282459371958</v>
      </c>
      <c r="T111">
        <f>GDS_Monthly!X228</f>
        <v>165.5143281829738</v>
      </c>
      <c r="U111">
        <f>GDS_Monthly!AA228</f>
        <v>119.00575175617878</v>
      </c>
      <c r="V111">
        <f>GDS_Monthly!AC228</f>
        <v>222.64527356096184</v>
      </c>
      <c r="W111">
        <f>GDS_Monthly!AE228</f>
        <v>190.64607823870915</v>
      </c>
      <c r="X111">
        <f>GDS_Monthly!AF228</f>
        <v>113.31529977771649</v>
      </c>
      <c r="Y111">
        <f>OECD!B111</f>
        <v>100.9211</v>
      </c>
      <c r="Z111">
        <f>OECD!C111</f>
        <v>107.63</v>
      </c>
      <c r="AA111">
        <f>'Monthly Haver'!K114</f>
        <v>98.845200000000006</v>
      </c>
      <c r="AB111" s="10">
        <f>'Monthly Haver'!L114</f>
        <v>6874</v>
      </c>
      <c r="AC111" s="8"/>
      <c r="AD111" s="8"/>
      <c r="AE111" s="8"/>
    </row>
    <row r="112" spans="1:32">
      <c r="A112" s="12">
        <v>39508</v>
      </c>
      <c r="B112">
        <f>'Monthly Haver'!C115</f>
        <v>50.926400000000001</v>
      </c>
      <c r="C112">
        <f>'Monthly Haver'!D115</f>
        <v>66.756299999999996</v>
      </c>
      <c r="D112" t="e">
        <f>'Monthly Haver'!E115</f>
        <v>#N/A</v>
      </c>
      <c r="E112">
        <f>'Monthly Haver'!G115</f>
        <v>51.279000000000003</v>
      </c>
      <c r="F112">
        <f>'Monthly Haver'!H115</f>
        <v>50.621200000000002</v>
      </c>
      <c r="G112">
        <f>'Monthly Haver'!I115</f>
        <v>49.276400000000002</v>
      </c>
      <c r="H112">
        <f>'Monthly Haver'!J115</f>
        <v>51.481200000000001</v>
      </c>
      <c r="I112">
        <f>GDS_Monthly!O229</f>
        <v>89.713353161771465</v>
      </c>
      <c r="J112">
        <f>GDS_Monthly!D229</f>
        <v>100.20282407170266</v>
      </c>
      <c r="K112">
        <f>GDS_Monthly!AH229</f>
        <v>1056.0461558</v>
      </c>
      <c r="L112">
        <f>GDS_Monthly!AI229</f>
        <v>993.06371160000003</v>
      </c>
      <c r="M112">
        <f>GDS_Monthly!N229</f>
        <v>5.4091852774342479</v>
      </c>
      <c r="N112">
        <f>GDS_Monthly!C229</f>
        <v>101.68546419296588</v>
      </c>
      <c r="O112">
        <f>GDS_Monthly!F229</f>
        <v>3.8611127006893349</v>
      </c>
      <c r="P112">
        <f>GDS_Monthly!G229</f>
        <v>4.2338797479717085</v>
      </c>
      <c r="Q112">
        <f>GDS_Monthly!T229</f>
        <v>95.517600110023309</v>
      </c>
      <c r="R112">
        <f>GDS_Monthly!V229</f>
        <v>95.690418870744026</v>
      </c>
      <c r="S112">
        <f>GDS_Monthly!W229</f>
        <v>119.45768525581845</v>
      </c>
      <c r="T112">
        <f>GDS_Monthly!X229</f>
        <v>174.41412631365205</v>
      </c>
      <c r="U112">
        <f>GDS_Monthly!AA229</f>
        <v>124.71585537645734</v>
      </c>
      <c r="V112">
        <f>GDS_Monthly!AC229</f>
        <v>238.87929169366538</v>
      </c>
      <c r="W112">
        <f>GDS_Monthly!AE229</f>
        <v>202.0515107810248</v>
      </c>
      <c r="X112">
        <f>GDS_Monthly!AF229</f>
        <v>114.99088691549456</v>
      </c>
      <c r="Y112">
        <f>OECD!B112</f>
        <v>100.71810000000001</v>
      </c>
      <c r="Z112">
        <f>OECD!C112</f>
        <v>106.46</v>
      </c>
      <c r="AA112">
        <f>'Monthly Haver'!K115</f>
        <v>98.209339999999997</v>
      </c>
      <c r="AB112" s="10">
        <f>'Monthly Haver'!L115</f>
        <v>8063</v>
      </c>
      <c r="AC112" s="8">
        <f>Quarterly!B38</f>
        <v>103.83</v>
      </c>
      <c r="AD112" s="8">
        <f>Quarterly!C38</f>
        <v>103.96</v>
      </c>
      <c r="AE112" s="8">
        <f>Quarterly!D38</f>
        <v>98.958675847879761</v>
      </c>
      <c r="AF112" s="33">
        <v>3.3572284817453424</v>
      </c>
    </row>
    <row r="113" spans="1:32">
      <c r="A113" s="12">
        <v>39539</v>
      </c>
      <c r="B113">
        <f>'Monthly Haver'!C116</f>
        <v>50.9574</v>
      </c>
      <c r="C113">
        <f>'Monthly Haver'!D116</f>
        <v>67.160700000000006</v>
      </c>
      <c r="D113" t="e">
        <f>'Monthly Haver'!E116</f>
        <v>#N/A</v>
      </c>
      <c r="E113">
        <f>'Monthly Haver'!G116</f>
        <v>52.232100000000003</v>
      </c>
      <c r="F113">
        <f>'Monthly Haver'!H116</f>
        <v>50.121000000000002</v>
      </c>
      <c r="G113">
        <f>'Monthly Haver'!I116</f>
        <v>48.128</v>
      </c>
      <c r="H113">
        <f>'Monthly Haver'!J116</f>
        <v>51.211399999999998</v>
      </c>
      <c r="I113">
        <f>GDS_Monthly!O230</f>
        <v>90.689780699170612</v>
      </c>
      <c r="J113">
        <f>GDS_Monthly!D230</f>
        <v>100.73675432144013</v>
      </c>
      <c r="K113">
        <f>GDS_Monthly!AH230</f>
        <v>1097.7950883000001</v>
      </c>
      <c r="L113">
        <f>GDS_Monthly!AI230</f>
        <v>1037.6568539</v>
      </c>
      <c r="M113">
        <f>GDS_Monthly!N230</f>
        <v>5.3921916672269745</v>
      </c>
      <c r="N113">
        <f>GDS_Monthly!C230</f>
        <v>100.39988833093972</v>
      </c>
      <c r="O113">
        <f>GDS_Monthly!F230</f>
        <v>4.0227934066998055</v>
      </c>
      <c r="P113">
        <f>GDS_Monthly!G230</f>
        <v>4.1631361374892881</v>
      </c>
      <c r="Q113">
        <f>GDS_Monthly!T230</f>
        <v>95.818147300249052</v>
      </c>
      <c r="R113">
        <f>GDS_Monthly!V230</f>
        <v>95.904298904116331</v>
      </c>
      <c r="S113">
        <f>GDS_Monthly!W230</f>
        <v>119.81865853867414</v>
      </c>
      <c r="T113">
        <f>GDS_Monthly!X230</f>
        <v>171.54232437222663</v>
      </c>
      <c r="U113">
        <f>GDS_Monthly!AA230</f>
        <v>123.9777133281454</v>
      </c>
      <c r="V113">
        <f>GDS_Monthly!AC230</f>
        <v>255.73600215522015</v>
      </c>
      <c r="W113">
        <f>GDS_Monthly!AE230</f>
        <v>215.49662091567711</v>
      </c>
      <c r="X113">
        <f>GDS_Monthly!AF230</f>
        <v>114.39744973533264</v>
      </c>
      <c r="Y113">
        <f>OECD!B113</f>
        <v>100.4662</v>
      </c>
      <c r="Z113">
        <f>OECD!C113</f>
        <v>106.05</v>
      </c>
      <c r="AA113">
        <f>'Monthly Haver'!K116</f>
        <v>97.912700000000001</v>
      </c>
      <c r="AB113" s="10">
        <f>'Monthly Haver'!L116</f>
        <v>8287</v>
      </c>
      <c r="AC113" s="8"/>
      <c r="AD113" s="8"/>
      <c r="AE113" s="8"/>
    </row>
    <row r="114" spans="1:32">
      <c r="A114" s="12">
        <v>39569</v>
      </c>
      <c r="B114">
        <f>'Monthly Haver'!C117</f>
        <v>51.768700000000003</v>
      </c>
      <c r="C114">
        <f>'Monthly Haver'!D117</f>
        <v>68.770099999999999</v>
      </c>
      <c r="D114" t="e">
        <f>'Monthly Haver'!E117</f>
        <v>#N/A</v>
      </c>
      <c r="E114">
        <f>'Monthly Haver'!G117</f>
        <v>50.6937</v>
      </c>
      <c r="F114">
        <f>'Monthly Haver'!H117</f>
        <v>49.976999999999997</v>
      </c>
      <c r="G114">
        <f>'Monthly Haver'!I117</f>
        <v>48.384399999999999</v>
      </c>
      <c r="H114">
        <f>'Monthly Haver'!J117</f>
        <v>51.762599999999999</v>
      </c>
      <c r="I114">
        <f>GDS_Monthly!O231</f>
        <v>91.616053048491182</v>
      </c>
      <c r="J114">
        <f>GDS_Monthly!D231</f>
        <v>99.996543687287982</v>
      </c>
      <c r="K114">
        <f>GDS_Monthly!AH231</f>
        <v>1101.3247885999999</v>
      </c>
      <c r="L114">
        <f>GDS_Monthly!AI231</f>
        <v>1042.0112773000001</v>
      </c>
      <c r="M114">
        <f>GDS_Monthly!N231</f>
        <v>5.4031302735557771</v>
      </c>
      <c r="N114">
        <f>GDS_Monthly!C231</f>
        <v>98.978805605568425</v>
      </c>
      <c r="O114">
        <f>GDS_Monthly!F231</f>
        <v>4.120459719514499</v>
      </c>
      <c r="P114">
        <f>GDS_Monthly!G231</f>
        <v>4.1820835423722347</v>
      </c>
      <c r="Q114">
        <f>GDS_Monthly!T231</f>
        <v>96.360438502041788</v>
      </c>
      <c r="R114">
        <f>GDS_Monthly!V231</f>
        <v>96.119524823824747</v>
      </c>
      <c r="S114">
        <f>GDS_Monthly!W231</f>
        <v>122.03133872741347</v>
      </c>
      <c r="T114">
        <f>GDS_Monthly!X231</f>
        <v>162.70378335905724</v>
      </c>
      <c r="U114">
        <f>GDS_Monthly!AA231</f>
        <v>124.87029972988084</v>
      </c>
      <c r="V114">
        <f>GDS_Monthly!AC231</f>
        <v>283.93702493243239</v>
      </c>
      <c r="W114">
        <f>GDS_Monthly!AE231</f>
        <v>245.10425777964733</v>
      </c>
      <c r="X114">
        <f>GDS_Monthly!AF231</f>
        <v>116.57964881105259</v>
      </c>
      <c r="Y114">
        <f>OECD!B114</f>
        <v>100.154</v>
      </c>
      <c r="Z114">
        <f>OECD!C114</f>
        <v>105.69</v>
      </c>
      <c r="AA114">
        <f>'Monthly Haver'!K117</f>
        <v>100.09099999999999</v>
      </c>
      <c r="AB114" s="10">
        <f>'Monthly Haver'!L117</f>
        <v>10844</v>
      </c>
      <c r="AC114" s="8"/>
      <c r="AD114" s="8"/>
      <c r="AE114" s="8"/>
    </row>
    <row r="115" spans="1:32">
      <c r="A115" s="12">
        <v>39600</v>
      </c>
      <c r="B115">
        <f>'Monthly Haver'!C118</f>
        <v>49.1768</v>
      </c>
      <c r="C115">
        <f>'Monthly Haver'!D118</f>
        <v>71.985699999999994</v>
      </c>
      <c r="D115" t="e">
        <f>'Monthly Haver'!E118</f>
        <v>#N/A</v>
      </c>
      <c r="E115">
        <f>'Monthly Haver'!G118</f>
        <v>49.213200000000001</v>
      </c>
      <c r="F115">
        <f>'Monthly Haver'!H118</f>
        <v>49.219700000000003</v>
      </c>
      <c r="G115">
        <f>'Monthly Haver'!I118</f>
        <v>47.9955</v>
      </c>
      <c r="H115">
        <f>'Monthly Haver'!J118</f>
        <v>49.638100000000001</v>
      </c>
      <c r="I115">
        <f>GDS_Monthly!O232</f>
        <v>91.977315221223137</v>
      </c>
      <c r="J115">
        <f>GDS_Monthly!D232</f>
        <v>100.01020324381633</v>
      </c>
      <c r="K115">
        <f>GDS_Monthly!AH232</f>
        <v>1116.6078929</v>
      </c>
      <c r="L115">
        <f>GDS_Monthly!AI232</f>
        <v>1042.7170134</v>
      </c>
      <c r="M115">
        <f>GDS_Monthly!N232</f>
        <v>5.465108598490259</v>
      </c>
      <c r="N115">
        <f>GDS_Monthly!C232</f>
        <v>96.852971083777518</v>
      </c>
      <c r="O115">
        <f>GDS_Monthly!F232</f>
        <v>4.4899337467665701</v>
      </c>
      <c r="P115">
        <f>GDS_Monthly!G232</f>
        <v>4.2404291493831572</v>
      </c>
      <c r="Q115">
        <f>GDS_Monthly!T232</f>
        <v>97.040030194216172</v>
      </c>
      <c r="R115">
        <f>GDS_Monthly!V232</f>
        <v>96.402326505911134</v>
      </c>
      <c r="S115">
        <f>GDS_Monthly!W232</f>
        <v>124.85010634858104</v>
      </c>
      <c r="T115">
        <f>GDS_Monthly!X232</f>
        <v>157.12571848642389</v>
      </c>
      <c r="U115">
        <f>GDS_Monthly!AA232</f>
        <v>125.86841277874672</v>
      </c>
      <c r="V115">
        <f>GDS_Monthly!AC232</f>
        <v>306.17767521243525</v>
      </c>
      <c r="W115">
        <f>GDS_Monthly!AE232</f>
        <v>263.4862519225976</v>
      </c>
      <c r="X115">
        <f>GDS_Monthly!AF232</f>
        <v>118.31227892556521</v>
      </c>
      <c r="Y115">
        <f>OECD!B115</f>
        <v>99.768230000000003</v>
      </c>
      <c r="Z115">
        <f>OECD!C115</f>
        <v>104.77</v>
      </c>
      <c r="AA115">
        <f>'Monthly Haver'!K118</f>
        <v>101.09206</v>
      </c>
      <c r="AB115" s="10">
        <f>'Monthly Haver'!L118</f>
        <v>10242</v>
      </c>
      <c r="AC115" s="8">
        <f>Quarterly!B39</f>
        <v>104.6</v>
      </c>
      <c r="AD115" s="8">
        <f>Quarterly!C39</f>
        <v>101.87</v>
      </c>
      <c r="AE115" s="8">
        <f>Quarterly!D39</f>
        <v>99.202512004662026</v>
      </c>
      <c r="AF115" s="33">
        <v>2.1671685012006665</v>
      </c>
    </row>
    <row r="116" spans="1:32">
      <c r="A116" s="12">
        <v>39630</v>
      </c>
      <c r="B116">
        <f>'Monthly Haver'!C119</f>
        <v>48.3611</v>
      </c>
      <c r="C116">
        <f>'Monthly Haver'!D119</f>
        <v>71.462100000000007</v>
      </c>
      <c r="D116" t="e">
        <f>'Monthly Haver'!E119</f>
        <v>#N/A</v>
      </c>
      <c r="E116">
        <f>'Monthly Haver'!G119</f>
        <v>50.066699999999997</v>
      </c>
      <c r="F116">
        <f>'Monthly Haver'!H119</f>
        <v>49.071599999999997</v>
      </c>
      <c r="G116">
        <f>'Monthly Haver'!I119</f>
        <v>48.357900000000001</v>
      </c>
      <c r="H116">
        <f>'Monthly Haver'!J119</f>
        <v>49.075800000000001</v>
      </c>
      <c r="I116">
        <f>GDS_Monthly!O233</f>
        <v>92.586319534443675</v>
      </c>
      <c r="J116">
        <f>GDS_Monthly!D233</f>
        <v>99.581599811302297</v>
      </c>
      <c r="K116">
        <f>GDS_Monthly!AH233</f>
        <v>1161.1156352</v>
      </c>
      <c r="L116">
        <f>GDS_Monthly!AI233</f>
        <v>1078.8545856999999</v>
      </c>
      <c r="M116">
        <f>GDS_Monthly!N233</f>
        <v>5.5461752537809623</v>
      </c>
      <c r="N116">
        <f>GDS_Monthly!C233</f>
        <v>96.373957747298775</v>
      </c>
      <c r="O116">
        <f>GDS_Monthly!F233</f>
        <v>4.4631712467239577</v>
      </c>
      <c r="P116">
        <f>GDS_Monthly!G233</f>
        <v>4.3512044832699859</v>
      </c>
      <c r="Q116">
        <f>GDS_Monthly!T233</f>
        <v>97.560144108474361</v>
      </c>
      <c r="R116">
        <f>GDS_Monthly!V233</f>
        <v>96.642702172836906</v>
      </c>
      <c r="S116">
        <f>GDS_Monthly!W233</f>
        <v>124.28353753651147</v>
      </c>
      <c r="T116">
        <f>GDS_Monthly!X233</f>
        <v>155.87361969045165</v>
      </c>
      <c r="U116">
        <f>GDS_Monthly!AA233</f>
        <v>127.01748748394523</v>
      </c>
      <c r="V116">
        <f>GDS_Monthly!AC233</f>
        <v>312.41315865125608</v>
      </c>
      <c r="W116">
        <f>GDS_Monthly!AE233</f>
        <v>264.61303157572996</v>
      </c>
      <c r="X116">
        <f>GDS_Monthly!AF233</f>
        <v>120.57057682295309</v>
      </c>
      <c r="Y116">
        <f>OECD!B116</f>
        <v>99.290980000000005</v>
      </c>
      <c r="Z116">
        <f>OECD!C116</f>
        <v>102.81</v>
      </c>
      <c r="AA116">
        <f>'Monthly Haver'!K119</f>
        <v>101.29934</v>
      </c>
      <c r="AB116" s="10">
        <f>'Monthly Haver'!L119</f>
        <v>8936</v>
      </c>
      <c r="AC116" s="8"/>
      <c r="AD116" s="8"/>
      <c r="AE116" s="8"/>
    </row>
    <row r="117" spans="1:32">
      <c r="A117" s="12">
        <v>39661</v>
      </c>
      <c r="B117">
        <f>'Monthly Haver'!C120</f>
        <v>49.003799999999998</v>
      </c>
      <c r="C117">
        <f>'Monthly Haver'!D120</f>
        <v>67.569199999999995</v>
      </c>
      <c r="D117" t="e">
        <f>'Monthly Haver'!E120</f>
        <v>#N/A</v>
      </c>
      <c r="E117">
        <f>'Monthly Haver'!G120</f>
        <v>49.183799999999998</v>
      </c>
      <c r="F117">
        <f>'Monthly Haver'!H120</f>
        <v>48.035800000000002</v>
      </c>
      <c r="G117">
        <f>'Monthly Haver'!I120</f>
        <v>48.485300000000002</v>
      </c>
      <c r="H117">
        <f>'Monthly Haver'!J120</f>
        <v>49.099800000000002</v>
      </c>
      <c r="I117">
        <f>GDS_Monthly!O234</f>
        <v>92.650378816542172</v>
      </c>
      <c r="J117">
        <f>GDS_Monthly!D234</f>
        <v>98.736726871875632</v>
      </c>
      <c r="K117">
        <f>GDS_Monthly!AH234</f>
        <v>1104.5746288</v>
      </c>
      <c r="L117">
        <f>GDS_Monthly!AI234</f>
        <v>1033.9926900999999</v>
      </c>
      <c r="M117">
        <f>GDS_Monthly!N234</f>
        <v>5.5525811465134867</v>
      </c>
      <c r="N117">
        <f>GDS_Monthly!C234</f>
        <v>97.922939101220976</v>
      </c>
      <c r="O117">
        <f>GDS_Monthly!F234</f>
        <v>4.2236197208929669</v>
      </c>
      <c r="P117">
        <f>GDS_Monthly!G234</f>
        <v>4.3729217931932673</v>
      </c>
      <c r="Q117">
        <f>GDS_Monthly!T234</f>
        <v>97.578003663894677</v>
      </c>
      <c r="R117">
        <f>GDS_Monthly!V234</f>
        <v>96.864822029431664</v>
      </c>
      <c r="S117">
        <f>GDS_Monthly!W234</f>
        <v>114.76682658715519</v>
      </c>
      <c r="T117">
        <f>GDS_Monthly!X234</f>
        <v>146.08512797890981</v>
      </c>
      <c r="U117">
        <f>GDS_Monthly!AA234</f>
        <v>118.71423457401347</v>
      </c>
      <c r="V117">
        <f>GDS_Monthly!AC234</f>
        <v>271.33921529158187</v>
      </c>
      <c r="W117">
        <f>GDS_Monthly!AE234</f>
        <v>234.58091184477757</v>
      </c>
      <c r="X117">
        <f>GDS_Monthly!AF234</f>
        <v>115.22431731999292</v>
      </c>
      <c r="Y117">
        <f>OECD!B117</f>
        <v>98.711330000000004</v>
      </c>
      <c r="Z117">
        <f>OECD!C117</f>
        <v>100.75</v>
      </c>
      <c r="AA117">
        <f>'Monthly Haver'!K120</f>
        <v>100.98174</v>
      </c>
      <c r="AB117" s="10">
        <f>'Monthly Haver'!L120</f>
        <v>7403</v>
      </c>
      <c r="AC117" s="8"/>
      <c r="AD117" s="8"/>
      <c r="AE117" s="8"/>
    </row>
    <row r="118" spans="1:32">
      <c r="A118" s="12">
        <v>39692</v>
      </c>
      <c r="B118">
        <f>'Monthly Haver'!C121</f>
        <v>47.182299999999998</v>
      </c>
      <c r="C118">
        <f>'Monthly Haver'!D121</f>
        <v>62.583799999999997</v>
      </c>
      <c r="D118" t="e">
        <f>'Monthly Haver'!E121</f>
        <v>#N/A</v>
      </c>
      <c r="E118">
        <f>'Monthly Haver'!G121</f>
        <v>48.085900000000002</v>
      </c>
      <c r="F118">
        <f>'Monthly Haver'!H121</f>
        <v>45.090400000000002</v>
      </c>
      <c r="G118">
        <f>'Monthly Haver'!I121</f>
        <v>48.416499999999999</v>
      </c>
      <c r="H118">
        <f>'Monthly Haver'!J121</f>
        <v>48.2654</v>
      </c>
      <c r="I118">
        <f>GDS_Monthly!O235</f>
        <v>92.96059189898628</v>
      </c>
      <c r="J118">
        <f>GDS_Monthly!D235</f>
        <v>97.864603034490017</v>
      </c>
      <c r="K118">
        <f>GDS_Monthly!AH235</f>
        <v>1070.6298061</v>
      </c>
      <c r="L118">
        <f>GDS_Monthly!AI235</f>
        <v>999.55721270000004</v>
      </c>
      <c r="M118">
        <f>GDS_Monthly!N235</f>
        <v>5.5770288109544701</v>
      </c>
      <c r="N118">
        <f>GDS_Monthly!C235</f>
        <v>98.690463859221296</v>
      </c>
      <c r="O118">
        <f>GDS_Monthly!F235</f>
        <v>4.0260955547394426</v>
      </c>
      <c r="P118">
        <f>GDS_Monthly!G235</f>
        <v>4.3866054423218399</v>
      </c>
      <c r="Q118">
        <f>GDS_Monthly!T235</f>
        <v>97.740431258420742</v>
      </c>
      <c r="R118">
        <f>GDS_Monthly!V235</f>
        <v>97.054648094326794</v>
      </c>
      <c r="S118">
        <f>GDS_Monthly!W235</f>
        <v>106.98236803401105</v>
      </c>
      <c r="T118">
        <f>GDS_Monthly!X235</f>
        <v>138.06631849609261</v>
      </c>
      <c r="U118">
        <f>GDS_Monthly!AA235</f>
        <v>112.60257644362527</v>
      </c>
      <c r="V118">
        <f>GDS_Monthly!AC235</f>
        <v>243.03659644720719</v>
      </c>
      <c r="W118">
        <f>GDS_Monthly!AE235</f>
        <v>208.16165482578813</v>
      </c>
      <c r="X118">
        <f>GDS_Monthly!AF235</f>
        <v>113.36478485150239</v>
      </c>
      <c r="Y118">
        <f>OECD!B118</f>
        <v>98.036019999999994</v>
      </c>
      <c r="Z118">
        <f>OECD!C118</f>
        <v>95.96</v>
      </c>
      <c r="AA118">
        <f>'Monthly Haver'!K121</f>
        <v>102.6572</v>
      </c>
      <c r="AB118" s="10">
        <f>'Monthly Haver'!L121</f>
        <v>4975</v>
      </c>
      <c r="AC118" s="8">
        <f>Quarterly!B40</f>
        <v>103.28</v>
      </c>
      <c r="AD118" s="8">
        <f>Quarterly!C40</f>
        <v>98.91</v>
      </c>
      <c r="AE118" s="8">
        <f>Quarterly!D40</f>
        <v>98.844235441763374</v>
      </c>
      <c r="AF118" s="33">
        <v>-0.27144356067218411</v>
      </c>
    </row>
    <row r="119" spans="1:32">
      <c r="A119" s="12">
        <v>39722</v>
      </c>
      <c r="B119">
        <f>'Monthly Haver'!C122</f>
        <v>42.259399999999999</v>
      </c>
      <c r="C119">
        <f>'Monthly Haver'!D122</f>
        <v>53.386099999999999</v>
      </c>
      <c r="D119" t="e">
        <f>'Monthly Haver'!E122</f>
        <v>#N/A</v>
      </c>
      <c r="E119">
        <f>'Monthly Haver'!G122</f>
        <v>46.3964</v>
      </c>
      <c r="F119">
        <f>'Monthly Haver'!H122</f>
        <v>41.066600000000001</v>
      </c>
      <c r="G119">
        <f>'Monthly Haver'!I122</f>
        <v>49.233800000000002</v>
      </c>
      <c r="H119">
        <f>'Monthly Haver'!J122</f>
        <v>43.691099999999999</v>
      </c>
      <c r="I119">
        <f>GDS_Monthly!O236</f>
        <v>92.13697461106365</v>
      </c>
      <c r="J119">
        <f>GDS_Monthly!D236</f>
        <v>96.667415974864923</v>
      </c>
      <c r="K119">
        <f>GDS_Monthly!AH236</f>
        <v>1000.8265318</v>
      </c>
      <c r="L119">
        <f>GDS_Monthly!AI236</f>
        <v>932.63367410000001</v>
      </c>
      <c r="M119">
        <f>GDS_Monthly!N236</f>
        <v>5.7011815526771539</v>
      </c>
      <c r="N119">
        <f>GDS_Monthly!C236</f>
        <v>93.220049606248082</v>
      </c>
      <c r="O119">
        <f>GDS_Monthly!F236</f>
        <v>4.0977595258624291</v>
      </c>
      <c r="P119">
        <f>GDS_Monthly!G236</f>
        <v>3.8450728629595781</v>
      </c>
      <c r="Q119">
        <f>GDS_Monthly!T236</f>
        <v>97.564550518700401</v>
      </c>
      <c r="R119">
        <f>GDS_Monthly!V236</f>
        <v>97.223722314219231</v>
      </c>
      <c r="S119">
        <f>GDS_Monthly!W236</f>
        <v>94.016711382411344</v>
      </c>
      <c r="T119">
        <f>GDS_Monthly!X236</f>
        <v>110.79832496067742</v>
      </c>
      <c r="U119">
        <f>GDS_Monthly!AA236</f>
        <v>97.265989964035271</v>
      </c>
      <c r="V119">
        <f>GDS_Monthly!AC236</f>
        <v>191.15301369629159</v>
      </c>
      <c r="W119">
        <f>GDS_Monthly!AE236</f>
        <v>155.61761826100266</v>
      </c>
      <c r="X119">
        <f>GDS_Monthly!AF236</f>
        <v>100.85777631729896</v>
      </c>
      <c r="Y119">
        <f>OECD!B119</f>
        <v>97.310040000000001</v>
      </c>
      <c r="Z119">
        <f>OECD!C119</f>
        <v>94.67</v>
      </c>
      <c r="AA119">
        <f>'Monthly Haver'!K122</f>
        <v>104.64546</v>
      </c>
      <c r="AB119" s="10">
        <f>'Monthly Haver'!L122</f>
        <v>1808</v>
      </c>
      <c r="AC119" s="8"/>
      <c r="AD119" s="8"/>
      <c r="AE119" s="8"/>
    </row>
    <row r="120" spans="1:32">
      <c r="A120" s="12">
        <v>39753</v>
      </c>
      <c r="B120">
        <f>'Monthly Haver'!C123</f>
        <v>36.398400000000002</v>
      </c>
      <c r="C120">
        <f>'Monthly Haver'!D123</f>
        <v>42.786200000000001</v>
      </c>
      <c r="D120" t="e">
        <f>'Monthly Haver'!E123</f>
        <v>#N/A</v>
      </c>
      <c r="E120">
        <f>'Monthly Haver'!G123</f>
        <v>41.451599999999999</v>
      </c>
      <c r="F120">
        <f>'Monthly Haver'!H123</f>
        <v>36.841099999999997</v>
      </c>
      <c r="G120">
        <f>'Monthly Haver'!I123</f>
        <v>47.883499999999998</v>
      </c>
      <c r="H120">
        <f>'Monthly Haver'!J123</f>
        <v>37.786999999999999</v>
      </c>
      <c r="I120">
        <f>GDS_Monthly!O237</f>
        <v>91.016975683422785</v>
      </c>
      <c r="J120">
        <f>GDS_Monthly!D237</f>
        <v>93.269714416821586</v>
      </c>
      <c r="K120">
        <f>GDS_Monthly!AH237</f>
        <v>871.0361762</v>
      </c>
      <c r="L120">
        <f>GDS_Monthly!AI237</f>
        <v>821.38025900000002</v>
      </c>
      <c r="M120">
        <f>GDS_Monthly!N237</f>
        <v>5.8204150995634318</v>
      </c>
      <c r="N120">
        <f>GDS_Monthly!C237</f>
        <v>94.053247148638405</v>
      </c>
      <c r="O120">
        <f>GDS_Monthly!F237</f>
        <v>3.9116514941026566</v>
      </c>
      <c r="P120">
        <f>GDS_Monthly!G237</f>
        <v>3.5636466639527034</v>
      </c>
      <c r="Q120">
        <f>GDS_Monthly!T237</f>
        <v>96.959503739896263</v>
      </c>
      <c r="R120">
        <f>GDS_Monthly!V237</f>
        <v>97.365581745603308</v>
      </c>
      <c r="S120">
        <f>GDS_Monthly!W237</f>
        <v>88.265262039617809</v>
      </c>
      <c r="T120">
        <f>GDS_Monthly!X237</f>
        <v>98.339228187001169</v>
      </c>
      <c r="U120">
        <f>GDS_Monthly!AA237</f>
        <v>89.161341826541374</v>
      </c>
      <c r="V120">
        <f>GDS_Monthly!AC237</f>
        <v>152.56049696935753</v>
      </c>
      <c r="W120">
        <f>GDS_Monthly!AE237</f>
        <v>117.93118001631683</v>
      </c>
      <c r="X120">
        <f>GDS_Monthly!AF237</f>
        <v>96.698727556610976</v>
      </c>
      <c r="Y120">
        <f>OECD!B120</f>
        <v>96.628969999999995</v>
      </c>
      <c r="Z120">
        <f>OECD!C120</f>
        <v>90.74</v>
      </c>
      <c r="AA120">
        <f>'Monthly Haver'!K123</f>
        <v>104.30476</v>
      </c>
      <c r="AB120" s="10">
        <f>'Monthly Haver'!L123</f>
        <v>819</v>
      </c>
      <c r="AC120" s="8"/>
      <c r="AD120" s="8"/>
      <c r="AE120" s="8"/>
    </row>
    <row r="121" spans="1:32">
      <c r="A121" s="12">
        <v>39783</v>
      </c>
      <c r="B121">
        <f>'Monthly Haver'!C124</f>
        <v>36.593899999999998</v>
      </c>
      <c r="C121">
        <f>'Monthly Haver'!D124</f>
        <v>40.371000000000002</v>
      </c>
      <c r="D121" t="e">
        <f>'Monthly Haver'!E124</f>
        <v>#N/A</v>
      </c>
      <c r="E121">
        <f>'Monthly Haver'!G124</f>
        <v>41.687600000000003</v>
      </c>
      <c r="F121">
        <f>'Monthly Haver'!H124</f>
        <v>33.8279</v>
      </c>
      <c r="G121">
        <f>'Monthly Haver'!I124</f>
        <v>48.249000000000002</v>
      </c>
      <c r="H121">
        <f>'Monthly Haver'!J124</f>
        <v>39.718299999999999</v>
      </c>
      <c r="I121">
        <f>GDS_Monthly!O238</f>
        <v>89.988905331025734</v>
      </c>
      <c r="J121">
        <f>GDS_Monthly!D238</f>
        <v>90.598257373059127</v>
      </c>
      <c r="K121">
        <f>GDS_Monthly!AH238</f>
        <v>814.22904979999998</v>
      </c>
      <c r="L121">
        <f>GDS_Monthly!AI238</f>
        <v>774.54949450000004</v>
      </c>
      <c r="M121">
        <f>GDS_Monthly!N238</f>
        <v>5.9474909659795649</v>
      </c>
      <c r="N121">
        <f>GDS_Monthly!C238</f>
        <v>92.585435882756471</v>
      </c>
      <c r="O121">
        <f>GDS_Monthly!F238</f>
        <v>3.2113594199215276</v>
      </c>
      <c r="P121">
        <f>GDS_Monthly!G238</f>
        <v>2.8746282490807147</v>
      </c>
      <c r="Q121">
        <f>GDS_Monthly!T238</f>
        <v>96.552219639404413</v>
      </c>
      <c r="R121">
        <f>GDS_Monthly!V238</f>
        <v>97.400818517998175</v>
      </c>
      <c r="S121">
        <f>GDS_Monthly!W238</f>
        <v>87.855813890906276</v>
      </c>
      <c r="T121">
        <f>GDS_Monthly!X238</f>
        <v>94.042542386034057</v>
      </c>
      <c r="U121">
        <f>GDS_Monthly!AA238</f>
        <v>87.078059773386215</v>
      </c>
      <c r="V121">
        <f>GDS_Monthly!AC238</f>
        <v>124.84089862582108</v>
      </c>
      <c r="W121">
        <f>GDS_Monthly!AE238</f>
        <v>87.287278548048107</v>
      </c>
      <c r="X121">
        <f>GDS_Monthly!AF238</f>
        <v>88.601787507355539</v>
      </c>
      <c r="Y121">
        <f>OECD!B121</f>
        <v>96.083500000000001</v>
      </c>
      <c r="Z121">
        <f>OECD!C121</f>
        <v>87.89</v>
      </c>
      <c r="AA121">
        <f>'Monthly Haver'!K124</f>
        <v>101.38162</v>
      </c>
      <c r="AB121" s="10">
        <f>'Monthly Haver'!L124</f>
        <v>743</v>
      </c>
      <c r="AC121" s="8">
        <f>Quarterly!B41</f>
        <v>103.52</v>
      </c>
      <c r="AD121" s="8">
        <f>Quarterly!C41</f>
        <v>97.93</v>
      </c>
      <c r="AE121" s="8">
        <f>Quarterly!D41</f>
        <v>97.026038702953926</v>
      </c>
      <c r="AF121" s="33">
        <v>-6.0701786858911522</v>
      </c>
    </row>
    <row r="122" spans="1:32">
      <c r="A122" s="12">
        <v>39814</v>
      </c>
      <c r="B122">
        <f>'Monthly Haver'!C125</f>
        <v>38.314399999999999</v>
      </c>
      <c r="C122">
        <f>'Monthly Haver'!D125</f>
        <v>42.555700000000002</v>
      </c>
      <c r="D122" t="e">
        <f>'Monthly Haver'!E125</f>
        <v>#N/A</v>
      </c>
      <c r="E122">
        <f>'Monthly Haver'!G125</f>
        <v>41.766300000000001</v>
      </c>
      <c r="F122">
        <f>'Monthly Haver'!H125</f>
        <v>35.180700000000002</v>
      </c>
      <c r="G122">
        <f>'Monthly Haver'!I125</f>
        <v>44.977899999999998</v>
      </c>
      <c r="H122">
        <f>'Monthly Haver'!J125</f>
        <v>41.937600000000003</v>
      </c>
      <c r="I122">
        <f>GDS_Monthly!O239</f>
        <v>90.452799522193729</v>
      </c>
      <c r="J122">
        <f>GDS_Monthly!D239</f>
        <v>88.322896087831211</v>
      </c>
      <c r="K122">
        <f>GDS_Monthly!AH239</f>
        <v>750.13803710000002</v>
      </c>
      <c r="L122">
        <f>GDS_Monthly!AI239</f>
        <v>715.12443580000001</v>
      </c>
      <c r="M122">
        <f>GDS_Monthly!N239</f>
        <v>6.1487387700913922</v>
      </c>
      <c r="N122">
        <f>GDS_Monthly!C239</f>
        <v>92.317451223578644</v>
      </c>
      <c r="O122">
        <f>GDS_Monthly!F239</f>
        <v>3.2236337583169985</v>
      </c>
      <c r="P122">
        <f>GDS_Monthly!G239</f>
        <v>2.7473890659051481</v>
      </c>
      <c r="Q122">
        <f>GDS_Monthly!T239</f>
        <v>96.641370196040455</v>
      </c>
      <c r="R122">
        <f>GDS_Monthly!V239</f>
        <v>97.536569261766871</v>
      </c>
      <c r="S122">
        <f>GDS_Monthly!W239</f>
        <v>88.878125134888819</v>
      </c>
      <c r="T122">
        <f>GDS_Monthly!X239</f>
        <v>97.936213277689774</v>
      </c>
      <c r="U122">
        <f>GDS_Monthly!AA239</f>
        <v>89.967526944986332</v>
      </c>
      <c r="V122">
        <f>GDS_Monthly!AC239</f>
        <v>127.65047562157382</v>
      </c>
      <c r="W122">
        <f>GDS_Monthly!AE239</f>
        <v>93.859433971331484</v>
      </c>
      <c r="X122">
        <f>GDS_Monthly!AF239</f>
        <v>92.05137498153708</v>
      </c>
      <c r="Y122">
        <f>OECD!B122</f>
        <v>95.729100000000003</v>
      </c>
      <c r="Z122">
        <f>OECD!C122</f>
        <v>87.57</v>
      </c>
      <c r="AA122">
        <f>'Monthly Haver'!K125</f>
        <v>102.84021</v>
      </c>
      <c r="AB122" s="10">
        <f>'Monthly Haver'!L125</f>
        <v>905</v>
      </c>
      <c r="AC122" s="8"/>
      <c r="AD122" s="8"/>
      <c r="AE122" s="8"/>
    </row>
    <row r="123" spans="1:32">
      <c r="A123" s="12">
        <v>39845</v>
      </c>
      <c r="B123">
        <f>'Monthly Haver'!C126</f>
        <v>38.3812</v>
      </c>
      <c r="C123">
        <f>'Monthly Haver'!D126</f>
        <v>44.731299999999997</v>
      </c>
      <c r="D123" t="e">
        <f>'Monthly Haver'!E126</f>
        <v>#N/A</v>
      </c>
      <c r="E123">
        <f>'Monthly Haver'!G126</f>
        <v>41.247700000000002</v>
      </c>
      <c r="F123">
        <f>'Monthly Haver'!H126</f>
        <v>36.674199999999999</v>
      </c>
      <c r="G123">
        <f>'Monthly Haver'!I126</f>
        <v>44.197800000000001</v>
      </c>
      <c r="H123">
        <f>'Monthly Haver'!J126</f>
        <v>39.996099999999998</v>
      </c>
      <c r="I123">
        <f>GDS_Monthly!O240</f>
        <v>90.292285294426961</v>
      </c>
      <c r="J123">
        <f>GDS_Monthly!D240</f>
        <v>88.024543307015392</v>
      </c>
      <c r="K123">
        <f>GDS_Monthly!AH240</f>
        <v>712.74341019999997</v>
      </c>
      <c r="L123">
        <f>GDS_Monthly!AI240</f>
        <v>695.49628810000002</v>
      </c>
      <c r="M123">
        <f>GDS_Monthly!N240</f>
        <v>6.2703081356234582</v>
      </c>
      <c r="N123">
        <f>GDS_Monthly!C240</f>
        <v>89.995422439020516</v>
      </c>
      <c r="O123">
        <f>GDS_Monthly!F240</f>
        <v>3.5418229141710977</v>
      </c>
      <c r="P123">
        <f>GDS_Monthly!G240</f>
        <v>2.6475928338195462</v>
      </c>
      <c r="Q123">
        <f>GDS_Monthly!T240</f>
        <v>96.912163936485712</v>
      </c>
      <c r="R123">
        <f>GDS_Monthly!V240</f>
        <v>97.765482817488021</v>
      </c>
      <c r="S123">
        <f>GDS_Monthly!W240</f>
        <v>85.039441215754252</v>
      </c>
      <c r="T123">
        <f>GDS_Monthly!X240</f>
        <v>96.884384579203314</v>
      </c>
      <c r="U123">
        <f>GDS_Monthly!AA240</f>
        <v>89.407529289479854</v>
      </c>
      <c r="V123">
        <f>GDS_Monthly!AC240</f>
        <v>119.32561636507788</v>
      </c>
      <c r="W123">
        <f>GDS_Monthly!AE240</f>
        <v>91.374853432389884</v>
      </c>
      <c r="X123">
        <f>GDS_Monthly!AF240</f>
        <v>89.060320410256807</v>
      </c>
      <c r="Y123">
        <f>OECD!B123</f>
        <v>95.59872</v>
      </c>
      <c r="Z123">
        <f>OECD!C123</f>
        <v>86.81</v>
      </c>
      <c r="AA123">
        <f>'Monthly Haver'!K126</f>
        <v>104.54483999999999</v>
      </c>
      <c r="AB123" s="10">
        <f>'Monthly Haver'!L126</f>
        <v>1816</v>
      </c>
      <c r="AC123" s="8"/>
      <c r="AD123" s="8"/>
      <c r="AE123" s="8"/>
    </row>
    <row r="124" spans="1:32">
      <c r="A124" s="12">
        <v>39873</v>
      </c>
      <c r="B124">
        <f>'Monthly Haver'!C127</f>
        <v>38.896700000000003</v>
      </c>
      <c r="C124">
        <f>'Monthly Haver'!D127</f>
        <v>41.320500000000003</v>
      </c>
      <c r="D124" t="e">
        <f>'Monthly Haver'!E127</f>
        <v>#N/A</v>
      </c>
      <c r="E124">
        <f>'Monthly Haver'!G127</f>
        <v>39.963099999999997</v>
      </c>
      <c r="F124">
        <f>'Monthly Haver'!H127</f>
        <v>38.312100000000001</v>
      </c>
      <c r="G124">
        <f>'Monthly Haver'!I127</f>
        <v>44.233600000000003</v>
      </c>
      <c r="H124">
        <f>'Monthly Haver'!J127</f>
        <v>41.85</v>
      </c>
      <c r="I124">
        <f>GDS_Monthly!O241</f>
        <v>90.049743484687866</v>
      </c>
      <c r="J124">
        <f>GDS_Monthly!D241</f>
        <v>88.245396247506804</v>
      </c>
      <c r="K124">
        <f>GDS_Monthly!AH241</f>
        <v>713.0606325</v>
      </c>
      <c r="L124">
        <f>GDS_Monthly!AI241</f>
        <v>701.9353413</v>
      </c>
      <c r="M124">
        <f>GDS_Monthly!N241</f>
        <v>6.3724984776230746</v>
      </c>
      <c r="N124">
        <f>GDS_Monthly!C241</f>
        <v>90.362332406507178</v>
      </c>
      <c r="O124">
        <f>GDS_Monthly!F241</f>
        <v>3.4845989792190495</v>
      </c>
      <c r="P124">
        <f>GDS_Monthly!G241</f>
        <v>2.3656197153971172</v>
      </c>
      <c r="Q124">
        <f>GDS_Monthly!T241</f>
        <v>96.914487988396161</v>
      </c>
      <c r="R124">
        <f>GDS_Monthly!V241</f>
        <v>97.914603408041316</v>
      </c>
      <c r="S124">
        <f>GDS_Monthly!W241</f>
        <v>86.548451028439914</v>
      </c>
      <c r="T124">
        <f>GDS_Monthly!X241</f>
        <v>92.759414291668435</v>
      </c>
      <c r="U124">
        <f>GDS_Monthly!AA241</f>
        <v>88.729041253626065</v>
      </c>
      <c r="V124">
        <f>GDS_Monthly!AC241</f>
        <v>120.35808380008486</v>
      </c>
      <c r="W124">
        <f>GDS_Monthly!AE241</f>
        <v>102.36449590939897</v>
      </c>
      <c r="X124">
        <f>GDS_Monthly!AF241</f>
        <v>85.963628241602848</v>
      </c>
      <c r="Y124">
        <f>OECD!B124</f>
        <v>95.705460000000002</v>
      </c>
      <c r="Z124">
        <f>OECD!C124</f>
        <v>85.67</v>
      </c>
      <c r="AA124">
        <f>'Monthly Haver'!K127</f>
        <v>104.05119000000001</v>
      </c>
      <c r="AB124" s="10">
        <f>'Monthly Haver'!L127</f>
        <v>1958</v>
      </c>
      <c r="AC124" s="8">
        <f>Quarterly!B42</f>
        <v>103.59</v>
      </c>
      <c r="AD124" s="8">
        <f>Quarterly!C42</f>
        <v>97.53</v>
      </c>
      <c r="AE124" s="8">
        <f>Quarterly!D42</f>
        <v>95.076177824489633</v>
      </c>
      <c r="AF124" s="33">
        <v>-5.6577464845767818</v>
      </c>
    </row>
    <row r="125" spans="1:32">
      <c r="A125" s="12">
        <v>39904</v>
      </c>
      <c r="B125">
        <f>'Monthly Haver'!C128</f>
        <v>45.292099999999998</v>
      </c>
      <c r="C125">
        <f>'Monthly Haver'!D128</f>
        <v>42.653100000000002</v>
      </c>
      <c r="D125" t="e">
        <f>'Monthly Haver'!E128</f>
        <v>#N/A</v>
      </c>
      <c r="E125">
        <f>'Monthly Haver'!G128</f>
        <v>42.520499999999998</v>
      </c>
      <c r="F125">
        <f>'Monthly Haver'!H128</f>
        <v>42.628900000000002</v>
      </c>
      <c r="G125">
        <f>'Monthly Haver'!I128</f>
        <v>44.800600000000003</v>
      </c>
      <c r="H125">
        <f>'Monthly Haver'!J128</f>
        <v>44.602400000000003</v>
      </c>
      <c r="I125">
        <f>GDS_Monthly!O242</f>
        <v>90.913651470447604</v>
      </c>
      <c r="J125">
        <f>GDS_Monthly!D242</f>
        <v>88.863135357315144</v>
      </c>
      <c r="K125">
        <f>GDS_Monthly!AH242</f>
        <v>724.80766119999998</v>
      </c>
      <c r="L125">
        <f>GDS_Monthly!AI242</f>
        <v>708.46351449999997</v>
      </c>
      <c r="M125">
        <f>GDS_Monthly!N242</f>
        <v>6.4491513916748353</v>
      </c>
      <c r="N125">
        <f>GDS_Monthly!C242</f>
        <v>93.643478608462146</v>
      </c>
      <c r="O125">
        <f>GDS_Monthly!F242</f>
        <v>3.4117836813638682</v>
      </c>
      <c r="P125">
        <f>GDS_Monthly!G242</f>
        <v>2.201982060498644</v>
      </c>
      <c r="Q125">
        <f>GDS_Monthly!T242</f>
        <v>97.017801050180779</v>
      </c>
      <c r="R125">
        <f>GDS_Monthly!V242</f>
        <v>98.061459059804051</v>
      </c>
      <c r="S125">
        <f>GDS_Monthly!W242</f>
        <v>92.763878301763427</v>
      </c>
      <c r="T125">
        <f>GDS_Monthly!X242</f>
        <v>98.17178876409865</v>
      </c>
      <c r="U125">
        <f>GDS_Monthly!AA242</f>
        <v>91.896240532526278</v>
      </c>
      <c r="V125">
        <f>GDS_Monthly!AC242</f>
        <v>121.18461042624591</v>
      </c>
      <c r="W125">
        <f>GDS_Monthly!AE242</f>
        <v>109.58141600658973</v>
      </c>
      <c r="X125">
        <f>GDS_Monthly!AF242</f>
        <v>89.335810658105032</v>
      </c>
      <c r="Y125">
        <f>OECD!B125</f>
        <v>96.029359999999997</v>
      </c>
      <c r="Z125">
        <f>OECD!C125</f>
        <v>86.96</v>
      </c>
      <c r="AA125">
        <f>'Monthly Haver'!K128</f>
        <v>101.93371999999999</v>
      </c>
      <c r="AB125" s="10">
        <f>'Monthly Haver'!L128</f>
        <v>1659</v>
      </c>
      <c r="AC125" s="8"/>
      <c r="AD125" s="8"/>
      <c r="AE125" s="8"/>
    </row>
    <row r="126" spans="1:32">
      <c r="A126" s="12">
        <v>39934</v>
      </c>
      <c r="B126">
        <f>'Monthly Haver'!C129</f>
        <v>46.722200000000001</v>
      </c>
      <c r="C126">
        <f>'Monthly Haver'!D129</f>
        <v>46.134399999999999</v>
      </c>
      <c r="D126" t="e">
        <f>'Monthly Haver'!E129</f>
        <v>#N/A</v>
      </c>
      <c r="E126">
        <f>'Monthly Haver'!G129</f>
        <v>43.325699999999998</v>
      </c>
      <c r="F126">
        <f>'Monthly Haver'!H129</f>
        <v>45.511899999999997</v>
      </c>
      <c r="G126">
        <f>'Monthly Haver'!I129</f>
        <v>43.578099999999999</v>
      </c>
      <c r="H126">
        <f>'Monthly Haver'!J129</f>
        <v>44.625100000000003</v>
      </c>
      <c r="I126">
        <f>GDS_Monthly!O243</f>
        <v>91.163663506935023</v>
      </c>
      <c r="J126">
        <f>GDS_Monthly!D243</f>
        <v>89.591949581614671</v>
      </c>
      <c r="K126">
        <f>GDS_Monthly!AH243</f>
        <v>722.98596450000002</v>
      </c>
      <c r="L126">
        <f>GDS_Monthly!AI243</f>
        <v>713.65002719999995</v>
      </c>
      <c r="M126">
        <f>GDS_Monthly!N243</f>
        <v>6.5210187505848163</v>
      </c>
      <c r="N126">
        <f>GDS_Monthly!C243</f>
        <v>96.995300310869766</v>
      </c>
      <c r="O126">
        <f>GDS_Monthly!F243</f>
        <v>3.7071135369849499</v>
      </c>
      <c r="P126">
        <f>GDS_Monthly!G243</f>
        <v>2.0751336869123169</v>
      </c>
      <c r="Q126">
        <f>GDS_Monthly!T243</f>
        <v>97.169152713210508</v>
      </c>
      <c r="R126">
        <f>GDS_Monthly!V243</f>
        <v>98.202520694439073</v>
      </c>
      <c r="S126">
        <f>GDS_Monthly!W243</f>
        <v>99.234529810248546</v>
      </c>
      <c r="T126">
        <f>GDS_Monthly!X243</f>
        <v>104.04454172187283</v>
      </c>
      <c r="U126">
        <f>GDS_Monthly!AA243</f>
        <v>96.624251389613519</v>
      </c>
      <c r="V126">
        <f>GDS_Monthly!AC243</f>
        <v>135.29752219325022</v>
      </c>
      <c r="W126">
        <f>GDS_Monthly!AE243</f>
        <v>124.15205649590241</v>
      </c>
      <c r="X126">
        <f>GDS_Monthly!AF243</f>
        <v>93.814184112531422</v>
      </c>
      <c r="Y126">
        <f>OECD!B126</f>
        <v>96.500960000000006</v>
      </c>
      <c r="Z126">
        <f>OECD!C126</f>
        <v>88.3</v>
      </c>
      <c r="AA126">
        <f>'Monthly Haver'!K129</f>
        <v>100.46177</v>
      </c>
      <c r="AB126" s="10">
        <f>'Monthly Haver'!L129</f>
        <v>2540</v>
      </c>
      <c r="AC126" s="8"/>
      <c r="AD126" s="8"/>
      <c r="AE126" s="8"/>
    </row>
    <row r="127" spans="1:32">
      <c r="A127" s="12">
        <v>39965</v>
      </c>
      <c r="B127">
        <f>'Monthly Haver'!C130</f>
        <v>48.743099999999998</v>
      </c>
      <c r="C127">
        <f>'Monthly Haver'!D130</f>
        <v>49.359299999999998</v>
      </c>
      <c r="D127" t="e">
        <f>'Monthly Haver'!E130</f>
        <v>#N/A</v>
      </c>
      <c r="E127">
        <f>'Monthly Haver'!G130</f>
        <v>45.3157</v>
      </c>
      <c r="F127">
        <f>'Monthly Haver'!H130</f>
        <v>47.983800000000002</v>
      </c>
      <c r="G127">
        <f>'Monthly Haver'!I130</f>
        <v>43.748800000000003</v>
      </c>
      <c r="H127">
        <f>'Monthly Haver'!J130</f>
        <v>48.117699999999999</v>
      </c>
      <c r="I127">
        <f>GDS_Monthly!O244</f>
        <v>91.823314269785016</v>
      </c>
      <c r="J127">
        <f>GDS_Monthly!D244</f>
        <v>90.550596754625317</v>
      </c>
      <c r="K127">
        <f>GDS_Monthly!AH244</f>
        <v>771.15327969999998</v>
      </c>
      <c r="L127">
        <f>GDS_Monthly!AI244</f>
        <v>751.01241830000004</v>
      </c>
      <c r="M127">
        <f>GDS_Monthly!N244</f>
        <v>6.5040879561074485</v>
      </c>
      <c r="N127">
        <f>GDS_Monthly!C244</f>
        <v>96.51065911656697</v>
      </c>
      <c r="O127">
        <f>GDS_Monthly!F244</f>
        <v>3.9665245952165091</v>
      </c>
      <c r="P127">
        <f>GDS_Monthly!G244</f>
        <v>1.9984372030684487</v>
      </c>
      <c r="Q127">
        <f>GDS_Monthly!T244</f>
        <v>97.555889712798447</v>
      </c>
      <c r="R127">
        <f>GDS_Monthly!V244</f>
        <v>98.340180719547789</v>
      </c>
      <c r="S127">
        <f>GDS_Monthly!W244</f>
        <v>97.722408369679115</v>
      </c>
      <c r="T127">
        <f>GDS_Monthly!X244</f>
        <v>116.00359799834092</v>
      </c>
      <c r="U127">
        <f>GDS_Monthly!AA244</f>
        <v>98.415334333055327</v>
      </c>
      <c r="V127">
        <f>GDS_Monthly!AC244</f>
        <v>154.96302668065852</v>
      </c>
      <c r="W127">
        <f>GDS_Monthly!AE244</f>
        <v>145.27044303300963</v>
      </c>
      <c r="X127">
        <f>GDS_Monthly!AF244</f>
        <v>92.929579603260564</v>
      </c>
      <c r="Y127">
        <f>OECD!B127</f>
        <v>97.05444</v>
      </c>
      <c r="Z127">
        <f>OECD!C127</f>
        <v>89.92</v>
      </c>
      <c r="AA127">
        <f>'Monthly Haver'!K130</f>
        <v>101.13191</v>
      </c>
      <c r="AB127" s="10">
        <f>'Monthly Haver'!L130</f>
        <v>3823</v>
      </c>
      <c r="AC127" s="8">
        <f>Quarterly!B43</f>
        <v>104.23</v>
      </c>
      <c r="AD127" s="8">
        <f>Quarterly!C43</f>
        <v>96.25</v>
      </c>
      <c r="AE127" s="8">
        <f>Quarterly!D43</f>
        <v>95.619353509242103</v>
      </c>
      <c r="AF127" s="33">
        <v>4.8825149377798951</v>
      </c>
    </row>
    <row r="128" spans="1:32">
      <c r="A128" s="12">
        <v>39995</v>
      </c>
      <c r="B128">
        <f>'Monthly Haver'!C131</f>
        <v>50.341900000000003</v>
      </c>
      <c r="C128">
        <f>'Monthly Haver'!D131</f>
        <v>45.970700000000001</v>
      </c>
      <c r="D128" t="e">
        <f>'Monthly Haver'!E131</f>
        <v>#N/A</v>
      </c>
      <c r="E128">
        <f>'Monthly Haver'!G131</f>
        <v>46.109400000000001</v>
      </c>
      <c r="F128">
        <f>'Monthly Haver'!H131</f>
        <v>50.713000000000001</v>
      </c>
      <c r="G128">
        <f>'Monthly Haver'!I131</f>
        <v>44.604700000000001</v>
      </c>
      <c r="H128">
        <f>'Monthly Haver'!J131</f>
        <v>47.917099999999998</v>
      </c>
      <c r="I128">
        <f>GDS_Monthly!O245</f>
        <v>92.352992229799042</v>
      </c>
      <c r="J128">
        <f>GDS_Monthly!D245</f>
        <v>91.492094065654484</v>
      </c>
      <c r="K128">
        <f>GDS_Monthly!AH245</f>
        <v>795.21562359999996</v>
      </c>
      <c r="L128">
        <f>GDS_Monthly!AI245</f>
        <v>776.40640140000005</v>
      </c>
      <c r="M128">
        <f>GDS_Monthly!N245</f>
        <v>6.5550038798761587</v>
      </c>
      <c r="N128">
        <f>GDS_Monthly!C245</f>
        <v>96.746292935884114</v>
      </c>
      <c r="O128">
        <f>GDS_Monthly!F245</f>
        <v>3.8209809737650948</v>
      </c>
      <c r="P128">
        <f>GDS_Monthly!G245</f>
        <v>1.9458173604685918</v>
      </c>
      <c r="Q128">
        <f>GDS_Monthly!T245</f>
        <v>97.665308021044225</v>
      </c>
      <c r="R128">
        <f>GDS_Monthly!V245</f>
        <v>98.540773621764558</v>
      </c>
      <c r="S128">
        <f>GDS_Monthly!W245</f>
        <v>93.940238202856136</v>
      </c>
      <c r="T128">
        <f>GDS_Monthly!X245</f>
        <v>125.68529304582302</v>
      </c>
      <c r="U128">
        <f>GDS_Monthly!AA245</f>
        <v>98.177251304082461</v>
      </c>
      <c r="V128">
        <f>GDS_Monthly!AC245</f>
        <v>144.33509227842512</v>
      </c>
      <c r="W128">
        <f>GDS_Monthly!AE245</f>
        <v>135.31600161153352</v>
      </c>
      <c r="X128">
        <f>GDS_Monthly!AF245</f>
        <v>93.291701291422982</v>
      </c>
      <c r="Y128">
        <f>OECD!B128</f>
        <v>97.633219999999994</v>
      </c>
      <c r="Z128">
        <f>OECD!C128</f>
        <v>91.11</v>
      </c>
      <c r="AA128">
        <f>'Monthly Haver'!K131</f>
        <v>99.505300000000005</v>
      </c>
      <c r="AB128" s="10">
        <f>'Monthly Haver'!L131</f>
        <v>3362</v>
      </c>
      <c r="AC128" s="8"/>
      <c r="AD128" s="8"/>
      <c r="AE128" s="8"/>
    </row>
    <row r="129" spans="1:32">
      <c r="A129" s="12">
        <v>40026</v>
      </c>
      <c r="B129">
        <f>'Monthly Haver'!C132</f>
        <v>53.274000000000001</v>
      </c>
      <c r="C129">
        <f>'Monthly Haver'!D132</f>
        <v>54.630400000000002</v>
      </c>
      <c r="D129" t="e">
        <f>'Monthly Haver'!E132</f>
        <v>#N/A</v>
      </c>
      <c r="E129">
        <f>'Monthly Haver'!G132</f>
        <v>48.232900000000001</v>
      </c>
      <c r="F129">
        <f>'Monthly Haver'!H132</f>
        <v>53.401400000000002</v>
      </c>
      <c r="G129">
        <f>'Monthly Haver'!I132</f>
        <v>44.242600000000003</v>
      </c>
      <c r="H129">
        <f>'Monthly Haver'!J132</f>
        <v>51.732100000000003</v>
      </c>
      <c r="I129">
        <f>GDS_Monthly!O246</f>
        <v>92.815833103743415</v>
      </c>
      <c r="J129">
        <f>GDS_Monthly!D246</f>
        <v>92.261395008740166</v>
      </c>
      <c r="K129">
        <f>GDS_Monthly!AH246</f>
        <v>798.13580730000001</v>
      </c>
      <c r="L129">
        <f>GDS_Monthly!AI246</f>
        <v>776.28844519999996</v>
      </c>
      <c r="M129">
        <f>GDS_Monthly!N246</f>
        <v>6.5723312469410491</v>
      </c>
      <c r="N129">
        <f>GDS_Monthly!C246</f>
        <v>98.460288077413466</v>
      </c>
      <c r="O129">
        <f>GDS_Monthly!F246</f>
        <v>3.6822405430790086</v>
      </c>
      <c r="P129">
        <f>GDS_Monthly!G246</f>
        <v>1.9172233225596329</v>
      </c>
      <c r="Q129">
        <f>GDS_Monthly!T246</f>
        <v>97.95885994931372</v>
      </c>
      <c r="R129">
        <f>GDS_Monthly!V246</f>
        <v>98.667658690770239</v>
      </c>
      <c r="S129">
        <f>GDS_Monthly!W246</f>
        <v>92.284992127420296</v>
      </c>
      <c r="T129">
        <f>GDS_Monthly!X246</f>
        <v>145.92736491721726</v>
      </c>
      <c r="U129">
        <f>GDS_Monthly!AA246</f>
        <v>101.40944843477595</v>
      </c>
      <c r="V129">
        <f>GDS_Monthly!AC246</f>
        <v>155.80807387079335</v>
      </c>
      <c r="W129">
        <f>GDS_Monthly!AE246</f>
        <v>148.97378096361859</v>
      </c>
      <c r="X129">
        <f>GDS_Monthly!AF246</f>
        <v>97.949866821426866</v>
      </c>
      <c r="Y129">
        <f>OECD!B129</f>
        <v>98.191410000000005</v>
      </c>
      <c r="Z129">
        <f>OECD!C129</f>
        <v>93.06</v>
      </c>
      <c r="AA129">
        <f>'Monthly Haver'!K132</f>
        <v>99.42756</v>
      </c>
      <c r="AB129" s="10">
        <f>'Monthly Haver'!L132</f>
        <v>2685</v>
      </c>
      <c r="AC129" s="8"/>
      <c r="AD129" s="8"/>
      <c r="AE129" s="8"/>
    </row>
    <row r="130" spans="1:32">
      <c r="A130" s="12">
        <v>40057</v>
      </c>
      <c r="B130">
        <f>'Monthly Haver'!C133</f>
        <v>53.470599999999997</v>
      </c>
      <c r="C130">
        <f>'Monthly Haver'!D133</f>
        <v>50.176299999999998</v>
      </c>
      <c r="D130" t="e">
        <f>'Monthly Haver'!E133</f>
        <v>#N/A</v>
      </c>
      <c r="E130">
        <f>'Monthly Haver'!G133</f>
        <v>48.317599999999999</v>
      </c>
      <c r="F130">
        <f>'Monthly Haver'!H133</f>
        <v>53.783999999999999</v>
      </c>
      <c r="G130">
        <f>'Monthly Haver'!I133</f>
        <v>46.0672</v>
      </c>
      <c r="H130">
        <f>'Monthly Haver'!J133</f>
        <v>52.1113</v>
      </c>
      <c r="I130">
        <f>GDS_Monthly!O247</f>
        <v>93.322822029386202</v>
      </c>
      <c r="J130">
        <f>GDS_Monthly!D247</f>
        <v>93.620964792081935</v>
      </c>
      <c r="K130">
        <f>GDS_Monthly!AH247</f>
        <v>845.47679589999996</v>
      </c>
      <c r="L130">
        <f>GDS_Monthly!AI247</f>
        <v>820.16747239999995</v>
      </c>
      <c r="M130">
        <f>GDS_Monthly!N247</f>
        <v>6.5619722093325317</v>
      </c>
      <c r="N130">
        <f>GDS_Monthly!C247</f>
        <v>98.659687002362972</v>
      </c>
      <c r="O130">
        <f>GDS_Monthly!F247</f>
        <v>3.6867660159529727</v>
      </c>
      <c r="P130">
        <f>GDS_Monthly!G247</f>
        <v>1.8801020922866516</v>
      </c>
      <c r="Q130">
        <f>GDS_Monthly!T247</f>
        <v>98.074465438345072</v>
      </c>
      <c r="R130">
        <f>GDS_Monthly!V247</f>
        <v>98.796111538117714</v>
      </c>
      <c r="S130">
        <f>GDS_Monthly!W247</f>
        <v>90.719112328075511</v>
      </c>
      <c r="T130">
        <f>GDS_Monthly!X247</f>
        <v>134.42275253074516</v>
      </c>
      <c r="U130">
        <f>GDS_Monthly!AA247</f>
        <v>99.415263477507978</v>
      </c>
      <c r="V130">
        <f>GDS_Monthly!AC247</f>
        <v>150.02414204498416</v>
      </c>
      <c r="W130">
        <f>GDS_Monthly!AE247</f>
        <v>140.5298484765278</v>
      </c>
      <c r="X130">
        <f>GDS_Monthly!AF247</f>
        <v>98.559927344561629</v>
      </c>
      <c r="Y130">
        <f>OECD!B130</f>
        <v>98.699209999999994</v>
      </c>
      <c r="Z130">
        <f>OECD!C130</f>
        <v>94.05</v>
      </c>
      <c r="AA130">
        <f>'Monthly Haver'!K133</f>
        <v>97.845039999999997</v>
      </c>
      <c r="AB130" s="10">
        <f>'Monthly Haver'!L133</f>
        <v>2351</v>
      </c>
      <c r="AC130" s="8">
        <f>Quarterly!B44</f>
        <v>103.81</v>
      </c>
      <c r="AD130" s="8">
        <f>Quarterly!C44</f>
        <v>95.41</v>
      </c>
      <c r="AE130" s="8">
        <f>Quarterly!D44</f>
        <v>96.462126071420144</v>
      </c>
      <c r="AF130" s="33">
        <v>5.8453204387106945</v>
      </c>
    </row>
    <row r="131" spans="1:32">
      <c r="A131" s="12">
        <v>40087</v>
      </c>
      <c r="B131">
        <f>'Monthly Haver'!C134</f>
        <v>54.229599999999998</v>
      </c>
      <c r="C131">
        <f>'Monthly Haver'!D134</f>
        <v>51.485500000000002</v>
      </c>
      <c r="D131" t="e">
        <f>'Monthly Haver'!E134</f>
        <v>#N/A</v>
      </c>
      <c r="E131">
        <f>'Monthly Haver'!G134</f>
        <v>48.1571</v>
      </c>
      <c r="F131">
        <f>'Monthly Haver'!H134</f>
        <v>54.533999999999999</v>
      </c>
      <c r="G131">
        <f>'Monthly Haver'!I134</f>
        <v>46.671700000000001</v>
      </c>
      <c r="H131">
        <f>'Monthly Haver'!J134</f>
        <v>52.891300000000001</v>
      </c>
      <c r="I131">
        <f>GDS_Monthly!O248</f>
        <v>94.11737095835376</v>
      </c>
      <c r="J131">
        <f>GDS_Monthly!D248</f>
        <v>94.253437921539245</v>
      </c>
      <c r="K131">
        <f>GDS_Monthly!AH248</f>
        <v>866.03560619999996</v>
      </c>
      <c r="L131">
        <f>GDS_Monthly!AI248</f>
        <v>851.18176670000003</v>
      </c>
      <c r="M131">
        <f>GDS_Monthly!N248</f>
        <v>6.5526068119502101</v>
      </c>
      <c r="N131">
        <f>GDS_Monthly!C248</f>
        <v>98.21531332863465</v>
      </c>
      <c r="O131">
        <f>GDS_Monthly!F248</f>
        <v>3.6726883078914327</v>
      </c>
      <c r="P131">
        <f>GDS_Monthly!G248</f>
        <v>1.8628827727428581</v>
      </c>
      <c r="Q131">
        <f>GDS_Monthly!T248</f>
        <v>98.249539120840055</v>
      </c>
      <c r="R131">
        <f>GDS_Monthly!V248</f>
        <v>98.962994816099368</v>
      </c>
      <c r="S131">
        <f>GDS_Monthly!W248</f>
        <v>93.482796753396954</v>
      </c>
      <c r="T131">
        <f>GDS_Monthly!X248</f>
        <v>140.59150731263199</v>
      </c>
      <c r="U131">
        <f>GDS_Monthly!AA248</f>
        <v>102.83872165140218</v>
      </c>
      <c r="V131">
        <f>GDS_Monthly!AC248</f>
        <v>163.31357953472795</v>
      </c>
      <c r="W131">
        <f>GDS_Monthly!AE248</f>
        <v>151.23200119077191</v>
      </c>
      <c r="X131">
        <f>GDS_Monthly!AF248</f>
        <v>101.63983702230477</v>
      </c>
      <c r="Y131">
        <f>OECD!B131</f>
        <v>99.134770000000003</v>
      </c>
      <c r="Z131">
        <f>OECD!C131</f>
        <v>94.89</v>
      </c>
      <c r="AA131">
        <f>'Monthly Haver'!K134</f>
        <v>97.297989999999999</v>
      </c>
      <c r="AB131" s="10">
        <f>'Monthly Haver'!L134</f>
        <v>2746</v>
      </c>
      <c r="AC131" s="8"/>
      <c r="AD131" s="8"/>
      <c r="AE131" s="8"/>
    </row>
    <row r="132" spans="1:32">
      <c r="A132" s="12">
        <v>40118</v>
      </c>
      <c r="B132">
        <f>'Monthly Haver'!C135</f>
        <v>54.357700000000001</v>
      </c>
      <c r="C132">
        <f>'Monthly Haver'!D135</f>
        <v>51.3401</v>
      </c>
      <c r="D132" t="e">
        <f>'Monthly Haver'!E135</f>
        <v>#N/A</v>
      </c>
      <c r="E132">
        <f>'Monthly Haver'!G135</f>
        <v>48.54</v>
      </c>
      <c r="F132">
        <f>'Monthly Haver'!H135</f>
        <v>54.084600000000002</v>
      </c>
      <c r="G132">
        <f>'Monthly Haver'!I135</f>
        <v>46.898499999999999</v>
      </c>
      <c r="H132">
        <f>'Monthly Haver'!J135</f>
        <v>52.893900000000002</v>
      </c>
      <c r="I132">
        <f>GDS_Monthly!O249</f>
        <v>94.478068159633949</v>
      </c>
      <c r="J132">
        <f>GDS_Monthly!D249</f>
        <v>94.969976375402766</v>
      </c>
      <c r="K132">
        <f>GDS_Monthly!AH249</f>
        <v>883.58887860000004</v>
      </c>
      <c r="L132">
        <f>GDS_Monthly!AI249</f>
        <v>864.31651839999995</v>
      </c>
      <c r="M132">
        <f>GDS_Monthly!N249</f>
        <v>6.5443251295241343</v>
      </c>
      <c r="N132">
        <f>GDS_Monthly!C249</f>
        <v>98.693289926815439</v>
      </c>
      <c r="O132">
        <f>GDS_Monthly!F249</f>
        <v>3.5883768647747618</v>
      </c>
      <c r="P132">
        <f>GDS_Monthly!G249</f>
        <v>1.8463341446810981</v>
      </c>
      <c r="Q132">
        <f>GDS_Monthly!T249</f>
        <v>98.599018564711727</v>
      </c>
      <c r="R132">
        <f>GDS_Monthly!V249</f>
        <v>99.107742623643915</v>
      </c>
      <c r="S132">
        <f>GDS_Monthly!W249</f>
        <v>96.122942323724018</v>
      </c>
      <c r="T132">
        <f>GDS_Monthly!X249</f>
        <v>148.55624966199366</v>
      </c>
      <c r="U132">
        <f>GDS_Monthly!AA249</f>
        <v>107.24720845280751</v>
      </c>
      <c r="V132">
        <f>GDS_Monthly!AC249</f>
        <v>168.93007424228193</v>
      </c>
      <c r="W132">
        <f>GDS_Monthly!AE249</f>
        <v>157.29402139229686</v>
      </c>
      <c r="X132">
        <f>GDS_Monthly!AF249</f>
        <v>106.67173371170041</v>
      </c>
      <c r="Y132">
        <f>OECD!B132</f>
        <v>99.496830000000003</v>
      </c>
      <c r="Z132">
        <f>OECD!C132</f>
        <v>95.75</v>
      </c>
      <c r="AA132">
        <f>'Monthly Haver'!K135</f>
        <v>97.763019999999997</v>
      </c>
      <c r="AB132" s="10">
        <f>'Monthly Haver'!L135</f>
        <v>3941</v>
      </c>
      <c r="AC132" s="8"/>
      <c r="AD132" s="8"/>
      <c r="AE132" s="8"/>
    </row>
    <row r="133" spans="1:32">
      <c r="A133" s="12">
        <v>40148</v>
      </c>
      <c r="B133">
        <f>'Monthly Haver'!C136</f>
        <v>55.101900000000001</v>
      </c>
      <c r="C133">
        <f>'Monthly Haver'!D136</f>
        <v>52.1905</v>
      </c>
      <c r="D133" t="e">
        <f>'Monthly Haver'!E136</f>
        <v>#N/A</v>
      </c>
      <c r="E133">
        <f>'Monthly Haver'!G136</f>
        <v>48.601999999999997</v>
      </c>
      <c r="F133">
        <f>'Monthly Haver'!H136</f>
        <v>54.765300000000003</v>
      </c>
      <c r="G133">
        <f>'Monthly Haver'!I136</f>
        <v>45.79</v>
      </c>
      <c r="H133">
        <f>'Monthly Haver'!J136</f>
        <v>53.963200000000001</v>
      </c>
      <c r="I133">
        <f>GDS_Monthly!O250</f>
        <v>95.372757663566418</v>
      </c>
      <c r="J133">
        <f>GDS_Monthly!D250</f>
        <v>95.496724475219807</v>
      </c>
      <c r="K133">
        <f>GDS_Monthly!AH250</f>
        <v>920.1835112</v>
      </c>
      <c r="L133">
        <f>GDS_Monthly!AI250</f>
        <v>892.56771000000003</v>
      </c>
      <c r="M133">
        <f>GDS_Monthly!N250</f>
        <v>6.5341649464821332</v>
      </c>
      <c r="N133">
        <f>GDS_Monthly!C250</f>
        <v>99.178210097024945</v>
      </c>
      <c r="O133">
        <f>GDS_Monthly!F250</f>
        <v>3.765142577592592</v>
      </c>
      <c r="P133">
        <f>GDS_Monthly!G250</f>
        <v>1.8394051731716925</v>
      </c>
      <c r="Q133">
        <f>GDS_Monthly!T250</f>
        <v>98.770609811858307</v>
      </c>
      <c r="R133">
        <f>GDS_Monthly!V250</f>
        <v>99.259052428272881</v>
      </c>
      <c r="S133">
        <f>GDS_Monthly!W250</f>
        <v>97.692902178017661</v>
      </c>
      <c r="T133">
        <f>GDS_Monthly!X250</f>
        <v>156.25644627407564</v>
      </c>
      <c r="U133">
        <f>GDS_Monthly!AA250</f>
        <v>110.39244601609157</v>
      </c>
      <c r="V133">
        <f>GDS_Monthly!AC250</f>
        <v>170.81876853180927</v>
      </c>
      <c r="W133">
        <f>GDS_Monthly!AE250</f>
        <v>153.65155693641577</v>
      </c>
      <c r="X133">
        <f>GDS_Monthly!AF250</f>
        <v>111.83782322057328</v>
      </c>
      <c r="Y133">
        <f>OECD!B133</f>
        <v>99.796040000000005</v>
      </c>
      <c r="Z133">
        <f>OECD!C133</f>
        <v>96.4</v>
      </c>
      <c r="AA133">
        <f>'Monthly Haver'!K136</f>
        <v>98.05538</v>
      </c>
      <c r="AB133" s="10">
        <f>'Monthly Haver'!L136</f>
        <v>3605</v>
      </c>
      <c r="AC133" s="8">
        <f>Quarterly!B45</f>
        <v>103.88</v>
      </c>
      <c r="AD133" s="8">
        <f>Quarterly!C45</f>
        <v>95.43</v>
      </c>
      <c r="AE133" s="8">
        <f>Quarterly!D45</f>
        <v>97.532929759671333</v>
      </c>
      <c r="AF133" s="33">
        <v>5.659692526913223</v>
      </c>
    </row>
    <row r="134" spans="1:32">
      <c r="A134" s="12">
        <v>40179</v>
      </c>
      <c r="B134">
        <f>'Monthly Haver'!C137</f>
        <v>55.568800000000003</v>
      </c>
      <c r="C134">
        <f>'Monthly Haver'!D137</f>
        <v>54.785899999999998</v>
      </c>
      <c r="D134" t="e">
        <f>'Monthly Haver'!E137</f>
        <v>#N/A</v>
      </c>
      <c r="E134">
        <f>'Monthly Haver'!G137</f>
        <v>49.247799999999998</v>
      </c>
      <c r="F134">
        <f>'Monthly Haver'!H137</f>
        <v>55.448999999999998</v>
      </c>
      <c r="G134">
        <f>'Monthly Haver'!I137</f>
        <v>47.310099999999998</v>
      </c>
      <c r="H134">
        <f>'Monthly Haver'!J137</f>
        <v>54.053899999999999</v>
      </c>
      <c r="I134">
        <f>GDS_Monthly!O251</f>
        <v>96.352090541539923</v>
      </c>
      <c r="J134">
        <f>GDS_Monthly!D251</f>
        <v>96.693717373544175</v>
      </c>
      <c r="K134">
        <f>GDS_Monthly!AH251</f>
        <v>901.52797910000004</v>
      </c>
      <c r="L134">
        <f>GDS_Monthly!AI251</f>
        <v>877.04189919999999</v>
      </c>
      <c r="M134">
        <f>GDS_Monthly!N251</f>
        <v>6.464495672891224</v>
      </c>
      <c r="N134">
        <f>GDS_Monthly!C251</f>
        <v>100.02607577951669</v>
      </c>
      <c r="O134">
        <f>GDS_Monthly!F251</f>
        <v>3.8079052688952877</v>
      </c>
      <c r="P134">
        <f>GDS_Monthly!G251</f>
        <v>1.9246959979289595</v>
      </c>
      <c r="Q134">
        <f>GDS_Monthly!T251</f>
        <v>99.0260633881676</v>
      </c>
      <c r="R134">
        <f>GDS_Monthly!V251</f>
        <v>99.385323971240453</v>
      </c>
      <c r="S134">
        <f>GDS_Monthly!W251</f>
        <v>98.518393838532972</v>
      </c>
      <c r="T134">
        <f>GDS_Monthly!X251</f>
        <v>171.66321695234703</v>
      </c>
      <c r="U134">
        <f>GDS_Monthly!AA251</f>
        <v>113.78308908220964</v>
      </c>
      <c r="V134">
        <f>GDS_Monthly!AC251</f>
        <v>180.07341138285148</v>
      </c>
      <c r="W134">
        <f>GDS_Monthly!AE251</f>
        <v>160.03113117460191</v>
      </c>
      <c r="X134">
        <f>GDS_Monthly!AF251</f>
        <v>114.96306581483876</v>
      </c>
      <c r="Y134">
        <f>OECD!B134</f>
        <v>100.0352</v>
      </c>
      <c r="Z134">
        <f>OECD!C134</f>
        <v>97.21</v>
      </c>
      <c r="AA134">
        <f>'Monthly Haver'!K137</f>
        <v>99.673550000000006</v>
      </c>
      <c r="AB134" s="10">
        <f>'Monthly Haver'!L137</f>
        <v>3168</v>
      </c>
      <c r="AC134" s="8"/>
      <c r="AD134" s="8"/>
      <c r="AE134" s="8"/>
    </row>
    <row r="135" spans="1:32">
      <c r="A135" s="12">
        <v>40210</v>
      </c>
      <c r="B135">
        <f>'Monthly Haver'!C138</f>
        <v>55.288800000000002</v>
      </c>
      <c r="C135">
        <f>'Monthly Haver'!D138</f>
        <v>54.56</v>
      </c>
      <c r="D135" t="e">
        <f>'Monthly Haver'!E138</f>
        <v>#N/A</v>
      </c>
      <c r="E135">
        <f>'Monthly Haver'!G138</f>
        <v>49.579599999999999</v>
      </c>
      <c r="F135">
        <f>'Monthly Haver'!H138</f>
        <v>54.976599999999998</v>
      </c>
      <c r="G135">
        <f>'Monthly Haver'!I138</f>
        <v>48.0807</v>
      </c>
      <c r="H135">
        <f>'Monthly Haver'!J138</f>
        <v>54.9621</v>
      </c>
      <c r="I135">
        <f>GDS_Monthly!O252</f>
        <v>97.653661806810035</v>
      </c>
      <c r="J135">
        <f>GDS_Monthly!D252</f>
        <v>97.223612696185739</v>
      </c>
      <c r="K135">
        <f>GDS_Monthly!AH252</f>
        <v>924.96810819999996</v>
      </c>
      <c r="L135">
        <f>GDS_Monthly!AI252</f>
        <v>895.99902899999995</v>
      </c>
      <c r="M135">
        <f>GDS_Monthly!N252</f>
        <v>6.4189356745669386</v>
      </c>
      <c r="N135">
        <f>GDS_Monthly!C252</f>
        <v>98.27270595768303</v>
      </c>
      <c r="O135">
        <f>GDS_Monthly!F252</f>
        <v>3.8811894649169738</v>
      </c>
      <c r="P135">
        <f>GDS_Monthly!G252</f>
        <v>1.9139925789030126</v>
      </c>
      <c r="Q135">
        <f>GDS_Monthly!T252</f>
        <v>99.152065457456189</v>
      </c>
      <c r="R135">
        <f>GDS_Monthly!V252</f>
        <v>99.4759390359214</v>
      </c>
      <c r="S135">
        <f>GDS_Monthly!W252</f>
        <v>98.346200068742576</v>
      </c>
      <c r="T135">
        <f>GDS_Monthly!X252</f>
        <v>167.30478016002482</v>
      </c>
      <c r="U135">
        <f>GDS_Monthly!AA252</f>
        <v>112.41490805661167</v>
      </c>
      <c r="V135">
        <f>GDS_Monthly!AC252</f>
        <v>173.9166108227474</v>
      </c>
      <c r="W135">
        <f>GDS_Monthly!AE252</f>
        <v>157.62755175921382</v>
      </c>
      <c r="X135">
        <f>GDS_Monthly!AF252</f>
        <v>115.2274906060351</v>
      </c>
      <c r="Y135">
        <f>OECD!B135</f>
        <v>100.2148</v>
      </c>
      <c r="Z135">
        <f>OECD!C135</f>
        <v>96.75</v>
      </c>
      <c r="AA135">
        <f>'Monthly Haver'!K138</f>
        <v>100.55222999999999</v>
      </c>
      <c r="AB135" s="10">
        <f>'Monthly Haver'!L138</f>
        <v>2678</v>
      </c>
      <c r="AC135" s="8"/>
      <c r="AD135" s="8"/>
      <c r="AE135" s="8"/>
    </row>
    <row r="136" spans="1:32">
      <c r="A136" s="12">
        <v>40238</v>
      </c>
      <c r="B136">
        <f>'Monthly Haver'!C139</f>
        <v>56.779400000000003</v>
      </c>
      <c r="C136">
        <f>'Monthly Haver'!D139</f>
        <v>55.656399999999998</v>
      </c>
      <c r="D136" t="e">
        <f>'Monthly Haver'!E139</f>
        <v>#N/A</v>
      </c>
      <c r="E136">
        <f>'Monthly Haver'!G139</f>
        <v>50.6875</v>
      </c>
      <c r="F136">
        <f>'Monthly Haver'!H139</f>
        <v>55.9679</v>
      </c>
      <c r="G136">
        <f>'Monthly Haver'!I139</f>
        <v>47.6633</v>
      </c>
      <c r="H136">
        <f>'Monthly Haver'!J139</f>
        <v>55.871899999999997</v>
      </c>
      <c r="I136">
        <f>GDS_Monthly!O253</f>
        <v>98.02098540245872</v>
      </c>
      <c r="J136">
        <f>GDS_Monthly!D253</f>
        <v>98.353071766729698</v>
      </c>
      <c r="K136">
        <f>GDS_Monthly!AH253</f>
        <v>959.13969329999998</v>
      </c>
      <c r="L136">
        <f>GDS_Monthly!AI253</f>
        <v>916.02453170000001</v>
      </c>
      <c r="M136">
        <f>GDS_Monthly!N253</f>
        <v>6.4140827987938076</v>
      </c>
      <c r="N136">
        <f>GDS_Monthly!C253</f>
        <v>99.608763031099272</v>
      </c>
      <c r="O136">
        <f>GDS_Monthly!F253</f>
        <v>3.761137738401533</v>
      </c>
      <c r="P136">
        <f>GDS_Monthly!G253</f>
        <v>1.9067824098003776</v>
      </c>
      <c r="Q136">
        <f>GDS_Monthly!T253</f>
        <v>99.319528846304465</v>
      </c>
      <c r="R136">
        <f>GDS_Monthly!V253</f>
        <v>99.530896754736474</v>
      </c>
      <c r="S136">
        <f>GDS_Monthly!W253</f>
        <v>101.25378668256616</v>
      </c>
      <c r="T136">
        <f>GDS_Monthly!X253</f>
        <v>183.10133570298322</v>
      </c>
      <c r="U136">
        <f>GDS_Monthly!AA253</f>
        <v>117.42107002525746</v>
      </c>
      <c r="V136">
        <f>GDS_Monthly!AC253</f>
        <v>177.88173714192757</v>
      </c>
      <c r="W136">
        <f>GDS_Monthly!AE253</f>
        <v>168.41897005847787</v>
      </c>
      <c r="X136">
        <f>GDS_Monthly!AF253</f>
        <v>120.25894320903326</v>
      </c>
      <c r="Y136">
        <f>OECD!B136</f>
        <v>100.3434</v>
      </c>
      <c r="Z136">
        <f>OECD!C136</f>
        <v>98.2</v>
      </c>
      <c r="AA136">
        <f>'Monthly Haver'!K139</f>
        <v>100.33282</v>
      </c>
      <c r="AB136" s="10">
        <f>'Monthly Haver'!L139</f>
        <v>3209</v>
      </c>
      <c r="AC136" s="8">
        <f>Quarterly!B46</f>
        <v>104.21</v>
      </c>
      <c r="AD136" s="8">
        <f>Quarterly!C46</f>
        <v>95.17</v>
      </c>
      <c r="AE136" s="8">
        <f>Quarterly!D46</f>
        <v>98.415524779069301</v>
      </c>
      <c r="AF136" s="33">
        <v>5.3587045885478046</v>
      </c>
    </row>
    <row r="137" spans="1:32">
      <c r="A137" s="12">
        <v>40269</v>
      </c>
      <c r="B137">
        <f>'Monthly Haver'!C140</f>
        <v>56.810699999999997</v>
      </c>
      <c r="C137">
        <f>'Monthly Haver'!D140</f>
        <v>56.944800000000001</v>
      </c>
      <c r="D137" t="e">
        <f>'Monthly Haver'!E140</f>
        <v>#N/A</v>
      </c>
      <c r="E137">
        <f>'Monthly Haver'!G140</f>
        <v>51.102600000000002</v>
      </c>
      <c r="F137">
        <f>'Monthly Haver'!H140</f>
        <v>56.713000000000001</v>
      </c>
      <c r="G137">
        <f>'Monthly Haver'!I140</f>
        <v>48.009599999999999</v>
      </c>
      <c r="H137">
        <f>'Monthly Haver'!J140</f>
        <v>56.170400000000001</v>
      </c>
      <c r="I137">
        <f>GDS_Monthly!O254</f>
        <v>98.616348810720055</v>
      </c>
      <c r="J137">
        <f>GDS_Monthly!D254</f>
        <v>99.090676654969755</v>
      </c>
      <c r="K137">
        <f>GDS_Monthly!AH254</f>
        <v>960.08939969999994</v>
      </c>
      <c r="L137">
        <f>GDS_Monthly!AI254</f>
        <v>920.77706599999999</v>
      </c>
      <c r="M137">
        <f>GDS_Monthly!N254</f>
        <v>6.4134674718310336</v>
      </c>
      <c r="N137">
        <f>GDS_Monthly!C254</f>
        <v>100.62263817443342</v>
      </c>
      <c r="O137">
        <f>GDS_Monthly!F254</f>
        <v>3.9368714534292031</v>
      </c>
      <c r="P137">
        <f>GDS_Monthly!G254</f>
        <v>1.9366899585101911</v>
      </c>
      <c r="Q137">
        <f>GDS_Monthly!T254</f>
        <v>99.48189700645807</v>
      </c>
      <c r="R137">
        <f>GDS_Monthly!V254</f>
        <v>99.598448621318326</v>
      </c>
      <c r="S137">
        <f>GDS_Monthly!W254</f>
        <v>103.79585780162009</v>
      </c>
      <c r="T137">
        <f>GDS_Monthly!X254</f>
        <v>207.58511958420451</v>
      </c>
      <c r="U137">
        <f>GDS_Monthly!AA254</f>
        <v>124.47301769771471</v>
      </c>
      <c r="V137">
        <f>GDS_Monthly!AC254</f>
        <v>187.01648604393606</v>
      </c>
      <c r="W137">
        <f>GDS_Monthly!AE254</f>
        <v>179.92503356055349</v>
      </c>
      <c r="X137">
        <f>GDS_Monthly!AF254</f>
        <v>127.87876303383604</v>
      </c>
      <c r="Y137">
        <f>OECD!B137</f>
        <v>100.4171</v>
      </c>
      <c r="Z137">
        <f>OECD!C137</f>
        <v>99.14</v>
      </c>
      <c r="AA137">
        <f>'Monthly Haver'!K140</f>
        <v>99.561000000000007</v>
      </c>
      <c r="AB137" s="10">
        <f>'Monthly Haver'!L140</f>
        <v>3043</v>
      </c>
      <c r="AC137" s="8"/>
      <c r="AD137" s="8"/>
      <c r="AE137" s="8"/>
    </row>
    <row r="138" spans="1:32">
      <c r="A138" s="12">
        <v>40299</v>
      </c>
      <c r="B138">
        <f>'Monthly Haver'!C141</f>
        <v>55.321100000000001</v>
      </c>
      <c r="C138">
        <f>'Monthly Haver'!D141</f>
        <v>56.125700000000002</v>
      </c>
      <c r="D138" t="e">
        <f>'Monthly Haver'!E141</f>
        <v>#N/A</v>
      </c>
      <c r="E138">
        <f>'Monthly Haver'!G141</f>
        <v>51.6021</v>
      </c>
      <c r="F138">
        <f>'Monthly Haver'!H141</f>
        <v>55.540300000000002</v>
      </c>
      <c r="G138">
        <f>'Monthly Haver'!I141</f>
        <v>48.875700000000002</v>
      </c>
      <c r="H138">
        <f>'Monthly Haver'!J141</f>
        <v>55.61</v>
      </c>
      <c r="I138">
        <f>GDS_Monthly!O255</f>
        <v>98.985351793486757</v>
      </c>
      <c r="J138">
        <f>GDS_Monthly!D255</f>
        <v>99.69148205055518</v>
      </c>
      <c r="K138">
        <f>GDS_Monthly!AH255</f>
        <v>956.87426170000003</v>
      </c>
      <c r="L138">
        <f>GDS_Monthly!AI255</f>
        <v>927.80953539999996</v>
      </c>
      <c r="M138">
        <f>GDS_Monthly!N255</f>
        <v>6.3597429031267385</v>
      </c>
      <c r="N138">
        <f>GDS_Monthly!C255</f>
        <v>101.38719597720983</v>
      </c>
      <c r="O138">
        <f>GDS_Monthly!F255</f>
        <v>3.5999345211703035</v>
      </c>
      <c r="P138">
        <f>GDS_Monthly!G255</f>
        <v>1.9403093802497899</v>
      </c>
      <c r="Q138">
        <f>GDS_Monthly!T255</f>
        <v>99.592328011153612</v>
      </c>
      <c r="R138">
        <f>GDS_Monthly!V255</f>
        <v>99.685810867335661</v>
      </c>
      <c r="S138">
        <f>GDS_Monthly!W255</f>
        <v>100.18706314466569</v>
      </c>
      <c r="T138">
        <f>GDS_Monthly!X255</f>
        <v>187.03336277705984</v>
      </c>
      <c r="U138">
        <f>GDS_Monthly!AA255</f>
        <v>119.26232276476458</v>
      </c>
      <c r="V138">
        <f>GDS_Monthly!AC255</f>
        <v>172.99502369784446</v>
      </c>
      <c r="W138">
        <f>GDS_Monthly!AE255</f>
        <v>165.69167844049997</v>
      </c>
      <c r="X138">
        <f>GDS_Monthly!AF255</f>
        <v>125.81059602397542</v>
      </c>
      <c r="Y138">
        <f>OECD!B138</f>
        <v>100.4408</v>
      </c>
      <c r="Z138">
        <f>OECD!C138</f>
        <v>98.12</v>
      </c>
      <c r="AA138">
        <f>'Monthly Haver'!K141</f>
        <v>102.36559</v>
      </c>
      <c r="AB138" s="10">
        <f>'Monthly Haver'!L141</f>
        <v>3838</v>
      </c>
      <c r="AC138" s="8"/>
      <c r="AD138" s="8"/>
      <c r="AE138" s="8"/>
    </row>
    <row r="139" spans="1:32">
      <c r="A139" s="12">
        <v>40330</v>
      </c>
      <c r="B139">
        <f>'Monthly Haver'!C142</f>
        <v>54.204900000000002</v>
      </c>
      <c r="C139">
        <f>'Monthly Haver'!D142</f>
        <v>54.151299999999999</v>
      </c>
      <c r="D139" t="e">
        <f>'Monthly Haver'!E142</f>
        <v>#N/A</v>
      </c>
      <c r="E139">
        <f>'Monthly Haver'!G142</f>
        <v>51.652000000000001</v>
      </c>
      <c r="F139">
        <f>'Monthly Haver'!H142</f>
        <v>53.984000000000002</v>
      </c>
      <c r="G139">
        <f>'Monthly Haver'!I142</f>
        <v>49.508000000000003</v>
      </c>
      <c r="H139">
        <f>'Monthly Haver'!J142</f>
        <v>55.034399999999998</v>
      </c>
      <c r="I139">
        <f>GDS_Monthly!O256</f>
        <v>99.492805084833805</v>
      </c>
      <c r="J139">
        <f>GDS_Monthly!D256</f>
        <v>99.765378168515014</v>
      </c>
      <c r="K139">
        <f>GDS_Monthly!AH256</f>
        <v>973.12675569999999</v>
      </c>
      <c r="L139">
        <f>GDS_Monthly!AI256</f>
        <v>938.34979310000006</v>
      </c>
      <c r="M139">
        <f>GDS_Monthly!N256</f>
        <v>6.311425006126135</v>
      </c>
      <c r="N139">
        <f>GDS_Monthly!C256</f>
        <v>99.959472532344122</v>
      </c>
      <c r="O139">
        <f>GDS_Monthly!F256</f>
        <v>3.4062785891809857</v>
      </c>
      <c r="P139">
        <f>GDS_Monthly!G256</f>
        <v>1.9626823010716625</v>
      </c>
      <c r="Q139">
        <f>GDS_Monthly!T256</f>
        <v>99.68610304216881</v>
      </c>
      <c r="R139">
        <f>GDS_Monthly!V256</f>
        <v>99.846939236419544</v>
      </c>
      <c r="S139">
        <f>GDS_Monthly!W256</f>
        <v>96.353390708561477</v>
      </c>
      <c r="T139">
        <f>GDS_Monthly!X256</f>
        <v>170.55372279363118</v>
      </c>
      <c r="U139">
        <f>GDS_Monthly!AA256</f>
        <v>114.61667188016857</v>
      </c>
      <c r="V139">
        <f>GDS_Monthly!AC256</f>
        <v>172.57800465979557</v>
      </c>
      <c r="W139">
        <f>GDS_Monthly!AE256</f>
        <v>165.13898950652413</v>
      </c>
      <c r="X139">
        <f>GDS_Monthly!AF256</f>
        <v>125.20618065107769</v>
      </c>
      <c r="Y139">
        <f>OECD!B139</f>
        <v>100.4396</v>
      </c>
      <c r="Z139">
        <f>OECD!C139</f>
        <v>97.32</v>
      </c>
      <c r="AA139">
        <f>'Monthly Haver'!K142</f>
        <v>102.65425999999999</v>
      </c>
      <c r="AB139" s="10">
        <f>'Monthly Haver'!L142</f>
        <v>3088</v>
      </c>
      <c r="AC139" s="8">
        <f>Quarterly!B47</f>
        <v>104.84</v>
      </c>
      <c r="AD139" s="8">
        <f>Quarterly!C47</f>
        <v>94.96</v>
      </c>
      <c r="AE139" s="8">
        <f>Quarterly!D47</f>
        <v>99.630047937267065</v>
      </c>
      <c r="AF139" s="33">
        <v>6.0376504674532212</v>
      </c>
    </row>
    <row r="140" spans="1:32">
      <c r="A140" s="12">
        <v>40360</v>
      </c>
      <c r="B140">
        <f>'Monthly Haver'!C143</f>
        <v>54.422400000000003</v>
      </c>
      <c r="C140">
        <f>'Monthly Haver'!D143</f>
        <v>53.886899999999997</v>
      </c>
      <c r="D140" t="e">
        <f>'Monthly Haver'!E143</f>
        <v>#N/A</v>
      </c>
      <c r="E140">
        <f>'Monthly Haver'!G143</f>
        <v>51.300400000000003</v>
      </c>
      <c r="F140">
        <f>'Monthly Haver'!H143</f>
        <v>54.046999999999997</v>
      </c>
      <c r="G140">
        <f>'Monthly Haver'!I143</f>
        <v>49.026200000000003</v>
      </c>
      <c r="H140">
        <f>'Monthly Haver'!J143</f>
        <v>55.012999999999998</v>
      </c>
      <c r="I140">
        <f>GDS_Monthly!O257</f>
        <v>100.20840658670889</v>
      </c>
      <c r="J140">
        <f>GDS_Monthly!D257</f>
        <v>100.15441451706199</v>
      </c>
      <c r="K140">
        <f>GDS_Monthly!AH257</f>
        <v>983.90017560000001</v>
      </c>
      <c r="L140">
        <f>GDS_Monthly!AI257</f>
        <v>951.13437929999998</v>
      </c>
      <c r="M140">
        <f>GDS_Monthly!N257</f>
        <v>6.2445827693247971</v>
      </c>
      <c r="N140">
        <f>GDS_Monthly!C257</f>
        <v>99.449793361893455</v>
      </c>
      <c r="O140">
        <f>GDS_Monthly!F257</f>
        <v>3.37532755681563</v>
      </c>
      <c r="P140">
        <f>GDS_Monthly!G257</f>
        <v>2.0028455637522358</v>
      </c>
      <c r="Q140">
        <f>GDS_Monthly!T257</f>
        <v>99.90419041115095</v>
      </c>
      <c r="R140">
        <f>GDS_Monthly!V257</f>
        <v>99.982505471473061</v>
      </c>
      <c r="S140">
        <f>GDS_Monthly!W257</f>
        <v>102.12545867031344</v>
      </c>
      <c r="T140">
        <f>GDS_Monthly!X257</f>
        <v>164.20572406389692</v>
      </c>
      <c r="U140">
        <f>GDS_Monthly!AA257</f>
        <v>115.56013070357486</v>
      </c>
      <c r="V140">
        <f>GDS_Monthly!AC257</f>
        <v>171.79219112701134</v>
      </c>
      <c r="W140">
        <f>GDS_Monthly!AE257</f>
        <v>160.7112289903219</v>
      </c>
      <c r="X140">
        <f>GDS_Monthly!AF257</f>
        <v>121.27712202207984</v>
      </c>
      <c r="Y140">
        <f>OECD!B140</f>
        <v>100.4439</v>
      </c>
      <c r="Z140">
        <f>OECD!C140</f>
        <v>97.11</v>
      </c>
      <c r="AA140">
        <f>'Monthly Haver'!K143</f>
        <v>101.23415</v>
      </c>
      <c r="AB140" s="10">
        <f>'Monthly Haver'!L143</f>
        <v>1910</v>
      </c>
      <c r="AC140" s="8"/>
      <c r="AD140" s="8"/>
      <c r="AE140" s="8"/>
    </row>
    <row r="141" spans="1:32">
      <c r="A141" s="12">
        <v>40391</v>
      </c>
      <c r="B141">
        <f>'Monthly Haver'!C144</f>
        <v>54.198700000000002</v>
      </c>
      <c r="C141">
        <f>'Monthly Haver'!D144</f>
        <v>54.938800000000001</v>
      </c>
      <c r="D141" t="e">
        <f>'Monthly Haver'!E144</f>
        <v>#N/A</v>
      </c>
      <c r="E141">
        <f>'Monthly Haver'!G144</f>
        <v>51.647799999999997</v>
      </c>
      <c r="F141">
        <f>'Monthly Haver'!H144</f>
        <v>53.093000000000004</v>
      </c>
      <c r="G141">
        <f>'Monthly Haver'!I144</f>
        <v>48.618099999999998</v>
      </c>
      <c r="H141">
        <f>'Monthly Haver'!J144</f>
        <v>55.040799999999997</v>
      </c>
      <c r="I141">
        <f>GDS_Monthly!O258</f>
        <v>100.75321879418371</v>
      </c>
      <c r="J141">
        <f>GDS_Monthly!D258</f>
        <v>100.56952903107539</v>
      </c>
      <c r="K141">
        <f>GDS_Monthly!AH258</f>
        <v>1001.7466247</v>
      </c>
      <c r="L141">
        <f>GDS_Monthly!AI258</f>
        <v>960.27868850000004</v>
      </c>
      <c r="M141">
        <f>GDS_Monthly!N258</f>
        <v>6.2367800907078044</v>
      </c>
      <c r="N141">
        <f>GDS_Monthly!C258</f>
        <v>100.24009147447977</v>
      </c>
      <c r="O141">
        <f>GDS_Monthly!F258</f>
        <v>3.157696281292349</v>
      </c>
      <c r="P141">
        <f>GDS_Monthly!G258</f>
        <v>2.0051418756829542</v>
      </c>
      <c r="Q141">
        <f>GDS_Monthly!T258</f>
        <v>100.1120061169499</v>
      </c>
      <c r="R141">
        <f>GDS_Monthly!V258</f>
        <v>100.12460797808897</v>
      </c>
      <c r="S141">
        <f>GDS_Monthly!W258</f>
        <v>104.4015206832873</v>
      </c>
      <c r="T141">
        <f>GDS_Monthly!X258</f>
        <v>182.31253494832049</v>
      </c>
      <c r="U141">
        <f>GDS_Monthly!AA258</f>
        <v>121.08802472151862</v>
      </c>
      <c r="V141">
        <f>GDS_Monthly!AC258</f>
        <v>173.13617346236873</v>
      </c>
      <c r="W141">
        <f>GDS_Monthly!AE258</f>
        <v>162.18733400306886</v>
      </c>
      <c r="X141">
        <f>GDS_Monthly!AF258</f>
        <v>123.99618750824213</v>
      </c>
      <c r="Y141">
        <f>OECD!B141</f>
        <v>100.4761</v>
      </c>
      <c r="Z141">
        <f>OECD!C141</f>
        <v>97.23</v>
      </c>
      <c r="AA141">
        <f>'Monthly Haver'!K144</f>
        <v>100.9623</v>
      </c>
      <c r="AB141" s="10">
        <f>'Monthly Haver'!L144</f>
        <v>2432</v>
      </c>
      <c r="AC141" s="8"/>
      <c r="AD141" s="8"/>
      <c r="AE141" s="8"/>
    </row>
    <row r="142" spans="1:32">
      <c r="A142" s="12">
        <v>40422</v>
      </c>
      <c r="B142">
        <f>'Monthly Haver'!C145</f>
        <v>53.374299999999998</v>
      </c>
      <c r="C142">
        <f>'Monthly Haver'!D145</f>
        <v>54.662999999999997</v>
      </c>
      <c r="D142" t="e">
        <f>'Monthly Haver'!E145</f>
        <v>#N/A</v>
      </c>
      <c r="E142">
        <f>'Monthly Haver'!G145</f>
        <v>51.2331</v>
      </c>
      <c r="F142">
        <f>'Monthly Haver'!H145</f>
        <v>52.7667</v>
      </c>
      <c r="G142">
        <f>'Monthly Haver'!I145</f>
        <v>49.108199999999997</v>
      </c>
      <c r="H142">
        <f>'Monthly Haver'!J145</f>
        <v>54.203600000000002</v>
      </c>
      <c r="I142">
        <f>GDS_Monthly!O259</f>
        <v>101.40393866382036</v>
      </c>
      <c r="J142">
        <f>GDS_Monthly!D259</f>
        <v>101.07204395981502</v>
      </c>
      <c r="K142">
        <f>GDS_Monthly!AH259</f>
        <v>1013.0681796</v>
      </c>
      <c r="L142">
        <f>GDS_Monthly!AI259</f>
        <v>977.55677660000003</v>
      </c>
      <c r="M142">
        <f>GDS_Monthly!N259</f>
        <v>6.1998102538024753</v>
      </c>
      <c r="N142">
        <f>GDS_Monthly!C259</f>
        <v>99.029203359644839</v>
      </c>
      <c r="O142">
        <f>GDS_Monthly!F259</f>
        <v>3.1319789280314527</v>
      </c>
      <c r="P142">
        <f>GDS_Monthly!G259</f>
        <v>2.0199173476778016</v>
      </c>
      <c r="Q142">
        <f>GDS_Monthly!T259</f>
        <v>100.37541585565933</v>
      </c>
      <c r="R142">
        <f>GDS_Monthly!V259</f>
        <v>100.25168161999245</v>
      </c>
      <c r="S142">
        <f>GDS_Monthly!W259</f>
        <v>109.67239266628133</v>
      </c>
      <c r="T142">
        <f>GDS_Monthly!X259</f>
        <v>184.66615598204845</v>
      </c>
      <c r="U142">
        <f>GDS_Monthly!AA259</f>
        <v>125.67094261705633</v>
      </c>
      <c r="V142">
        <f>GDS_Monthly!AC259</f>
        <v>172.96660580380609</v>
      </c>
      <c r="W142">
        <f>GDS_Monthly!AE259</f>
        <v>161.71973609611223</v>
      </c>
      <c r="X142">
        <f>GDS_Monthly!AF259</f>
        <v>130.1061896733373</v>
      </c>
      <c r="Y142">
        <f>OECD!B142</f>
        <v>100.5381</v>
      </c>
      <c r="Z142">
        <f>OECD!C142</f>
        <v>97.87</v>
      </c>
      <c r="AA142">
        <f>'Monthly Haver'!K145</f>
        <v>99.352779999999996</v>
      </c>
      <c r="AB142" s="10">
        <f>'Monthly Haver'!L145</f>
        <v>2712</v>
      </c>
      <c r="AC142" s="8">
        <f>Quarterly!B48</f>
        <v>105.24</v>
      </c>
      <c r="AD142" s="8">
        <f>Quarterly!C48</f>
        <v>95.16</v>
      </c>
      <c r="AE142" s="8">
        <f>Quarterly!D48</f>
        <v>100.57094438842317</v>
      </c>
      <c r="AF142" s="33">
        <v>4.8679329635956501</v>
      </c>
    </row>
    <row r="143" spans="1:32">
      <c r="A143" s="12">
        <v>40452</v>
      </c>
      <c r="B143">
        <f>'Monthly Haver'!C146</f>
        <v>53.5595</v>
      </c>
      <c r="C143">
        <f>'Monthly Haver'!D146</f>
        <v>55.511400000000002</v>
      </c>
      <c r="D143" t="e">
        <f>'Monthly Haver'!E146</f>
        <v>#N/A</v>
      </c>
      <c r="E143">
        <f>'Monthly Haver'!G146</f>
        <v>51.764299999999999</v>
      </c>
      <c r="F143">
        <f>'Monthly Haver'!H146</f>
        <v>53.073999999999998</v>
      </c>
      <c r="G143">
        <f>'Monthly Haver'!I146</f>
        <v>48.520899999999997</v>
      </c>
      <c r="H143">
        <f>'Monthly Haver'!J146</f>
        <v>53.1</v>
      </c>
      <c r="I143">
        <f>GDS_Monthly!O260</f>
        <v>102.0461048518392</v>
      </c>
      <c r="J143">
        <f>GDS_Monthly!D260</f>
        <v>101.75853950598182</v>
      </c>
      <c r="K143">
        <f>GDS_Monthly!AH260</f>
        <v>1040.2733447999999</v>
      </c>
      <c r="L143">
        <f>GDS_Monthly!AI260</f>
        <v>1014.7807052000001</v>
      </c>
      <c r="M143">
        <f>GDS_Monthly!N260</f>
        <v>6.2043837781096478</v>
      </c>
      <c r="N143">
        <f>GDS_Monthly!C260</f>
        <v>99.254645207112262</v>
      </c>
      <c r="O143">
        <f>GDS_Monthly!F260</f>
        <v>2.9585395715834992</v>
      </c>
      <c r="P143">
        <f>GDS_Monthly!G260</f>
        <v>2.0321171222649483</v>
      </c>
      <c r="Q143">
        <f>GDS_Monthly!T260</f>
        <v>100.74196388878455</v>
      </c>
      <c r="R143">
        <f>GDS_Monthly!V260</f>
        <v>100.72587747956314</v>
      </c>
      <c r="S143">
        <f>GDS_Monthly!W260</f>
        <v>113.51648059962476</v>
      </c>
      <c r="T143">
        <f>GDS_Monthly!X260</f>
        <v>195.44561957844172</v>
      </c>
      <c r="U143">
        <f>GDS_Monthly!AA260</f>
        <v>131.84499579286268</v>
      </c>
      <c r="V143">
        <f>GDS_Monthly!AC260</f>
        <v>182.84999770052161</v>
      </c>
      <c r="W143">
        <f>GDS_Monthly!AE260</f>
        <v>168.86970207378192</v>
      </c>
      <c r="X143">
        <f>GDS_Monthly!AF260</f>
        <v>140.30487427055112</v>
      </c>
      <c r="Y143">
        <f>OECD!B143</f>
        <v>100.62050000000001</v>
      </c>
      <c r="Z143">
        <f>OECD!C143</f>
        <v>97.64</v>
      </c>
      <c r="AA143">
        <f>'Monthly Haver'!K146</f>
        <v>97.343919999999997</v>
      </c>
      <c r="AB143" s="10">
        <f>'Monthly Haver'!L146</f>
        <v>2693</v>
      </c>
      <c r="AC143" s="8"/>
      <c r="AD143" s="8"/>
      <c r="AE143" s="8"/>
    </row>
    <row r="144" spans="1:32">
      <c r="A144" s="12">
        <v>40483</v>
      </c>
      <c r="B144">
        <f>'Monthly Haver'!C147</f>
        <v>54.072099999999999</v>
      </c>
      <c r="C144">
        <f>'Monthly Haver'!D147</f>
        <v>55.722700000000003</v>
      </c>
      <c r="D144" t="e">
        <f>'Monthly Haver'!E147</f>
        <v>#N/A</v>
      </c>
      <c r="E144">
        <f>'Monthly Haver'!G147</f>
        <v>51.699599999999997</v>
      </c>
      <c r="F144">
        <f>'Monthly Haver'!H147</f>
        <v>53.498899999999999</v>
      </c>
      <c r="G144">
        <f>'Monthly Haver'!I147</f>
        <v>48.0274</v>
      </c>
      <c r="H144">
        <f>'Monthly Haver'!J147</f>
        <v>53.632199999999997</v>
      </c>
      <c r="I144">
        <f>GDS_Monthly!O261</f>
        <v>102.99710272161813</v>
      </c>
      <c r="J144">
        <f>GDS_Monthly!D261</f>
        <v>102.38309180298708</v>
      </c>
      <c r="K144">
        <f>GDS_Monthly!AH261</f>
        <v>1073.3966656</v>
      </c>
      <c r="L144">
        <f>GDS_Monthly!AI261</f>
        <v>1037.1069729000001</v>
      </c>
      <c r="M144">
        <f>GDS_Monthly!N261</f>
        <v>6.1901287981021209</v>
      </c>
      <c r="N144">
        <f>GDS_Monthly!C261</f>
        <v>100.65031003111557</v>
      </c>
      <c r="O144">
        <f>GDS_Monthly!F261</f>
        <v>3.2821866479858794</v>
      </c>
      <c r="P144">
        <f>GDS_Monthly!G261</f>
        <v>2.0574492219540201</v>
      </c>
      <c r="Q144">
        <f>GDS_Monthly!T261</f>
        <v>101.10728127241642</v>
      </c>
      <c r="R144">
        <f>GDS_Monthly!V261</f>
        <v>100.25477360185513</v>
      </c>
      <c r="S144">
        <f>GDS_Monthly!W261</f>
        <v>114.62306697703596</v>
      </c>
      <c r="T144">
        <f>GDS_Monthly!X261</f>
        <v>202.8216069869236</v>
      </c>
      <c r="U144">
        <f>GDS_Monthly!AA261</f>
        <v>135.58360107761368</v>
      </c>
      <c r="V144">
        <f>GDS_Monthly!AC261</f>
        <v>190.00057566535114</v>
      </c>
      <c r="W144">
        <f>GDS_Monthly!AE261</f>
        <v>175.61397755322673</v>
      </c>
      <c r="X144">
        <f>GDS_Monthly!AF261</f>
        <v>149.8460197700025</v>
      </c>
      <c r="Y144">
        <f>OECD!B144</f>
        <v>100.7135</v>
      </c>
      <c r="Z144">
        <f>OECD!C144</f>
        <v>98.46</v>
      </c>
      <c r="AA144">
        <f>'Monthly Haver'!K147</f>
        <v>97.631929999999997</v>
      </c>
      <c r="AB144" s="10">
        <f>'Monthly Haver'!L147</f>
        <v>2321</v>
      </c>
      <c r="AC144" s="8"/>
      <c r="AD144" s="8"/>
      <c r="AE144" s="8"/>
    </row>
    <row r="145" spans="1:32">
      <c r="A145" s="12">
        <v>40513</v>
      </c>
      <c r="B145">
        <f>'Monthly Haver'!C148</f>
        <v>54.517699999999998</v>
      </c>
      <c r="C145">
        <f>'Monthly Haver'!D148</f>
        <v>56.935499999999998</v>
      </c>
      <c r="D145" t="e">
        <f>'Monthly Haver'!E148</f>
        <v>#N/A</v>
      </c>
      <c r="E145">
        <f>'Monthly Haver'!G148</f>
        <v>51.698599999999999</v>
      </c>
      <c r="F145">
        <f>'Monthly Haver'!H148</f>
        <v>53.768099999999997</v>
      </c>
      <c r="G145">
        <f>'Monthly Haver'!I148</f>
        <v>48.320999999999998</v>
      </c>
      <c r="H145">
        <f>'Monthly Haver'!J148</f>
        <v>54.015599999999999</v>
      </c>
      <c r="I145">
        <f>GDS_Monthly!O262</f>
        <v>103.46998494198027</v>
      </c>
      <c r="J145">
        <f>GDS_Monthly!D262</f>
        <v>103.24444247257941</v>
      </c>
      <c r="K145">
        <f>GDS_Monthly!AH262</f>
        <v>1079.5692736999999</v>
      </c>
      <c r="L145">
        <f>GDS_Monthly!AI262</f>
        <v>1043.1895164</v>
      </c>
      <c r="M145">
        <f>GDS_Monthly!N262</f>
        <v>6.1600865768197464</v>
      </c>
      <c r="N145">
        <f>GDS_Monthly!C262</f>
        <v>101.49910511346776</v>
      </c>
      <c r="O145">
        <f>GDS_Monthly!F262</f>
        <v>3.6387324310828131</v>
      </c>
      <c r="P145">
        <f>GDS_Monthly!G262</f>
        <v>2.0639799152881895</v>
      </c>
      <c r="Q145">
        <f>GDS_Monthly!T262</f>
        <v>101.50115670333024</v>
      </c>
      <c r="R145">
        <f>GDS_Monthly!V262</f>
        <v>101.13719536205544</v>
      </c>
      <c r="S145">
        <f>GDS_Monthly!W262</f>
        <v>121.9208366934683</v>
      </c>
      <c r="T145">
        <f>GDS_Monthly!X262</f>
        <v>213.35857333467814</v>
      </c>
      <c r="U145">
        <f>GDS_Monthly!AA262</f>
        <v>142.49524154164132</v>
      </c>
      <c r="V145">
        <f>GDS_Monthly!AC262</f>
        <v>201.96497239841582</v>
      </c>
      <c r="W145">
        <f>GDS_Monthly!AE262</f>
        <v>190.29841242560033</v>
      </c>
      <c r="X145">
        <f>GDS_Monthly!AF262</f>
        <v>159.99882742543718</v>
      </c>
      <c r="Y145">
        <f>OECD!B145</f>
        <v>100.797</v>
      </c>
      <c r="Z145">
        <f>OECD!C145</f>
        <v>99.93</v>
      </c>
      <c r="AA145">
        <f>'Monthly Haver'!K148</f>
        <v>98.335499999999996</v>
      </c>
      <c r="AB145" s="10">
        <f>'Monthly Haver'!L148</f>
        <v>2031</v>
      </c>
      <c r="AC145" s="8">
        <f>Quarterly!B49</f>
        <v>105.5</v>
      </c>
      <c r="AD145" s="8">
        <f>Quarterly!C49</f>
        <v>94.64</v>
      </c>
      <c r="AE145" s="8">
        <f>Quarterly!D49</f>
        <v>101.38348289524043</v>
      </c>
      <c r="AF145" s="33">
        <v>4.8324770606724732</v>
      </c>
    </row>
    <row r="146" spans="1:32">
      <c r="A146" s="12">
        <v>40544</v>
      </c>
      <c r="B146">
        <f>'Monthly Haver'!C149</f>
        <v>55.750300000000003</v>
      </c>
      <c r="C146">
        <f>'Monthly Haver'!D149</f>
        <v>60.049799999999998</v>
      </c>
      <c r="D146" t="e">
        <f>'Monthly Haver'!E149</f>
        <v>#N/A</v>
      </c>
      <c r="E146">
        <f>'Monthly Haver'!G149</f>
        <v>52.161999999999999</v>
      </c>
      <c r="F146">
        <f>'Monthly Haver'!H149</f>
        <v>54.873899999999999</v>
      </c>
      <c r="G146">
        <f>'Monthly Haver'!I149</f>
        <v>47.695700000000002</v>
      </c>
      <c r="H146">
        <f>'Monthly Haver'!J149</f>
        <v>54.461599999999997</v>
      </c>
      <c r="I146">
        <f>GDS_Monthly!O263</f>
        <v>104.74292120095001</v>
      </c>
      <c r="J146">
        <f>GDS_Monthly!D263</f>
        <v>103.96216257215951</v>
      </c>
      <c r="K146">
        <f>GDS_Monthly!AH263</f>
        <v>1139.3495874</v>
      </c>
      <c r="L146">
        <f>GDS_Monthly!AI263</f>
        <v>1079.7300043</v>
      </c>
      <c r="M146">
        <f>GDS_Monthly!N263</f>
        <v>6.1267963139309574</v>
      </c>
      <c r="N146">
        <f>GDS_Monthly!C263</f>
        <v>101.2604083524504</v>
      </c>
      <c r="O146">
        <f>GDS_Monthly!F263</f>
        <v>3.5757596374097234</v>
      </c>
      <c r="P146">
        <f>GDS_Monthly!G263</f>
        <v>2.2267940116152305</v>
      </c>
      <c r="Q146">
        <f>GDS_Monthly!T263</f>
        <v>101.88669531165814</v>
      </c>
      <c r="R146">
        <f>GDS_Monthly!V263</f>
        <v>101.32759693587334</v>
      </c>
      <c r="S146">
        <f>GDS_Monthly!W263</f>
        <v>125.78468233368295</v>
      </c>
      <c r="T146">
        <f>GDS_Monthly!X263</f>
        <v>225.0573352323446</v>
      </c>
      <c r="U146">
        <f>GDS_Monthly!AA263</f>
        <v>147.43101583416563</v>
      </c>
      <c r="V146">
        <f>GDS_Monthly!AC263</f>
        <v>209.93946294899993</v>
      </c>
      <c r="W146">
        <f>GDS_Monthly!AE263</f>
        <v>194.38593959138157</v>
      </c>
      <c r="X146">
        <f>GDS_Monthly!AF263</f>
        <v>171.98706863404956</v>
      </c>
      <c r="Y146">
        <f>OECD!B146</f>
        <v>100.8498</v>
      </c>
      <c r="Z146">
        <f>OECD!C146</f>
        <v>99.81</v>
      </c>
      <c r="AA146">
        <f>'Monthly Haver'!K149</f>
        <v>97.625100000000003</v>
      </c>
      <c r="AB146" s="10">
        <f>'Monthly Haver'!L149</f>
        <v>1401</v>
      </c>
      <c r="AC146" s="8"/>
      <c r="AD146" s="8"/>
      <c r="AE146" s="8"/>
    </row>
    <row r="147" spans="1:32">
      <c r="A147" s="12">
        <v>40575</v>
      </c>
      <c r="B147">
        <f>'Monthly Haver'!C150</f>
        <v>56.103999999999999</v>
      </c>
      <c r="C147">
        <f>'Monthly Haver'!D150</f>
        <v>60.651200000000003</v>
      </c>
      <c r="D147" t="e">
        <f>'Monthly Haver'!E150</f>
        <v>#N/A</v>
      </c>
      <c r="E147">
        <f>'Monthly Haver'!G150</f>
        <v>52.478099999999998</v>
      </c>
      <c r="F147">
        <f>'Monthly Haver'!H150</f>
        <v>55.471699999999998</v>
      </c>
      <c r="G147">
        <f>'Monthly Haver'!I150</f>
        <v>48.149000000000001</v>
      </c>
      <c r="H147">
        <f>'Monthly Haver'!J150</f>
        <v>55.163600000000002</v>
      </c>
      <c r="I147">
        <f>GDS_Monthly!O264</f>
        <v>105.00115306059303</v>
      </c>
      <c r="J147">
        <f>GDS_Monthly!D264</f>
        <v>104.00057984093161</v>
      </c>
      <c r="K147">
        <f>GDS_Monthly!AH264</f>
        <v>1129.9734424999999</v>
      </c>
      <c r="L147">
        <f>GDS_Monthly!AI264</f>
        <v>1087.9111318</v>
      </c>
      <c r="M147">
        <f>GDS_Monthly!N264</f>
        <v>6.1131877709280253</v>
      </c>
      <c r="N147">
        <f>GDS_Monthly!C264</f>
        <v>102.56094330175789</v>
      </c>
      <c r="O147">
        <f>GDS_Monthly!F264</f>
        <v>3.8249612821227621</v>
      </c>
      <c r="P147">
        <f>GDS_Monthly!G264</f>
        <v>2.2557327009432333</v>
      </c>
      <c r="Q147">
        <f>GDS_Monthly!T264</f>
        <v>102.17121896673591</v>
      </c>
      <c r="R147">
        <f>GDS_Monthly!V264</f>
        <v>101.54385998529148</v>
      </c>
      <c r="S147">
        <f>GDS_Monthly!W264</f>
        <v>129.46603235176758</v>
      </c>
      <c r="T147">
        <f>GDS_Monthly!X264</f>
        <v>234.68768189901016</v>
      </c>
      <c r="U147">
        <f>GDS_Monthly!AA264</f>
        <v>152.97334091716286</v>
      </c>
      <c r="V147">
        <f>GDS_Monthly!AC264</f>
        <v>217.79225536381583</v>
      </c>
      <c r="W147">
        <f>GDS_Monthly!AE264</f>
        <v>202.93466474710581</v>
      </c>
      <c r="X147">
        <f>GDS_Monthly!AF264</f>
        <v>187.20527085098246</v>
      </c>
      <c r="Y147">
        <f>OECD!B147</f>
        <v>100.84650000000001</v>
      </c>
      <c r="Z147">
        <f>OECD!C147</f>
        <v>100.15</v>
      </c>
      <c r="AA147">
        <f>'Monthly Haver'!K150</f>
        <v>97.872</v>
      </c>
      <c r="AB147" s="10">
        <f>'Monthly Haver'!L150</f>
        <v>1181</v>
      </c>
      <c r="AC147" s="8"/>
      <c r="AD147" s="8"/>
      <c r="AE147" s="8"/>
    </row>
    <row r="148" spans="1:32">
      <c r="A148" s="12">
        <v>40603</v>
      </c>
      <c r="B148">
        <f>'Monthly Haver'!C151</f>
        <v>54.575000000000003</v>
      </c>
      <c r="C148">
        <f>'Monthly Haver'!D151</f>
        <v>61.172199999999997</v>
      </c>
      <c r="D148" t="e">
        <f>'Monthly Haver'!E151</f>
        <v>#N/A</v>
      </c>
      <c r="E148">
        <f>'Monthly Haver'!G151</f>
        <v>52.676600000000001</v>
      </c>
      <c r="F148">
        <f>'Monthly Haver'!H151</f>
        <v>54.206600000000002</v>
      </c>
      <c r="G148">
        <f>'Monthly Haver'!I151</f>
        <v>49.059100000000001</v>
      </c>
      <c r="H148">
        <f>'Monthly Haver'!J151</f>
        <v>53.0154</v>
      </c>
      <c r="I148">
        <f>GDS_Monthly!O265</f>
        <v>105.60238665030992</v>
      </c>
      <c r="J148">
        <f>GDS_Monthly!D265</f>
        <v>104.3098942450023</v>
      </c>
      <c r="K148">
        <f>GDS_Monthly!AH265</f>
        <v>1178.3332805</v>
      </c>
      <c r="L148">
        <f>GDS_Monthly!AI265</f>
        <v>1122.6679312000001</v>
      </c>
      <c r="M148">
        <f>GDS_Monthly!N265</f>
        <v>6.0508033524750227</v>
      </c>
      <c r="N148">
        <f>GDS_Monthly!C265</f>
        <v>101.10830850776001</v>
      </c>
      <c r="O148">
        <f>GDS_Monthly!F265</f>
        <v>3.7424441720946149</v>
      </c>
      <c r="P148">
        <f>GDS_Monthly!G265</f>
        <v>2.2927969743602015</v>
      </c>
      <c r="Q148">
        <f>GDS_Monthly!T265</f>
        <v>102.57033817333456</v>
      </c>
      <c r="R148">
        <f>GDS_Monthly!V265</f>
        <v>101.77286308562347</v>
      </c>
      <c r="S148">
        <f>GDS_Monthly!W265</f>
        <v>128.41608480391875</v>
      </c>
      <c r="T148">
        <f>GDS_Monthly!X265</f>
        <v>221.39146368208085</v>
      </c>
      <c r="U148">
        <f>GDS_Monthly!AA265</f>
        <v>150.70348249713439</v>
      </c>
      <c r="V148">
        <f>GDS_Monthly!AC265</f>
        <v>235.76780846488916</v>
      </c>
      <c r="W148">
        <f>GDS_Monthly!AE265</f>
        <v>223.06860114878285</v>
      </c>
      <c r="X148">
        <f>GDS_Monthly!AF265</f>
        <v>184.06653813755895</v>
      </c>
      <c r="Y148">
        <f>OECD!B148</f>
        <v>100.7765</v>
      </c>
      <c r="Z148">
        <f>OECD!C148</f>
        <v>101.22</v>
      </c>
      <c r="AA148">
        <f>'Monthly Haver'!K151</f>
        <v>97.474440000000001</v>
      </c>
      <c r="AB148" s="10">
        <f>'Monthly Haver'!L151</f>
        <v>1493</v>
      </c>
      <c r="AC148" s="8">
        <f>Quarterly!B50</f>
        <v>105.85</v>
      </c>
      <c r="AD148" s="8">
        <f>Quarterly!C50</f>
        <v>93.31</v>
      </c>
      <c r="AE148" s="8">
        <f>Quarterly!D50</f>
        <v>101.9884691594095</v>
      </c>
      <c r="AF148" s="33">
        <v>4.1425235881197819</v>
      </c>
    </row>
    <row r="149" spans="1:32">
      <c r="A149" s="12">
        <v>40634</v>
      </c>
      <c r="B149">
        <f>'Monthly Haver'!C152</f>
        <v>53.312199999999997</v>
      </c>
      <c r="C149">
        <f>'Monthly Haver'!D152</f>
        <v>60.238300000000002</v>
      </c>
      <c r="D149" t="e">
        <f>'Monthly Haver'!E152</f>
        <v>#N/A</v>
      </c>
      <c r="E149">
        <f>'Monthly Haver'!G152</f>
        <v>52.324199999999998</v>
      </c>
      <c r="F149">
        <f>'Monthly Haver'!H152</f>
        <v>53.762799999999999</v>
      </c>
      <c r="G149">
        <f>'Monthly Haver'!I152</f>
        <v>49.5321</v>
      </c>
      <c r="H149">
        <f>'Monthly Haver'!J152</f>
        <v>52.923999999999999</v>
      </c>
      <c r="I149">
        <f>GDS_Monthly!O266</f>
        <v>107.41131248813558</v>
      </c>
      <c r="J149">
        <f>GDS_Monthly!D266</f>
        <v>103.82758526839721</v>
      </c>
      <c r="K149">
        <f>GDS_Monthly!AH266</f>
        <v>1182.9129809999999</v>
      </c>
      <c r="L149">
        <f>GDS_Monthly!AI266</f>
        <v>1136.8822041999999</v>
      </c>
      <c r="M149">
        <f>GDS_Monthly!N266</f>
        <v>6.0733345852965543</v>
      </c>
      <c r="N149">
        <f>GDS_Monthly!C266</f>
        <v>100.76753658897796</v>
      </c>
      <c r="O149">
        <f>GDS_Monthly!F266</f>
        <v>3.8954901028960163</v>
      </c>
      <c r="P149">
        <f>GDS_Monthly!G266</f>
        <v>2.3860674779346245</v>
      </c>
      <c r="Q149">
        <f>GDS_Monthly!T266</f>
        <v>102.98270467618507</v>
      </c>
      <c r="R149">
        <f>GDS_Monthly!V266</f>
        <v>101.99576688279859</v>
      </c>
      <c r="S149">
        <f>GDS_Monthly!W266</f>
        <v>132.80219211593132</v>
      </c>
      <c r="T149">
        <f>GDS_Monthly!X266</f>
        <v>226.94933233024102</v>
      </c>
      <c r="U149">
        <f>GDS_Monthly!AA266</f>
        <v>154.98394984742777</v>
      </c>
      <c r="V149">
        <f>GDS_Monthly!AC266</f>
        <v>252.56585520286967</v>
      </c>
      <c r="W149">
        <f>GDS_Monthly!AE266</f>
        <v>236.04613938172352</v>
      </c>
      <c r="X149">
        <f>GDS_Monthly!AF266</f>
        <v>186.51421634002577</v>
      </c>
      <c r="Y149">
        <f>OECD!B149</f>
        <v>100.6439</v>
      </c>
      <c r="Z149">
        <f>OECD!C149</f>
        <v>100.93</v>
      </c>
      <c r="AA149">
        <f>'Monthly Haver'!K152</f>
        <v>96.741370000000003</v>
      </c>
      <c r="AB149" s="10">
        <f>'Monthly Haver'!L152</f>
        <v>1343</v>
      </c>
      <c r="AC149" s="8"/>
      <c r="AD149" s="8"/>
      <c r="AE149" s="8"/>
    </row>
    <row r="150" spans="1:32">
      <c r="A150" s="12">
        <v>40664</v>
      </c>
      <c r="B150">
        <f>'Monthly Haver'!C153</f>
        <v>54.021500000000003</v>
      </c>
      <c r="C150">
        <f>'Monthly Haver'!D153</f>
        <v>59.032400000000003</v>
      </c>
      <c r="D150" t="e">
        <f>'Monthly Haver'!E153</f>
        <v>#N/A</v>
      </c>
      <c r="E150">
        <f>'Monthly Haver'!G153</f>
        <v>52.157299999999999</v>
      </c>
      <c r="F150">
        <f>'Monthly Haver'!H153</f>
        <v>53.2697</v>
      </c>
      <c r="G150">
        <f>'Monthly Haver'!I153</f>
        <v>49.513100000000001</v>
      </c>
      <c r="H150">
        <f>'Monthly Haver'!J153</f>
        <v>54.317900000000002</v>
      </c>
      <c r="I150">
        <f>GDS_Monthly!O267</f>
        <v>107.50921825590555</v>
      </c>
      <c r="J150">
        <f>GDS_Monthly!D267</f>
        <v>104.52825804085664</v>
      </c>
      <c r="K150">
        <f>GDS_Monthly!AH267</f>
        <v>1212.7861072999999</v>
      </c>
      <c r="L150">
        <f>GDS_Monthly!AI267</f>
        <v>1141.8529120000001</v>
      </c>
      <c r="M150">
        <f>GDS_Monthly!N267</f>
        <v>6.0587526099521831</v>
      </c>
      <c r="N150">
        <f>GDS_Monthly!C267</f>
        <v>100.11060544633158</v>
      </c>
      <c r="O150">
        <f>GDS_Monthly!F267</f>
        <v>3.5944786454347817</v>
      </c>
      <c r="P150">
        <f>GDS_Monthly!G267</f>
        <v>2.4190132494156771</v>
      </c>
      <c r="Q150">
        <f>GDS_Monthly!T267</f>
        <v>103.25317372301051</v>
      </c>
      <c r="R150">
        <f>GDS_Monthly!V267</f>
        <v>102.2410477013855</v>
      </c>
      <c r="S150">
        <f>GDS_Monthly!W267</f>
        <v>129.79625148815614</v>
      </c>
      <c r="T150">
        <f>GDS_Monthly!X267</f>
        <v>218.56779417007394</v>
      </c>
      <c r="U150">
        <f>GDS_Monthly!AA267</f>
        <v>151.09438655802688</v>
      </c>
      <c r="V150">
        <f>GDS_Monthly!AC267</f>
        <v>240.75020452075844</v>
      </c>
      <c r="W150">
        <f>GDS_Monthly!AE267</f>
        <v>219.71455780495043</v>
      </c>
      <c r="X150">
        <f>GDS_Monthly!AF267</f>
        <v>167.84113646507245</v>
      </c>
      <c r="Y150">
        <f>OECD!B150</f>
        <v>100.45820000000001</v>
      </c>
      <c r="Z150">
        <f>OECD!C150</f>
        <v>100.69</v>
      </c>
      <c r="AA150">
        <f>'Monthly Haver'!K153</f>
        <v>97.406080000000003</v>
      </c>
      <c r="AB150" s="10">
        <f>'Monthly Haver'!L153</f>
        <v>1352</v>
      </c>
      <c r="AC150" s="8"/>
      <c r="AD150" s="8"/>
      <c r="AE150" s="8"/>
    </row>
    <row r="151" spans="1:32">
      <c r="A151" s="12">
        <v>40695</v>
      </c>
      <c r="B151">
        <f>'Monthly Haver'!C154</f>
        <v>53.774000000000001</v>
      </c>
      <c r="C151">
        <f>'Monthly Haver'!D154</f>
        <v>58.516399999999997</v>
      </c>
      <c r="D151" t="e">
        <f>'Monthly Haver'!E154</f>
        <v>#N/A</v>
      </c>
      <c r="E151">
        <f>'Monthly Haver'!G154</f>
        <v>51.828600000000002</v>
      </c>
      <c r="F151">
        <f>'Monthly Haver'!H154</f>
        <v>51.878399999999999</v>
      </c>
      <c r="G151">
        <f>'Monthly Haver'!I154</f>
        <v>48.902799999999999</v>
      </c>
      <c r="H151">
        <f>'Monthly Haver'!J154</f>
        <v>53.422600000000003</v>
      </c>
      <c r="I151">
        <f>GDS_Monthly!O268</f>
        <v>108.63702076927541</v>
      </c>
      <c r="J151">
        <f>GDS_Monthly!D268</f>
        <v>105.2397915748315</v>
      </c>
      <c r="K151">
        <f>GDS_Monthly!AH268</f>
        <v>1199.5200976000001</v>
      </c>
      <c r="L151">
        <f>GDS_Monthly!AI268</f>
        <v>1139.9498441999999</v>
      </c>
      <c r="M151">
        <f>GDS_Monthly!N268</f>
        <v>6.0866941947671505</v>
      </c>
      <c r="N151">
        <f>GDS_Monthly!C268</f>
        <v>99.852378957335503</v>
      </c>
      <c r="O151">
        <f>GDS_Monthly!F268</f>
        <v>3.5864898801069227</v>
      </c>
      <c r="P151">
        <f>GDS_Monthly!G268</f>
        <v>2.4440683625125139</v>
      </c>
      <c r="Q151">
        <f>GDS_Monthly!T268</f>
        <v>103.41301536578185</v>
      </c>
      <c r="R151">
        <f>GDS_Monthly!V268</f>
        <v>102.42074954742806</v>
      </c>
      <c r="S151">
        <f>GDS_Monthly!W268</f>
        <v>127.85077536345601</v>
      </c>
      <c r="T151">
        <f>GDS_Monthly!X268</f>
        <v>214.18751535300549</v>
      </c>
      <c r="U151">
        <f>GDS_Monthly!AA268</f>
        <v>150.02237592872325</v>
      </c>
      <c r="V151">
        <f>GDS_Monthly!AC268</f>
        <v>237.88701459901742</v>
      </c>
      <c r="W151">
        <f>GDS_Monthly!AE268</f>
        <v>214.77347938787202</v>
      </c>
      <c r="X151">
        <f>GDS_Monthly!AF268</f>
        <v>167.6343561943809</v>
      </c>
      <c r="Y151">
        <f>OECD!B151</f>
        <v>100.2396</v>
      </c>
      <c r="Z151">
        <f>OECD!C151</f>
        <v>100.38</v>
      </c>
      <c r="AA151">
        <f>'Monthly Haver'!K154</f>
        <v>97.48</v>
      </c>
      <c r="AB151" s="10">
        <f>'Monthly Haver'!L154</f>
        <v>1433</v>
      </c>
      <c r="AC151" s="8">
        <f>Quarterly!B51</f>
        <v>105.77</v>
      </c>
      <c r="AD151" s="8">
        <f>Quarterly!C51</f>
        <v>92.39</v>
      </c>
      <c r="AE151" s="8">
        <f>Quarterly!D51</f>
        <v>102.57241220542565</v>
      </c>
      <c r="AF151" s="33">
        <v>3.2539486140839839</v>
      </c>
    </row>
    <row r="152" spans="1:32">
      <c r="A152" s="12">
        <v>40725</v>
      </c>
      <c r="B152">
        <f>'Monthly Haver'!C155</f>
        <v>53.063699999999997</v>
      </c>
      <c r="C152">
        <f>'Monthly Haver'!D155</f>
        <v>56.807499999999997</v>
      </c>
      <c r="D152" t="e">
        <f>'Monthly Haver'!E155</f>
        <v>#N/A</v>
      </c>
      <c r="E152">
        <f>'Monthly Haver'!G155</f>
        <v>51.686300000000003</v>
      </c>
      <c r="F152">
        <f>'Monthly Haver'!H155</f>
        <v>51.116599999999998</v>
      </c>
      <c r="G152">
        <f>'Monthly Haver'!I155</f>
        <v>48.807299999999998</v>
      </c>
      <c r="H152">
        <f>'Monthly Haver'!J155</f>
        <v>52.408099999999997</v>
      </c>
      <c r="I152">
        <f>GDS_Monthly!O269</f>
        <v>109.42626126559338</v>
      </c>
      <c r="J152">
        <f>GDS_Monthly!D269</f>
        <v>105.53959419798755</v>
      </c>
      <c r="K152">
        <f>GDS_Monthly!AH269</f>
        <v>1200.1193765999999</v>
      </c>
      <c r="L152">
        <f>GDS_Monthly!AI269</f>
        <v>1159.5872257000001</v>
      </c>
      <c r="M152">
        <f>GDS_Monthly!N269</f>
        <v>6.0848161195836541</v>
      </c>
      <c r="N152">
        <f>GDS_Monthly!C269</f>
        <v>99.967501529719954</v>
      </c>
      <c r="O152">
        <f>GDS_Monthly!F269</f>
        <v>3.6361422117009439</v>
      </c>
      <c r="P152">
        <f>GDS_Monthly!G269</f>
        <v>2.5447097559192189</v>
      </c>
      <c r="Q152">
        <f>GDS_Monthly!T269</f>
        <v>103.650443511573</v>
      </c>
      <c r="R152">
        <f>GDS_Monthly!V269</f>
        <v>102.58280789252787</v>
      </c>
      <c r="S152">
        <f>GDS_Monthly!W269</f>
        <v>126.96076018007869</v>
      </c>
      <c r="T152">
        <f>GDS_Monthly!X269</f>
        <v>219.01101015761867</v>
      </c>
      <c r="U152">
        <f>GDS_Monthly!AA269</f>
        <v>151.02699768429036</v>
      </c>
      <c r="V152">
        <f>GDS_Monthly!AC269</f>
        <v>242.63204679883199</v>
      </c>
      <c r="W152">
        <f>GDS_Monthly!AE269</f>
        <v>219.51575174777614</v>
      </c>
      <c r="X152">
        <f>GDS_Monthly!AF269</f>
        <v>161.74414448691911</v>
      </c>
      <c r="Y152">
        <f>OECD!B152</f>
        <v>100.0121</v>
      </c>
      <c r="Z152">
        <f>OECD!C152</f>
        <v>100.81</v>
      </c>
      <c r="AA152">
        <f>'Monthly Haver'!K155</f>
        <v>96.924629999999993</v>
      </c>
      <c r="AB152" s="10">
        <f>'Monthly Haver'!L155</f>
        <v>1366</v>
      </c>
      <c r="AC152" s="8"/>
      <c r="AD152" s="8"/>
      <c r="AE152" s="8"/>
    </row>
    <row r="153" spans="1:32">
      <c r="A153" s="12">
        <v>40756</v>
      </c>
      <c r="B153">
        <f>'Monthly Haver'!C156</f>
        <v>52.492800000000003</v>
      </c>
      <c r="C153">
        <f>'Monthly Haver'!D156</f>
        <v>56.319899999999997</v>
      </c>
      <c r="D153" t="e">
        <f>'Monthly Haver'!E156</f>
        <v>#N/A</v>
      </c>
      <c r="E153">
        <f>'Monthly Haver'!G156</f>
        <v>51.611800000000002</v>
      </c>
      <c r="F153">
        <f>'Monthly Haver'!H156</f>
        <v>50.9621</v>
      </c>
      <c r="G153">
        <f>'Monthly Haver'!I156</f>
        <v>49.0212</v>
      </c>
      <c r="H153">
        <f>'Monthly Haver'!J156</f>
        <v>51.683399999999999</v>
      </c>
      <c r="I153">
        <f>GDS_Monthly!O270</f>
        <v>109.70274190598397</v>
      </c>
      <c r="J153">
        <f>GDS_Monthly!D270</f>
        <v>106.01636044991565</v>
      </c>
      <c r="K153">
        <f>GDS_Monthly!AH270</f>
        <v>1238.8444512000001</v>
      </c>
      <c r="L153">
        <f>GDS_Monthly!AI270</f>
        <v>1178.2691623000001</v>
      </c>
      <c r="M153">
        <f>GDS_Monthly!N270</f>
        <v>6.0617190155790919</v>
      </c>
      <c r="N153">
        <f>GDS_Monthly!C270</f>
        <v>97.141942790538195</v>
      </c>
      <c r="O153">
        <f>GDS_Monthly!F270</f>
        <v>3.1630194724056091</v>
      </c>
      <c r="P153">
        <f>GDS_Monthly!G270</f>
        <v>2.5440589475953028</v>
      </c>
      <c r="Q153">
        <f>GDS_Monthly!T270</f>
        <v>103.88589728071587</v>
      </c>
      <c r="R153">
        <f>GDS_Monthly!V270</f>
        <v>102.79311133584623</v>
      </c>
      <c r="S153">
        <f>GDS_Monthly!W270</f>
        <v>126.56096371498175</v>
      </c>
      <c r="T153">
        <f>GDS_Monthly!X270</f>
        <v>213.29557852029271</v>
      </c>
      <c r="U153">
        <f>GDS_Monthly!AA270</f>
        <v>151.9241890566289</v>
      </c>
      <c r="V153">
        <f>GDS_Monthly!AC270</f>
        <v>230.72674767183</v>
      </c>
      <c r="W153">
        <f>GDS_Monthly!AE270</f>
        <v>203.03223399698012</v>
      </c>
      <c r="X153">
        <f>GDS_Monthly!AF270</f>
        <v>152.96385067442205</v>
      </c>
      <c r="Y153">
        <f>OECD!B153</f>
        <v>99.802679999999995</v>
      </c>
      <c r="Z153">
        <f>OECD!C153</f>
        <v>99.52</v>
      </c>
      <c r="AA153">
        <f>'Monthly Haver'!K156</f>
        <v>96.823670000000007</v>
      </c>
      <c r="AB153" s="10">
        <f>'Monthly Haver'!L156</f>
        <v>1387</v>
      </c>
      <c r="AC153" s="8"/>
      <c r="AD153" s="8"/>
      <c r="AE153" s="8"/>
    </row>
    <row r="154" spans="1:32">
      <c r="A154" s="12">
        <v>40787</v>
      </c>
      <c r="B154">
        <f>'Monthly Haver'!C157</f>
        <v>51.179600000000001</v>
      </c>
      <c r="C154">
        <f>'Monthly Haver'!D157</f>
        <v>56.601799999999997</v>
      </c>
      <c r="D154" t="e">
        <f>'Monthly Haver'!E157</f>
        <v>#N/A</v>
      </c>
      <c r="E154">
        <f>'Monthly Haver'!G157</f>
        <v>50.952399999999997</v>
      </c>
      <c r="F154">
        <f>'Monthly Haver'!H157</f>
        <v>50.412599999999998</v>
      </c>
      <c r="G154">
        <f>'Monthly Haver'!I157</f>
        <v>48.381999999999998</v>
      </c>
      <c r="H154">
        <f>'Monthly Haver'!J157</f>
        <v>51.819099999999999</v>
      </c>
      <c r="I154">
        <f>GDS_Monthly!O271</f>
        <v>110.13969716459219</v>
      </c>
      <c r="J154">
        <f>GDS_Monthly!D271</f>
        <v>105.89514265481515</v>
      </c>
      <c r="K154">
        <f>GDS_Monthly!AH271</f>
        <v>1200.0355400000001</v>
      </c>
      <c r="L154">
        <f>GDS_Monthly!AI271</f>
        <v>1148.2257095</v>
      </c>
      <c r="M154">
        <f>GDS_Monthly!N271</f>
        <v>6.0687696623369982</v>
      </c>
      <c r="N154">
        <f>GDS_Monthly!C271</f>
        <v>97.263035705426788</v>
      </c>
      <c r="O154">
        <f>GDS_Monthly!F271</f>
        <v>2.9060281011454832</v>
      </c>
      <c r="P154">
        <f>GDS_Monthly!G271</f>
        <v>2.5272948208360493</v>
      </c>
      <c r="Q154">
        <f>GDS_Monthly!T271</f>
        <v>104.19248316811347</v>
      </c>
      <c r="R154">
        <f>GDS_Monthly!V271</f>
        <v>103.05796571350139</v>
      </c>
      <c r="S154">
        <f>GDS_Monthly!W271</f>
        <v>120.63699399481941</v>
      </c>
      <c r="T154">
        <f>GDS_Monthly!X271</f>
        <v>206.26628954824653</v>
      </c>
      <c r="U154">
        <f>GDS_Monthly!AA271</f>
        <v>147.5671807395037</v>
      </c>
      <c r="V154">
        <f>GDS_Monthly!AC271</f>
        <v>232.06916596871361</v>
      </c>
      <c r="W154">
        <f>GDS_Monthly!AE271</f>
        <v>208.89642828651938</v>
      </c>
      <c r="X154">
        <f>GDS_Monthly!AF271</f>
        <v>149.95584064752151</v>
      </c>
      <c r="Y154">
        <f>OECD!B154</f>
        <v>99.648619999999994</v>
      </c>
      <c r="Z154">
        <f>OECD!C154</f>
        <v>98.88</v>
      </c>
      <c r="AA154">
        <f>'Monthly Haver'!K157</f>
        <v>99.348240000000004</v>
      </c>
      <c r="AB154" s="10">
        <f>'Monthly Haver'!L157</f>
        <v>1840</v>
      </c>
      <c r="AC154" s="8">
        <f>Quarterly!B52</f>
        <v>105.93</v>
      </c>
      <c r="AD154" s="8">
        <f>Quarterly!C52</f>
        <v>92.31</v>
      </c>
      <c r="AE154" s="8">
        <f>Quarterly!D52</f>
        <v>103.30900085616864</v>
      </c>
      <c r="AF154" s="33">
        <v>3.2996466764784707</v>
      </c>
    </row>
    <row r="155" spans="1:32">
      <c r="A155" s="12">
        <v>40817</v>
      </c>
      <c r="B155">
        <f>'Monthly Haver'!C158</f>
        <v>51.676299999999998</v>
      </c>
      <c r="C155">
        <f>'Monthly Haver'!D158</f>
        <v>55.0929</v>
      </c>
      <c r="D155" t="e">
        <f>'Monthly Haver'!E158</f>
        <v>#N/A</v>
      </c>
      <c r="E155">
        <f>'Monthly Haver'!G158</f>
        <v>50.998199999999997</v>
      </c>
      <c r="F155">
        <f>'Monthly Haver'!H158</f>
        <v>50.5809</v>
      </c>
      <c r="G155">
        <f>'Monthly Haver'!I158</f>
        <v>48.733600000000003</v>
      </c>
      <c r="H155">
        <f>'Monthly Haver'!J158</f>
        <v>52.714300000000001</v>
      </c>
      <c r="I155">
        <f>GDS_Monthly!O272</f>
        <v>110.9754484764066</v>
      </c>
      <c r="J155">
        <f>GDS_Monthly!D272</f>
        <v>105.62459427445565</v>
      </c>
      <c r="K155">
        <f>GDS_Monthly!AH272</f>
        <v>1195.2275281</v>
      </c>
      <c r="L155">
        <f>GDS_Monthly!AI272</f>
        <v>1130.0903221999999</v>
      </c>
      <c r="M155">
        <f>GDS_Monthly!N272</f>
        <v>6.0267439093018114</v>
      </c>
      <c r="N155">
        <f>GDS_Monthly!C272</f>
        <v>96.019531479886055</v>
      </c>
      <c r="O155">
        <f>GDS_Monthly!F272</f>
        <v>3.0924506010924842</v>
      </c>
      <c r="P155">
        <f>GDS_Monthly!G272</f>
        <v>2.5140543603539482</v>
      </c>
      <c r="Q155">
        <f>GDS_Monthly!T272</f>
        <v>104.43543490791403</v>
      </c>
      <c r="R155">
        <f>GDS_Monthly!V272</f>
        <v>103.23308766877024</v>
      </c>
      <c r="S155">
        <f>GDS_Monthly!W272</f>
        <v>118.24710845754521</v>
      </c>
      <c r="T155">
        <f>GDS_Monthly!X272</f>
        <v>182.79272309706354</v>
      </c>
      <c r="U155">
        <f>GDS_Monthly!AA272</f>
        <v>138.72238441618518</v>
      </c>
      <c r="V155">
        <f>GDS_Monthly!AC272</f>
        <v>229.14871990710444</v>
      </c>
      <c r="W155">
        <f>GDS_Monthly!AE272</f>
        <v>206.15535892014157</v>
      </c>
      <c r="X155">
        <f>GDS_Monthly!AF272</f>
        <v>142.20726638388004</v>
      </c>
      <c r="Y155">
        <f>OECD!B155</f>
        <v>99.572940000000003</v>
      </c>
      <c r="Z155">
        <f>OECD!C155</f>
        <v>99.09</v>
      </c>
      <c r="AA155">
        <f>'Monthly Haver'!K158</f>
        <v>99.267989999999998</v>
      </c>
      <c r="AB155" s="10">
        <f>'Monthly Haver'!L158</f>
        <v>2072</v>
      </c>
      <c r="AC155" s="8"/>
      <c r="AD155" s="8"/>
      <c r="AE155" s="8"/>
    </row>
    <row r="156" spans="1:32">
      <c r="A156" s="12">
        <v>40848</v>
      </c>
      <c r="B156">
        <f>'Monthly Haver'!C159</f>
        <v>51.398400000000002</v>
      </c>
      <c r="C156">
        <f>'Monthly Haver'!D159</f>
        <v>54.369799999999998</v>
      </c>
      <c r="D156" t="e">
        <f>'Monthly Haver'!E159</f>
        <v>#N/A</v>
      </c>
      <c r="E156">
        <f>'Monthly Haver'!G159</f>
        <v>51.5642</v>
      </c>
      <c r="F156">
        <f>'Monthly Haver'!H159</f>
        <v>49.389499999999998</v>
      </c>
      <c r="G156">
        <f>'Monthly Haver'!I159</f>
        <v>48.872399999999999</v>
      </c>
      <c r="H156">
        <f>'Monthly Haver'!J159</f>
        <v>52.167999999999999</v>
      </c>
      <c r="I156">
        <f>GDS_Monthly!O273</f>
        <v>111.00118127075021</v>
      </c>
      <c r="J156">
        <f>GDS_Monthly!D273</f>
        <v>106.1274716523705</v>
      </c>
      <c r="K156">
        <f>GDS_Monthly!AH273</f>
        <v>1206.1053142999999</v>
      </c>
      <c r="L156">
        <f>GDS_Monthly!AI273</f>
        <v>1137.5960209</v>
      </c>
      <c r="M156">
        <f>GDS_Monthly!N273</f>
        <v>5.9953918732234124</v>
      </c>
      <c r="N156">
        <f>GDS_Monthly!C273</f>
        <v>98.520683145786492</v>
      </c>
      <c r="O156">
        <f>GDS_Monthly!F273</f>
        <v>3.087841379318669</v>
      </c>
      <c r="P156">
        <f>GDS_Monthly!G273</f>
        <v>2.4455925128052525</v>
      </c>
      <c r="Q156">
        <f>GDS_Monthly!T273</f>
        <v>104.66119488367684</v>
      </c>
      <c r="R156">
        <f>GDS_Monthly!V273</f>
        <v>103.43101108869432</v>
      </c>
      <c r="S156">
        <f>GDS_Monthly!W273</f>
        <v>118.05669557818973</v>
      </c>
      <c r="T156">
        <f>GDS_Monthly!X273</f>
        <v>175.17952256386903</v>
      </c>
      <c r="U156">
        <f>GDS_Monthly!AA273</f>
        <v>137.48637846016834</v>
      </c>
      <c r="V156">
        <f>GDS_Monthly!AC273</f>
        <v>236.70040013805149</v>
      </c>
      <c r="W156">
        <f>GDS_Monthly!AE273</f>
        <v>218.32828294018759</v>
      </c>
      <c r="X156">
        <f>GDS_Monthly!AF273</f>
        <v>132.14472734245371</v>
      </c>
      <c r="Y156">
        <f>OECD!B156</f>
        <v>99.569730000000007</v>
      </c>
      <c r="Z156">
        <f>OECD!C156</f>
        <v>99.16</v>
      </c>
      <c r="AA156">
        <f>'Monthly Haver'!K159</f>
        <v>100.14275000000001</v>
      </c>
      <c r="AB156" s="10">
        <f>'Monthly Haver'!L159</f>
        <v>1835</v>
      </c>
      <c r="AC156" s="8"/>
      <c r="AD156" s="8"/>
      <c r="AE156" s="8"/>
    </row>
    <row r="157" spans="1:32">
      <c r="A157" s="12">
        <v>40878</v>
      </c>
      <c r="B157">
        <f>'Monthly Haver'!C160</f>
        <v>51.889499999999998</v>
      </c>
      <c r="C157">
        <f>'Monthly Haver'!D160</f>
        <v>54.841799999999999</v>
      </c>
      <c r="D157" t="e">
        <f>'Monthly Haver'!E160</f>
        <v>#N/A</v>
      </c>
      <c r="E157">
        <f>'Monthly Haver'!G160</f>
        <v>51.588099999999997</v>
      </c>
      <c r="F157">
        <f>'Monthly Haver'!H160</f>
        <v>50.127099999999999</v>
      </c>
      <c r="G157">
        <f>'Monthly Haver'!I160</f>
        <v>48.869199999999999</v>
      </c>
      <c r="H157">
        <f>'Monthly Haver'!J160</f>
        <v>53.289499999999997</v>
      </c>
      <c r="I157">
        <f>GDS_Monthly!O274</f>
        <v>111.87730388838571</v>
      </c>
      <c r="J157">
        <f>GDS_Monthly!D274</f>
        <v>106.9484756236654</v>
      </c>
      <c r="K157">
        <f>GDS_Monthly!AH274</f>
        <v>1187.5574511</v>
      </c>
      <c r="L157">
        <f>GDS_Monthly!AI274</f>
        <v>1130.1514744999999</v>
      </c>
      <c r="M157">
        <f>GDS_Monthly!N274</f>
        <v>5.9744087639584773</v>
      </c>
      <c r="N157">
        <f>GDS_Monthly!C274</f>
        <v>100.53237548422283</v>
      </c>
      <c r="O157">
        <f>GDS_Monthly!F274</f>
        <v>2.9650905682737192</v>
      </c>
      <c r="P157">
        <f>GDS_Monthly!G274</f>
        <v>2.3600425302138066</v>
      </c>
      <c r="Q157">
        <f>GDS_Monthly!T274</f>
        <v>104.80159674259836</v>
      </c>
      <c r="R157">
        <f>GDS_Monthly!V274</f>
        <v>103.62426709170106</v>
      </c>
      <c r="S157">
        <f>GDS_Monthly!W274</f>
        <v>115.07819537229739</v>
      </c>
      <c r="T157">
        <f>GDS_Monthly!X274</f>
        <v>174.89437150549674</v>
      </c>
      <c r="U157">
        <f>GDS_Monthly!AA274</f>
        <v>133.71259039901713</v>
      </c>
      <c r="V157">
        <f>GDS_Monthly!AC274</f>
        <v>234.13704637354604</v>
      </c>
      <c r="W157">
        <f>GDS_Monthly!AE274</f>
        <v>218.88018469007034</v>
      </c>
      <c r="X157">
        <f>GDS_Monthly!AF274</f>
        <v>128.09923395175574</v>
      </c>
      <c r="Y157">
        <f>OECD!B157</f>
        <v>99.613950000000003</v>
      </c>
      <c r="Z157">
        <f>OECD!C157</f>
        <v>99.43</v>
      </c>
      <c r="AA157">
        <f>'Monthly Haver'!K160</f>
        <v>100.25264</v>
      </c>
      <c r="AB157" s="10">
        <f>'Monthly Haver'!L160</f>
        <v>1869</v>
      </c>
      <c r="AC157" s="8">
        <f>Quarterly!B53</f>
        <v>106.02</v>
      </c>
      <c r="AD157" s="8">
        <f>Quarterly!C53</f>
        <v>92.02</v>
      </c>
      <c r="AE157" s="8">
        <f>Quarterly!D53</f>
        <v>103.88077027294027</v>
      </c>
      <c r="AF157" s="33">
        <v>3.4300128047765317</v>
      </c>
    </row>
    <row r="158" spans="1:32">
      <c r="A158" s="12">
        <v>40909</v>
      </c>
      <c r="B158">
        <f>'Monthly Haver'!C161</f>
        <v>52.9101</v>
      </c>
      <c r="C158">
        <f>'Monthly Haver'!D161</f>
        <v>54.115900000000003</v>
      </c>
      <c r="D158" t="e">
        <f>'Monthly Haver'!E161</f>
        <v>#N/A</v>
      </c>
      <c r="E158">
        <f>'Monthly Haver'!G161</f>
        <v>51.465000000000003</v>
      </c>
      <c r="F158">
        <f>'Monthly Haver'!H161</f>
        <v>50.8001</v>
      </c>
      <c r="G158">
        <f>'Monthly Haver'!I161</f>
        <v>48.4664</v>
      </c>
      <c r="H158">
        <f>'Monthly Haver'!J161</f>
        <v>54.621499999999997</v>
      </c>
      <c r="I158">
        <f>GDS_Monthly!O275</f>
        <v>112.24847171680152</v>
      </c>
      <c r="J158">
        <f>GDS_Monthly!D275</f>
        <v>107.08201182624978</v>
      </c>
      <c r="K158">
        <f>GDS_Monthly!AH275</f>
        <v>1197.8562783</v>
      </c>
      <c r="L158">
        <f>GDS_Monthly!AI275</f>
        <v>1135.7094139999999</v>
      </c>
      <c r="M158">
        <f>GDS_Monthly!N275</f>
        <v>5.9567350780138115</v>
      </c>
      <c r="N158">
        <f>GDS_Monthly!C275</f>
        <v>100.34852218987747</v>
      </c>
      <c r="O158">
        <f>GDS_Monthly!F275</f>
        <v>2.817013604925461</v>
      </c>
      <c r="P158">
        <f>GDS_Monthly!G275</f>
        <v>2.4793698332909524</v>
      </c>
      <c r="Q158">
        <f>GDS_Monthly!T275</f>
        <v>105.08358860982815</v>
      </c>
      <c r="R158">
        <f>GDS_Monthly!V275</f>
        <v>103.82356719630586</v>
      </c>
      <c r="S158">
        <f>GDS_Monthly!W275</f>
        <v>117.84453180774153</v>
      </c>
      <c r="T158">
        <f>GDS_Monthly!X275</f>
        <v>183.21517486505689</v>
      </c>
      <c r="U158">
        <f>GDS_Monthly!AA275</f>
        <v>136.81511385798376</v>
      </c>
      <c r="V158">
        <f>GDS_Monthly!AC275</f>
        <v>236.6397809281508</v>
      </c>
      <c r="W158">
        <f>GDS_Monthly!AE275</f>
        <v>225.89115617642514</v>
      </c>
      <c r="X158">
        <f>GDS_Monthly!AF275</f>
        <v>132.99197136773969</v>
      </c>
      <c r="Y158">
        <f>OECD!B158</f>
        <v>99.671589999999995</v>
      </c>
      <c r="Z158">
        <f>OECD!C158</f>
        <v>100.21</v>
      </c>
      <c r="AA158">
        <f>'Monthly Haver'!K161</f>
        <v>99.531530000000004</v>
      </c>
      <c r="AB158" s="10">
        <f>'Monthly Haver'!L161</f>
        <v>1039</v>
      </c>
      <c r="AC158" s="8"/>
      <c r="AD158" s="8"/>
      <c r="AE158" s="8"/>
    </row>
    <row r="159" spans="1:32">
      <c r="A159" s="12">
        <v>40940</v>
      </c>
      <c r="B159">
        <f>'Monthly Haver'!C162</f>
        <v>53.047600000000003</v>
      </c>
      <c r="C159">
        <f>'Monthly Haver'!D162</f>
        <v>55.1068</v>
      </c>
      <c r="D159" t="e">
        <f>'Monthly Haver'!E162</f>
        <v>#N/A</v>
      </c>
      <c r="E159">
        <f>'Monthly Haver'!G162</f>
        <v>51.484499999999997</v>
      </c>
      <c r="F159">
        <f>'Monthly Haver'!H162</f>
        <v>51.050800000000002</v>
      </c>
      <c r="G159">
        <f>'Monthly Haver'!I162</f>
        <v>49.131799999999998</v>
      </c>
      <c r="H159">
        <f>'Monthly Haver'!J162</f>
        <v>54.080300000000001</v>
      </c>
      <c r="I159">
        <f>GDS_Monthly!O276</f>
        <v>114.00784261895838</v>
      </c>
      <c r="J159">
        <f>GDS_Monthly!D276</f>
        <v>108.04250348345521</v>
      </c>
      <c r="K159">
        <f>GDS_Monthly!AH276</f>
        <v>1224.4790266</v>
      </c>
      <c r="L159">
        <f>GDS_Monthly!AI276</f>
        <v>1152.1228371</v>
      </c>
      <c r="M159">
        <f>GDS_Monthly!N276</f>
        <v>5.9701826144012919</v>
      </c>
      <c r="N159">
        <f>GDS_Monthly!C276</f>
        <v>102.04519047236597</v>
      </c>
      <c r="O159">
        <f>GDS_Monthly!F276</f>
        <v>2.7807420087265728</v>
      </c>
      <c r="P159">
        <f>GDS_Monthly!G276</f>
        <v>2.4733476768818421</v>
      </c>
      <c r="Q159">
        <f>GDS_Monthly!T276</f>
        <v>105.33539318606029</v>
      </c>
      <c r="R159">
        <f>GDS_Monthly!V276</f>
        <v>103.95616028341288</v>
      </c>
      <c r="S159">
        <f>GDS_Monthly!W276</f>
        <v>120.59323284738623</v>
      </c>
      <c r="T159">
        <f>GDS_Monthly!X276</f>
        <v>187.27385824858268</v>
      </c>
      <c r="U159">
        <f>GDS_Monthly!AA276</f>
        <v>140.7850249400272</v>
      </c>
      <c r="V159">
        <f>GDS_Monthly!AC276</f>
        <v>244.37538237063012</v>
      </c>
      <c r="W159">
        <f>GDS_Monthly!AE276</f>
        <v>236.12054467216319</v>
      </c>
      <c r="X159">
        <f>GDS_Monthly!AF276</f>
        <v>137.75772241028153</v>
      </c>
      <c r="Y159">
        <f>OECD!B159</f>
        <v>99.708929999999995</v>
      </c>
      <c r="Z159">
        <f>OECD!C159</f>
        <v>100.28</v>
      </c>
      <c r="AA159">
        <f>'Monthly Haver'!K162</f>
        <v>98.091459999999998</v>
      </c>
      <c r="AB159" s="10">
        <f>'Monthly Haver'!L162</f>
        <v>703</v>
      </c>
      <c r="AC159" s="8"/>
      <c r="AD159" s="8"/>
      <c r="AE159" s="8"/>
    </row>
    <row r="160" spans="1:32">
      <c r="A160" s="12">
        <v>40969</v>
      </c>
      <c r="B160">
        <f>'Monthly Haver'!C163</f>
        <v>53.874400000000001</v>
      </c>
      <c r="C160">
        <f>'Monthly Haver'!D163</f>
        <v>55.512900000000002</v>
      </c>
      <c r="D160" t="e">
        <f>'Monthly Haver'!E163</f>
        <v>#N/A</v>
      </c>
      <c r="E160">
        <f>'Monthly Haver'!G163</f>
        <v>51.424900000000001</v>
      </c>
      <c r="F160">
        <f>'Monthly Haver'!H163</f>
        <v>51.1678</v>
      </c>
      <c r="G160">
        <f>'Monthly Haver'!I163</f>
        <v>49.279499999999999</v>
      </c>
      <c r="H160">
        <f>'Monthly Haver'!J163</f>
        <v>54.661799999999999</v>
      </c>
      <c r="I160">
        <f>GDS_Monthly!O277</f>
        <v>114.49935986049309</v>
      </c>
      <c r="J160">
        <f>GDS_Monthly!D277</f>
        <v>107.77739809835423</v>
      </c>
      <c r="K160">
        <f>GDS_Monthly!AH277</f>
        <v>1223.8759164999999</v>
      </c>
      <c r="L160">
        <f>GDS_Monthly!AI277</f>
        <v>1152.7416247000001</v>
      </c>
      <c r="M160">
        <f>GDS_Monthly!N277</f>
        <v>5.992438071703079</v>
      </c>
      <c r="N160">
        <f>GDS_Monthly!C277</f>
        <v>101.49375481973784</v>
      </c>
      <c r="O160">
        <f>GDS_Monthly!F277</f>
        <v>2.7580723088917831</v>
      </c>
      <c r="P160">
        <f>GDS_Monthly!G277</f>
        <v>2.4439234262563119</v>
      </c>
      <c r="Q160">
        <f>GDS_Monthly!T277</f>
        <v>105.63032890980023</v>
      </c>
      <c r="R160">
        <f>GDS_Monthly!V277</f>
        <v>104.17807199816703</v>
      </c>
      <c r="S160">
        <f>GDS_Monthly!W277</f>
        <v>123.09949405875805</v>
      </c>
      <c r="T160">
        <f>GDS_Monthly!X277</f>
        <v>187.70109106417283</v>
      </c>
      <c r="U160">
        <f>GDS_Monthly!AA277</f>
        <v>141.53673707725272</v>
      </c>
      <c r="V160">
        <f>GDS_Monthly!AC277</f>
        <v>253.33486741662077</v>
      </c>
      <c r="W160">
        <f>GDS_Monthly!AE277</f>
        <v>248.16123667907581</v>
      </c>
      <c r="X160">
        <f>GDS_Monthly!AF277</f>
        <v>135.7068003200487</v>
      </c>
      <c r="Y160">
        <f>OECD!B160</f>
        <v>99.706469999999996</v>
      </c>
      <c r="Z160">
        <f>OECD!C160</f>
        <v>100.84</v>
      </c>
      <c r="AA160">
        <f>'Monthly Haver'!K163</f>
        <v>99.323679999999996</v>
      </c>
      <c r="AB160" s="10">
        <f>'Monthly Haver'!L163</f>
        <v>859</v>
      </c>
      <c r="AC160" s="8">
        <f>Quarterly!B54</f>
        <v>106.55</v>
      </c>
      <c r="AD160" s="8">
        <f>Quarterly!C54</f>
        <v>91.26</v>
      </c>
      <c r="AE160" s="8">
        <f>Quarterly!D54</f>
        <v>104.67628377843808</v>
      </c>
      <c r="AF160" s="33">
        <v>4.2483498788164873</v>
      </c>
    </row>
    <row r="161" spans="1:32">
      <c r="A161" s="12">
        <v>41000</v>
      </c>
      <c r="B161">
        <f>'Monthly Haver'!C164</f>
        <v>53.301200000000001</v>
      </c>
      <c r="C161">
        <f>'Monthly Haver'!D164</f>
        <v>55.338700000000003</v>
      </c>
      <c r="D161" t="e">
        <f>'Monthly Haver'!E164</f>
        <v>#N/A</v>
      </c>
      <c r="E161">
        <f>'Monthly Haver'!G164</f>
        <v>51.344200000000001</v>
      </c>
      <c r="F161">
        <f>'Monthly Haver'!H164</f>
        <v>50.986400000000003</v>
      </c>
      <c r="G161">
        <f>'Monthly Haver'!I164</f>
        <v>49.322299999999998</v>
      </c>
      <c r="H161">
        <f>'Monthly Haver'!J164</f>
        <v>53.064</v>
      </c>
      <c r="I161">
        <f>GDS_Monthly!O278</f>
        <v>114.3131166469712</v>
      </c>
      <c r="J161">
        <f>GDS_Monthly!D278</f>
        <v>107.37556553953165</v>
      </c>
      <c r="K161">
        <f>GDS_Monthly!AH278</f>
        <v>1195.0083884999999</v>
      </c>
      <c r="L161">
        <f>GDS_Monthly!AI278</f>
        <v>1141.3393556000001</v>
      </c>
      <c r="M161">
        <f>GDS_Monthly!N278</f>
        <v>5.9413569742451893</v>
      </c>
      <c r="N161">
        <f>GDS_Monthly!C278</f>
        <v>101.3587587404021</v>
      </c>
      <c r="O161">
        <f>GDS_Monthly!F278</f>
        <v>2.722363006676717</v>
      </c>
      <c r="P161">
        <f>GDS_Monthly!G278</f>
        <v>2.403221130371743</v>
      </c>
      <c r="Q161">
        <f>GDS_Monthly!T278</f>
        <v>105.90434956471168</v>
      </c>
      <c r="R161">
        <f>GDS_Monthly!V278</f>
        <v>104.4056308152016</v>
      </c>
      <c r="S161">
        <f>GDS_Monthly!W278</f>
        <v>122.16986095625131</v>
      </c>
      <c r="T161">
        <f>GDS_Monthly!X278</f>
        <v>186.17544785226792</v>
      </c>
      <c r="U161">
        <f>GDS_Monthly!AA278</f>
        <v>141.22359890531962</v>
      </c>
      <c r="V161">
        <f>GDS_Monthly!AC278</f>
        <v>246.43748335125534</v>
      </c>
      <c r="W161">
        <f>GDS_Monthly!AE278</f>
        <v>239.28052951230242</v>
      </c>
      <c r="X161">
        <f>GDS_Monthly!AF278</f>
        <v>135.82200458690062</v>
      </c>
      <c r="Y161">
        <f>OECD!B161</f>
        <v>99.660769999999999</v>
      </c>
      <c r="Z161">
        <f>OECD!C161</f>
        <v>100.6</v>
      </c>
      <c r="AA161">
        <f>'Monthly Haver'!K164</f>
        <v>98.983999999999995</v>
      </c>
      <c r="AB161" s="10">
        <f>'Monthly Haver'!L164</f>
        <v>1021</v>
      </c>
      <c r="AC161" s="8"/>
      <c r="AD161" s="8"/>
      <c r="AE161" s="8"/>
    </row>
    <row r="162" spans="1:32">
      <c r="A162" s="12">
        <v>41030</v>
      </c>
      <c r="B162">
        <f>'Monthly Haver'!C165</f>
        <v>52.4681</v>
      </c>
      <c r="C162">
        <f>'Monthly Haver'!D165</f>
        <v>54.013300000000001</v>
      </c>
      <c r="D162" t="e">
        <f>'Monthly Haver'!E165</f>
        <v>#N/A</v>
      </c>
      <c r="E162">
        <f>'Monthly Haver'!G165</f>
        <v>51.310699999999997</v>
      </c>
      <c r="F162">
        <f>'Monthly Haver'!H165</f>
        <v>49.9998</v>
      </c>
      <c r="G162">
        <f>'Monthly Haver'!I165</f>
        <v>49.755499999999998</v>
      </c>
      <c r="H162">
        <f>'Monthly Haver'!J165</f>
        <v>52.924199999999999</v>
      </c>
      <c r="I162">
        <f>GDS_Monthly!O279</f>
        <v>114.76016354996005</v>
      </c>
      <c r="J162">
        <f>GDS_Monthly!D279</f>
        <v>108.31288949283446</v>
      </c>
      <c r="K162">
        <f>GDS_Monthly!AH279</f>
        <v>1227.5069887</v>
      </c>
      <c r="L162">
        <f>GDS_Monthly!AI279</f>
        <v>1164.4474206</v>
      </c>
      <c r="M162">
        <f>GDS_Monthly!N279</f>
        <v>5.9197925208750739</v>
      </c>
      <c r="N162">
        <f>GDS_Monthly!C279</f>
        <v>100.82050666554699</v>
      </c>
      <c r="O162">
        <f>GDS_Monthly!F279</f>
        <v>2.6875137914749372</v>
      </c>
      <c r="P162">
        <f>GDS_Monthly!G279</f>
        <v>2.3777333272923706</v>
      </c>
      <c r="Q162">
        <f>GDS_Monthly!T279</f>
        <v>105.89253646015513</v>
      </c>
      <c r="R162">
        <f>GDS_Monthly!V279</f>
        <v>104.55028156044067</v>
      </c>
      <c r="S162">
        <f>GDS_Monthly!W279</f>
        <v>116.5342386383212</v>
      </c>
      <c r="T162">
        <f>GDS_Monthly!X279</f>
        <v>176.15120747384736</v>
      </c>
      <c r="U162">
        <f>GDS_Monthly!AA279</f>
        <v>135.32552353845421</v>
      </c>
      <c r="V162">
        <f>GDS_Monthly!AC279</f>
        <v>228.3456831090528</v>
      </c>
      <c r="W162">
        <f>GDS_Monthly!AE279</f>
        <v>220.83069797265395</v>
      </c>
      <c r="X162">
        <f>GDS_Monthly!AF279</f>
        <v>132.79477176929745</v>
      </c>
      <c r="Y162">
        <f>OECD!B162</f>
        <v>99.581909999999993</v>
      </c>
      <c r="Z162">
        <f>OECD!C162</f>
        <v>100.05</v>
      </c>
      <c r="AA162">
        <f>'Monthly Haver'!K165</f>
        <v>100.28281</v>
      </c>
      <c r="AB162" s="10">
        <f>'Monthly Haver'!L165</f>
        <v>1101</v>
      </c>
      <c r="AC162" s="8"/>
      <c r="AD162" s="8"/>
      <c r="AE162" s="8"/>
    </row>
    <row r="163" spans="1:32">
      <c r="A163" s="12">
        <v>41061</v>
      </c>
      <c r="B163">
        <f>'Monthly Haver'!C166</f>
        <v>51.788699999999999</v>
      </c>
      <c r="C163">
        <f>'Monthly Haver'!D166</f>
        <v>52.401899999999998</v>
      </c>
      <c r="D163" t="e">
        <f>'Monthly Haver'!E166</f>
        <v>#N/A</v>
      </c>
      <c r="E163">
        <f>'Monthly Haver'!G166</f>
        <v>50.421900000000001</v>
      </c>
      <c r="F163">
        <f>'Monthly Haver'!H166</f>
        <v>49.537100000000002</v>
      </c>
      <c r="G163">
        <f>'Monthly Haver'!I166</f>
        <v>49.3797</v>
      </c>
      <c r="H163">
        <f>'Monthly Haver'!J166</f>
        <v>51.225000000000001</v>
      </c>
      <c r="I163">
        <f>GDS_Monthly!O280</f>
        <v>115.32706007209732</v>
      </c>
      <c r="J163">
        <f>GDS_Monthly!D280</f>
        <v>108.04995660629091</v>
      </c>
      <c r="K163">
        <f>GDS_Monthly!AH280</f>
        <v>1178.2171266</v>
      </c>
      <c r="L163">
        <f>GDS_Monthly!AI280</f>
        <v>1131.5812704</v>
      </c>
      <c r="M163">
        <f>GDS_Monthly!N280</f>
        <v>5.9236282446847648</v>
      </c>
      <c r="N163">
        <f>GDS_Monthly!C280</f>
        <v>100.02955489835155</v>
      </c>
      <c r="O163">
        <f>GDS_Monthly!F280</f>
        <v>2.5498633976348608</v>
      </c>
      <c r="P163">
        <f>GDS_Monthly!G280</f>
        <v>2.3509572663876002</v>
      </c>
      <c r="Q163">
        <f>GDS_Monthly!T280</f>
        <v>105.89772308581264</v>
      </c>
      <c r="R163">
        <f>GDS_Monthly!V280</f>
        <v>104.70412514553244</v>
      </c>
      <c r="S163">
        <f>GDS_Monthly!W280</f>
        <v>116.75688980702866</v>
      </c>
      <c r="T163">
        <f>GDS_Monthly!X280</f>
        <v>169.98041123816992</v>
      </c>
      <c r="U163">
        <f>GDS_Monthly!AA280</f>
        <v>132.32867492012514</v>
      </c>
      <c r="V163">
        <f>GDS_Monthly!AC280</f>
        <v>205.11538467694805</v>
      </c>
      <c r="W163">
        <f>GDS_Monthly!AE280</f>
        <v>194.35606048464365</v>
      </c>
      <c r="X163">
        <f>GDS_Monthly!AF280</f>
        <v>124.0249227093007</v>
      </c>
      <c r="Y163">
        <f>OECD!B163</f>
        <v>99.486099999999993</v>
      </c>
      <c r="Z163">
        <f>OECD!C163</f>
        <v>99.33</v>
      </c>
      <c r="AA163">
        <f>'Monthly Haver'!K166</f>
        <v>101.49361</v>
      </c>
      <c r="AB163" s="10">
        <f>'Monthly Haver'!L166</f>
        <v>937</v>
      </c>
      <c r="AC163" s="8">
        <f>Quarterly!B55</f>
        <v>106.84</v>
      </c>
      <c r="AD163" s="8">
        <f>Quarterly!C55</f>
        <v>90.97</v>
      </c>
      <c r="AE163" s="8">
        <f>Quarterly!D55</f>
        <v>105.00499061525007</v>
      </c>
      <c r="AF163" s="33">
        <v>2.3173451083879262</v>
      </c>
    </row>
    <row r="164" spans="1:32">
      <c r="A164" s="12">
        <v>41091</v>
      </c>
      <c r="B164">
        <f>'Monthly Haver'!C167</f>
        <v>50.419600000000003</v>
      </c>
      <c r="C164">
        <f>'Monthly Haver'!D167</f>
        <v>52.3337</v>
      </c>
      <c r="D164" t="e">
        <f>'Monthly Haver'!E167</f>
        <v>#N/A</v>
      </c>
      <c r="E164">
        <f>'Monthly Haver'!G167</f>
        <v>50.686300000000003</v>
      </c>
      <c r="F164">
        <f>'Monthly Haver'!H167</f>
        <v>48.877099999999999</v>
      </c>
      <c r="G164">
        <f>'Monthly Haver'!I167</f>
        <v>49.496600000000001</v>
      </c>
      <c r="H164">
        <f>'Monthly Haver'!J167</f>
        <v>50.340299999999999</v>
      </c>
      <c r="I164">
        <f>GDS_Monthly!O281</f>
        <v>115.67921389270089</v>
      </c>
      <c r="J164">
        <f>GDS_Monthly!D281</f>
        <v>108.36283014087947</v>
      </c>
      <c r="K164">
        <f>GDS_Monthly!AH281</f>
        <v>1167.5647873999999</v>
      </c>
      <c r="L164">
        <f>GDS_Monthly!AI281</f>
        <v>1115.2514782000001</v>
      </c>
      <c r="M164">
        <f>GDS_Monthly!N281</f>
        <v>5.9330028241480273</v>
      </c>
      <c r="N164">
        <f>GDS_Monthly!C281</f>
        <v>100.48765592433789</v>
      </c>
      <c r="O164">
        <f>GDS_Monthly!F281</f>
        <v>2.4096670017495692</v>
      </c>
      <c r="P164">
        <f>GDS_Monthly!G281</f>
        <v>2.238726353575005</v>
      </c>
      <c r="Q164">
        <f>GDS_Monthly!T281</f>
        <v>106.05897699787401</v>
      </c>
      <c r="R164">
        <f>GDS_Monthly!V281</f>
        <v>104.89394646430128</v>
      </c>
      <c r="S164">
        <f>GDS_Monthly!W281</f>
        <v>123.55572981050605</v>
      </c>
      <c r="T164">
        <f>GDS_Monthly!X281</f>
        <v>166.35899971121523</v>
      </c>
      <c r="U164">
        <f>GDS_Monthly!AA281</f>
        <v>134.39966812721249</v>
      </c>
      <c r="V164">
        <f>GDS_Monthly!AC281</f>
        <v>214.92379899534706</v>
      </c>
      <c r="W164">
        <f>GDS_Monthly!AE281</f>
        <v>208.46653920297831</v>
      </c>
      <c r="X164">
        <f>GDS_Monthly!AF281</f>
        <v>123.22005092680313</v>
      </c>
      <c r="Y164">
        <f>OECD!B164</f>
        <v>99.395259999999993</v>
      </c>
      <c r="Z164">
        <f>OECD!C164</f>
        <v>99.6</v>
      </c>
      <c r="AA164">
        <f>'Monthly Haver'!K167</f>
        <v>101.30234</v>
      </c>
      <c r="AB164" s="10">
        <f>'Monthly Haver'!L167</f>
        <v>1056</v>
      </c>
      <c r="AC164" s="8"/>
      <c r="AD164" s="8"/>
      <c r="AE164" s="8"/>
    </row>
    <row r="165" spans="1:32">
      <c r="A165" s="12">
        <v>41122</v>
      </c>
      <c r="B165">
        <f>'Monthly Haver'!C168</f>
        <v>50.0931</v>
      </c>
      <c r="C165">
        <f>'Monthly Haver'!D168</f>
        <v>52.784999999999997</v>
      </c>
      <c r="D165" t="e">
        <f>'Monthly Haver'!E168</f>
        <v>#N/A</v>
      </c>
      <c r="E165">
        <f>'Monthly Haver'!G168</f>
        <v>50.901699999999998</v>
      </c>
      <c r="F165">
        <f>'Monthly Haver'!H168</f>
        <v>48.723999999999997</v>
      </c>
      <c r="G165">
        <f>'Monthly Haver'!I168</f>
        <v>50.074300000000001</v>
      </c>
      <c r="H165">
        <f>'Monthly Haver'!J168</f>
        <v>50.604900000000001</v>
      </c>
      <c r="I165">
        <f>GDS_Monthly!O282</f>
        <v>116.52826806032212</v>
      </c>
      <c r="J165">
        <f>GDS_Monthly!D282</f>
        <v>108.3724214276109</v>
      </c>
      <c r="K165">
        <f>GDS_Monthly!AH282</f>
        <v>1185.1130410999999</v>
      </c>
      <c r="L165">
        <f>GDS_Monthly!AI282</f>
        <v>1131.9302995</v>
      </c>
      <c r="M165">
        <f>GDS_Monthly!N282</f>
        <v>5.9146546400146685</v>
      </c>
      <c r="N165">
        <f>GDS_Monthly!C282</f>
        <v>99.673554885922229</v>
      </c>
      <c r="O165">
        <f>GDS_Monthly!F282</f>
        <v>2.3452907794693147</v>
      </c>
      <c r="P165">
        <f>GDS_Monthly!G282</f>
        <v>2.2133598411791722</v>
      </c>
      <c r="Q165">
        <f>GDS_Monthly!T282</f>
        <v>106.48227605687582</v>
      </c>
      <c r="R165">
        <f>GDS_Monthly!V282</f>
        <v>105.03176840638177</v>
      </c>
      <c r="S165">
        <f>GDS_Monthly!W282</f>
        <v>124.87643965800201</v>
      </c>
      <c r="T165">
        <f>GDS_Monthly!X282</f>
        <v>154.20961964448682</v>
      </c>
      <c r="U165">
        <f>GDS_Monthly!AA282</f>
        <v>132.97887510169247</v>
      </c>
      <c r="V165">
        <f>GDS_Monthly!AC282</f>
        <v>228.38041890547041</v>
      </c>
      <c r="W165">
        <f>GDS_Monthly!AE282</f>
        <v>225.8608633194103</v>
      </c>
      <c r="X165">
        <f>GDS_Monthly!AF282</f>
        <v>120.04965358844375</v>
      </c>
      <c r="Y165">
        <f>OECD!B165</f>
        <v>99.328639999999993</v>
      </c>
      <c r="Z165">
        <f>OECD!C165</f>
        <v>99.83</v>
      </c>
      <c r="AA165">
        <f>'Monthly Haver'!K168</f>
        <v>101.70589</v>
      </c>
      <c r="AB165" s="10">
        <f>'Monthly Haver'!L168</f>
        <v>761</v>
      </c>
      <c r="AC165" s="8"/>
      <c r="AD165" s="8"/>
      <c r="AE165" s="8"/>
    </row>
    <row r="166" spans="1:32">
      <c r="A166" s="12">
        <v>41153</v>
      </c>
      <c r="B166">
        <f>'Monthly Haver'!C169</f>
        <v>50.3596</v>
      </c>
      <c r="C166">
        <f>'Monthly Haver'!D169</f>
        <v>54.081899999999997</v>
      </c>
      <c r="D166" t="e">
        <f>'Monthly Haver'!E169</f>
        <v>#N/A</v>
      </c>
      <c r="E166">
        <f>'Monthly Haver'!G169</f>
        <v>50.303600000000003</v>
      </c>
      <c r="F166">
        <f>'Monthly Haver'!H169</f>
        <v>48.880299999999998</v>
      </c>
      <c r="G166">
        <f>'Monthly Haver'!I169</f>
        <v>49.200400000000002</v>
      </c>
      <c r="H166">
        <f>'Monthly Haver'!J169</f>
        <v>50.392200000000003</v>
      </c>
      <c r="I166">
        <f>GDS_Monthly!O283</f>
        <v>117.25849309013319</v>
      </c>
      <c r="J166">
        <f>GDS_Monthly!D283</f>
        <v>107.97708046365931</v>
      </c>
      <c r="K166">
        <f>GDS_Monthly!AH283</f>
        <v>1196.3435649999999</v>
      </c>
      <c r="L166">
        <f>GDS_Monthly!AI283</f>
        <v>1147.9023826</v>
      </c>
      <c r="M166">
        <f>GDS_Monthly!N283</f>
        <v>5.8978486495777718</v>
      </c>
      <c r="N166">
        <f>GDS_Monthly!C283</f>
        <v>100.92619268611455</v>
      </c>
      <c r="O166">
        <f>GDS_Monthly!F283</f>
        <v>2.2506356453587926</v>
      </c>
      <c r="P166">
        <f>GDS_Monthly!G283</f>
        <v>2.2163896814489119</v>
      </c>
      <c r="Q166">
        <f>GDS_Monthly!T283</f>
        <v>106.85163273943539</v>
      </c>
      <c r="R166">
        <f>GDS_Monthly!V283</f>
        <v>105.28668990620649</v>
      </c>
      <c r="S166">
        <f>GDS_Monthly!W283</f>
        <v>122.34305021669648</v>
      </c>
      <c r="T166">
        <f>GDS_Monthly!X283</f>
        <v>156.92482090617159</v>
      </c>
      <c r="U166">
        <f>GDS_Monthly!AA283</f>
        <v>134.56243132076744</v>
      </c>
      <c r="V166">
        <f>GDS_Monthly!AC283</f>
        <v>230.32900417911242</v>
      </c>
      <c r="W166">
        <f>GDS_Monthly!AE283</f>
        <v>224.3928341914835</v>
      </c>
      <c r="X166">
        <f>GDS_Monthly!AF283</f>
        <v>122.55314199917372</v>
      </c>
      <c r="Y166">
        <f>OECD!B166</f>
        <v>99.298680000000004</v>
      </c>
      <c r="Z166">
        <f>OECD!C166</f>
        <v>100.86</v>
      </c>
      <c r="AA166">
        <f>'Monthly Haver'!K169</f>
        <v>100.3569</v>
      </c>
      <c r="AB166" s="10">
        <f>'Monthly Haver'!L169</f>
        <v>707</v>
      </c>
      <c r="AC166" s="8">
        <f>Quarterly!B56</f>
        <v>106.4</v>
      </c>
      <c r="AD166" s="8">
        <f>Quarterly!C56</f>
        <v>91.13</v>
      </c>
      <c r="AE166" s="8">
        <f>Quarterly!D56</f>
        <v>105.48588294125089</v>
      </c>
      <c r="AF166" s="33">
        <v>2.9352427218452912</v>
      </c>
    </row>
    <row r="167" spans="1:32">
      <c r="A167" s="12">
        <v>41183</v>
      </c>
      <c r="B167">
        <f>'Monthly Haver'!C170</f>
        <v>51.091200000000001</v>
      </c>
      <c r="C167">
        <f>'Monthly Haver'!D170</f>
        <v>54.485799999999998</v>
      </c>
      <c r="D167" t="e">
        <f>'Monthly Haver'!E170</f>
        <v>#N/A</v>
      </c>
      <c r="E167">
        <f>'Monthly Haver'!G170</f>
        <v>50.935200000000002</v>
      </c>
      <c r="F167">
        <f>'Monthly Haver'!H170</f>
        <v>49.139400000000002</v>
      </c>
      <c r="G167">
        <f>'Monthly Haver'!I170</f>
        <v>48.180599999999998</v>
      </c>
      <c r="H167">
        <f>'Monthly Haver'!J170</f>
        <v>51.054400000000001</v>
      </c>
      <c r="I167">
        <f>GDS_Monthly!O284</f>
        <v>117.42418307311111</v>
      </c>
      <c r="J167">
        <f>GDS_Monthly!D284</f>
        <v>108.59182142723913</v>
      </c>
      <c r="K167">
        <f>GDS_Monthly!AH284</f>
        <v>1204.6860678999999</v>
      </c>
      <c r="L167">
        <f>GDS_Monthly!AI284</f>
        <v>1148.5678207000001</v>
      </c>
      <c r="M167">
        <f>GDS_Monthly!N284</f>
        <v>5.8986505502143309</v>
      </c>
      <c r="N167">
        <f>GDS_Monthly!C284</f>
        <v>101.9936268228641</v>
      </c>
      <c r="O167">
        <f>GDS_Monthly!F284</f>
        <v>2.2294255892115693</v>
      </c>
      <c r="P167">
        <f>GDS_Monthly!G284</f>
        <v>2.1950900127416562</v>
      </c>
      <c r="Q167">
        <f>GDS_Monthly!T284</f>
        <v>107.09093985396522</v>
      </c>
      <c r="R167">
        <f>GDS_Monthly!V284</f>
        <v>105.49387340997916</v>
      </c>
      <c r="S167">
        <f>GDS_Monthly!W284</f>
        <v>121.5073146427973</v>
      </c>
      <c r="T167">
        <f>GDS_Monthly!X284</f>
        <v>162.63341061421184</v>
      </c>
      <c r="U167">
        <f>GDS_Monthly!AA284</f>
        <v>135.08654434720705</v>
      </c>
      <c r="V167">
        <f>GDS_Monthly!AC284</f>
        <v>225.63135207279143</v>
      </c>
      <c r="W167">
        <f>GDS_Monthly!AE284</f>
        <v>217.89039033524031</v>
      </c>
      <c r="X167">
        <f>GDS_Monthly!AF284</f>
        <v>123.4756242718296</v>
      </c>
      <c r="Y167">
        <f>OECD!B167</f>
        <v>99.306259999999995</v>
      </c>
      <c r="Z167">
        <f>OECD!C167</f>
        <v>101.44</v>
      </c>
      <c r="AA167">
        <f>'Monthly Haver'!K170</f>
        <v>100.03227</v>
      </c>
      <c r="AB167" s="10">
        <f>'Monthly Haver'!L170</f>
        <v>952</v>
      </c>
      <c r="AC167" s="8"/>
      <c r="AD167" s="8"/>
      <c r="AE167" s="8"/>
    </row>
    <row r="168" spans="1:32">
      <c r="A168" s="12">
        <v>41214</v>
      </c>
      <c r="B168">
        <f>'Monthly Haver'!C171</f>
        <v>50.9114</v>
      </c>
      <c r="C168">
        <f>'Monthly Haver'!D171</f>
        <v>54.77</v>
      </c>
      <c r="D168" t="e">
        <f>'Monthly Haver'!E171</f>
        <v>#N/A</v>
      </c>
      <c r="E168">
        <f>'Monthly Haver'!G171</f>
        <v>51.273400000000002</v>
      </c>
      <c r="F168">
        <f>'Monthly Haver'!H171</f>
        <v>49.863100000000003</v>
      </c>
      <c r="G168">
        <f>'Monthly Haver'!I171</f>
        <v>48.081099999999999</v>
      </c>
      <c r="H168">
        <f>'Monthly Haver'!J171</f>
        <v>51.677</v>
      </c>
      <c r="I168">
        <f>GDS_Monthly!O285</f>
        <v>117.34045081873067</v>
      </c>
      <c r="J168">
        <f>GDS_Monthly!D285</f>
        <v>108.73294479328941</v>
      </c>
      <c r="K168">
        <f>GDS_Monthly!AH285</f>
        <v>1204.779544</v>
      </c>
      <c r="L168">
        <f>GDS_Monthly!AI285</f>
        <v>1140.1986006</v>
      </c>
      <c r="M168">
        <f>GDS_Monthly!N285</f>
        <v>5.9113379181960344</v>
      </c>
      <c r="N168">
        <f>GDS_Monthly!C285</f>
        <v>101.84071435799022</v>
      </c>
      <c r="O168">
        <f>GDS_Monthly!F285</f>
        <v>2.1766901615591263</v>
      </c>
      <c r="P168">
        <f>GDS_Monthly!G285</f>
        <v>2.1900380904622283</v>
      </c>
      <c r="Q168">
        <f>GDS_Monthly!T285</f>
        <v>107.1877644456263</v>
      </c>
      <c r="R168">
        <f>GDS_Monthly!V285</f>
        <v>105.66434884755589</v>
      </c>
      <c r="S168">
        <f>GDS_Monthly!W285</f>
        <v>120.52980956113988</v>
      </c>
      <c r="T168">
        <f>GDS_Monthly!X285</f>
        <v>162.69193832813815</v>
      </c>
      <c r="U168">
        <f>GDS_Monthly!AA285</f>
        <v>133.64123341547855</v>
      </c>
      <c r="V168">
        <f>GDS_Monthly!AC285</f>
        <v>221.98324538315228</v>
      </c>
      <c r="W168">
        <f>GDS_Monthly!AE285</f>
        <v>214.73723579838028</v>
      </c>
      <c r="X168">
        <f>GDS_Monthly!AF285</f>
        <v>122.60777854291372</v>
      </c>
      <c r="Y168">
        <f>OECD!B168</f>
        <v>99.351979999999998</v>
      </c>
      <c r="Z168">
        <f>OECD!C168</f>
        <v>101.21</v>
      </c>
      <c r="AA168">
        <f>'Monthly Haver'!K171</f>
        <v>100.16276999999999</v>
      </c>
      <c r="AB168" s="10">
        <f>'Monthly Haver'!L171</f>
        <v>1025</v>
      </c>
      <c r="AC168" s="8"/>
      <c r="AD168" s="8"/>
      <c r="AE168" s="8"/>
    </row>
    <row r="169" spans="1:32">
      <c r="A169" s="12">
        <v>41244</v>
      </c>
      <c r="B169">
        <f>'Monthly Haver'!C172</f>
        <v>51.369700000000002</v>
      </c>
      <c r="C169">
        <f>'Monthly Haver'!D172</f>
        <v>55.167099999999998</v>
      </c>
      <c r="D169" t="e">
        <f>'Monthly Haver'!E172</f>
        <v>#N/A</v>
      </c>
      <c r="E169">
        <f>'Monthly Haver'!G172</f>
        <v>51.529200000000003</v>
      </c>
      <c r="F169">
        <f>'Monthly Haver'!H172</f>
        <v>50.280299999999997</v>
      </c>
      <c r="G169">
        <f>'Monthly Haver'!I172</f>
        <v>48.508800000000001</v>
      </c>
      <c r="H169">
        <f>'Monthly Haver'!J172</f>
        <v>51.457500000000003</v>
      </c>
      <c r="I169">
        <f>GDS_Monthly!O286</f>
        <v>118.19100796023589</v>
      </c>
      <c r="J169">
        <f>GDS_Monthly!D286</f>
        <v>109.08945950539749</v>
      </c>
      <c r="K169">
        <f>GDS_Monthly!AH286</f>
        <v>1197.2001129</v>
      </c>
      <c r="L169">
        <f>GDS_Monthly!AI286</f>
        <v>1148.4158571999999</v>
      </c>
      <c r="M169">
        <f>GDS_Monthly!N286</f>
        <v>5.9322195078458995</v>
      </c>
      <c r="N169">
        <f>GDS_Monthly!C286</f>
        <v>100.81982897673393</v>
      </c>
      <c r="O169">
        <f>GDS_Monthly!F286</f>
        <v>2.0884421370208419</v>
      </c>
      <c r="P169">
        <f>GDS_Monthly!G286</f>
        <v>2.1775590092344395</v>
      </c>
      <c r="Q169">
        <f>GDS_Monthly!T286</f>
        <v>107.41330630731754</v>
      </c>
      <c r="R169">
        <f>GDS_Monthly!V286</f>
        <v>105.85451272818251</v>
      </c>
      <c r="S169">
        <f>GDS_Monthly!W286</f>
        <v>120.66788241996602</v>
      </c>
      <c r="T169">
        <f>GDS_Monthly!X286</f>
        <v>171.85464571819227</v>
      </c>
      <c r="U169">
        <f>GDS_Monthly!AA286</f>
        <v>134.96597772170693</v>
      </c>
      <c r="V169">
        <f>GDS_Monthly!AC286</f>
        <v>221.99254097164575</v>
      </c>
      <c r="W169">
        <f>GDS_Monthly!AE286</f>
        <v>213.42350584364127</v>
      </c>
      <c r="X169">
        <f>GDS_Monthly!AF286</f>
        <v>124.25906808063732</v>
      </c>
      <c r="Y169">
        <f>OECD!B169</f>
        <v>99.429469999999995</v>
      </c>
      <c r="Z169">
        <f>OECD!C169</f>
        <v>101.79</v>
      </c>
      <c r="AA169">
        <f>'Monthly Haver'!K172</f>
        <v>99.294460000000001</v>
      </c>
      <c r="AB169" s="10">
        <f>'Monthly Haver'!L172</f>
        <v>856</v>
      </c>
      <c r="AC169" s="8">
        <f>Quarterly!B57</f>
        <v>107.41</v>
      </c>
      <c r="AD169" s="8">
        <f>Quarterly!C57</f>
        <v>91.02</v>
      </c>
      <c r="AE169" s="8">
        <f>Quarterly!D57</f>
        <v>105.85603037225735</v>
      </c>
      <c r="AF169" s="33">
        <v>2.8000030370659932</v>
      </c>
    </row>
    <row r="170" spans="1:32">
      <c r="A170" s="12">
        <v>41275</v>
      </c>
      <c r="B170">
        <f>'Monthly Haver'!C173</f>
        <v>52.941600000000001</v>
      </c>
      <c r="C170">
        <f>'Monthly Haver'!D173</f>
        <v>54.575600000000001</v>
      </c>
      <c r="D170" t="e">
        <f>'Monthly Haver'!E173</f>
        <v>#N/A</v>
      </c>
      <c r="E170">
        <f>'Monthly Haver'!G173</f>
        <v>50.765700000000002</v>
      </c>
      <c r="F170">
        <f>'Monthly Haver'!H173</f>
        <v>51.529699999999998</v>
      </c>
      <c r="G170">
        <f>'Monthly Haver'!I173</f>
        <v>49.017099999999999</v>
      </c>
      <c r="H170">
        <f>'Monthly Haver'!J173</f>
        <v>52.175199999999997</v>
      </c>
      <c r="I170">
        <f>GDS_Monthly!O287</f>
        <v>118.92628739224862</v>
      </c>
      <c r="J170">
        <f>GDS_Monthly!D287</f>
        <v>109.27713549996308</v>
      </c>
      <c r="K170">
        <f>GDS_Monthly!AH287</f>
        <v>1238.2720485</v>
      </c>
      <c r="L170">
        <f>GDS_Monthly!AI287</f>
        <v>1169.2356227</v>
      </c>
      <c r="M170">
        <f>GDS_Monthly!N287</f>
        <v>5.9935863765036519</v>
      </c>
      <c r="N170">
        <f>GDS_Monthly!C287</f>
        <v>99.921274490453342</v>
      </c>
      <c r="O170">
        <f>GDS_Monthly!F287</f>
        <v>2.3485686279081754</v>
      </c>
      <c r="P170">
        <f>GDS_Monthly!G287</f>
        <v>2.2849822618652249</v>
      </c>
      <c r="Q170">
        <f>GDS_Monthly!T287</f>
        <v>107.66483873118243</v>
      </c>
      <c r="R170">
        <f>GDS_Monthly!V287</f>
        <v>106.02045755482538</v>
      </c>
      <c r="S170">
        <f>GDS_Monthly!W287</f>
        <v>122.09597533335727</v>
      </c>
      <c r="T170">
        <f>GDS_Monthly!X287</f>
        <v>183.41363306458015</v>
      </c>
      <c r="U170">
        <f>GDS_Monthly!AA287</f>
        <v>137.67090256700612</v>
      </c>
      <c r="V170">
        <f>GDS_Monthly!AC287</f>
        <v>228.24927882025304</v>
      </c>
      <c r="W170">
        <f>GDS_Monthly!AE287</f>
        <v>222.00831627705111</v>
      </c>
      <c r="X170">
        <f>GDS_Monthly!AF287</f>
        <v>126.62622371401628</v>
      </c>
      <c r="Y170">
        <f>OECD!B170</f>
        <v>99.526359999999997</v>
      </c>
      <c r="Z170">
        <f>OECD!C170</f>
        <v>102.48</v>
      </c>
      <c r="AA170">
        <f>'Monthly Haver'!K173</f>
        <v>99.133719999999997</v>
      </c>
      <c r="AB170" s="10">
        <f>'Monthly Haver'!L173</f>
        <v>771</v>
      </c>
      <c r="AC170" s="8"/>
      <c r="AD170" s="8"/>
      <c r="AE170" s="8"/>
    </row>
    <row r="171" spans="1:32">
      <c r="A171" s="12">
        <v>41306</v>
      </c>
      <c r="B171">
        <f>'Monthly Haver'!C174</f>
        <v>52.169699999999999</v>
      </c>
      <c r="C171">
        <f>'Monthly Haver'!D174</f>
        <v>54.3431</v>
      </c>
      <c r="D171" t="e">
        <f>'Monthly Haver'!E174</f>
        <v>#N/A</v>
      </c>
      <c r="E171">
        <f>'Monthly Haver'!G174</f>
        <v>50.451900000000002</v>
      </c>
      <c r="F171">
        <f>'Monthly Haver'!H174</f>
        <v>50.878599999999999</v>
      </c>
      <c r="G171">
        <f>'Monthly Haver'!I174</f>
        <v>48.940600000000003</v>
      </c>
      <c r="H171">
        <f>'Monthly Haver'!J174</f>
        <v>51.919600000000003</v>
      </c>
      <c r="I171">
        <f>GDS_Monthly!O288</f>
        <v>119.66494388343547</v>
      </c>
      <c r="J171">
        <f>GDS_Monthly!D288</f>
        <v>109.4800260252579</v>
      </c>
      <c r="K171">
        <f>GDS_Monthly!AH288</f>
        <v>1223.5800965000001</v>
      </c>
      <c r="L171">
        <f>GDS_Monthly!AI288</f>
        <v>1177.7789802</v>
      </c>
      <c r="M171">
        <f>GDS_Monthly!N288</f>
        <v>5.9503433966379378</v>
      </c>
      <c r="N171">
        <f>GDS_Monthly!C288</f>
        <v>101.7122432393499</v>
      </c>
      <c r="O171">
        <f>GDS_Monthly!F288</f>
        <v>2.4947618836001828</v>
      </c>
      <c r="P171">
        <f>GDS_Monthly!G288</f>
        <v>2.281533859227268</v>
      </c>
      <c r="Q171">
        <f>GDS_Monthly!T288</f>
        <v>108.00512490869616</v>
      </c>
      <c r="R171">
        <f>GDS_Monthly!V288</f>
        <v>106.18824963565905</v>
      </c>
      <c r="S171">
        <f>GDS_Monthly!W288</f>
        <v>121.33550462915659</v>
      </c>
      <c r="T171">
        <f>GDS_Monthly!X288</f>
        <v>185.80548519520644</v>
      </c>
      <c r="U171">
        <f>GDS_Monthly!AA288</f>
        <v>137.07399699335079</v>
      </c>
      <c r="V171">
        <f>GDS_Monthly!AC288</f>
        <v>232.74044183137357</v>
      </c>
      <c r="W171">
        <f>GDS_Monthly!AE288</f>
        <v>228.80521777968238</v>
      </c>
      <c r="X171">
        <f>GDS_Monthly!AF288</f>
        <v>125.00540336905179</v>
      </c>
      <c r="Y171">
        <f>OECD!B171</f>
        <v>99.632450000000006</v>
      </c>
      <c r="Z171">
        <f>OECD!C171</f>
        <v>102.71</v>
      </c>
      <c r="AA171">
        <f>'Monthly Haver'!K174</f>
        <v>100.50660999999999</v>
      </c>
      <c r="AB171" s="10">
        <f>'Monthly Haver'!L174</f>
        <v>745</v>
      </c>
      <c r="AC171" s="8"/>
      <c r="AD171" s="8"/>
      <c r="AE171" s="8"/>
    </row>
    <row r="172" spans="1:32">
      <c r="A172" s="12">
        <v>41334</v>
      </c>
      <c r="B172">
        <f>'Monthly Haver'!C175</f>
        <v>52.174599999999998</v>
      </c>
      <c r="C172">
        <f>'Monthly Haver'!D175</f>
        <v>53.028199999999998</v>
      </c>
      <c r="D172" t="e">
        <f>'Monthly Haver'!E175</f>
        <v>#N/A</v>
      </c>
      <c r="E172">
        <f>'Monthly Haver'!G175</f>
        <v>50.6389</v>
      </c>
      <c r="F172">
        <f>'Monthly Haver'!H175</f>
        <v>51.116900000000001</v>
      </c>
      <c r="G172">
        <f>'Monthly Haver'!I175</f>
        <v>49.383000000000003</v>
      </c>
      <c r="H172">
        <f>'Monthly Haver'!J175</f>
        <v>51.8797</v>
      </c>
      <c r="I172">
        <f>GDS_Monthly!O289</f>
        <v>120.11135748612021</v>
      </c>
      <c r="J172">
        <f>GDS_Monthly!D289</f>
        <v>110.17036759878916</v>
      </c>
      <c r="K172">
        <f>GDS_Monthly!AH289</f>
        <v>1200.6952722000001</v>
      </c>
      <c r="L172">
        <f>GDS_Monthly!AI289</f>
        <v>1164.1370236</v>
      </c>
      <c r="M172">
        <f>GDS_Monthly!N289</f>
        <v>5.9320812594290828</v>
      </c>
      <c r="N172">
        <f>GDS_Monthly!C289</f>
        <v>100.528447080354</v>
      </c>
      <c r="O172">
        <f>GDS_Monthly!F289</f>
        <v>2.4367792139754769</v>
      </c>
      <c r="P172">
        <f>GDS_Monthly!G289</f>
        <v>2.2592696448609724</v>
      </c>
      <c r="Q172">
        <f>GDS_Monthly!T289</f>
        <v>108.02342900619668</v>
      </c>
      <c r="R172">
        <f>GDS_Monthly!V289</f>
        <v>106.41923954276629</v>
      </c>
      <c r="S172">
        <f>GDS_Monthly!W289</f>
        <v>121.5997756607396</v>
      </c>
      <c r="T172">
        <f>GDS_Monthly!X289</f>
        <v>172.55957454233271</v>
      </c>
      <c r="U172">
        <f>GDS_Monthly!AA289</f>
        <v>133.85826061472073</v>
      </c>
      <c r="V172">
        <f>GDS_Monthly!AC289</f>
        <v>226.16019409680399</v>
      </c>
      <c r="W172">
        <f>GDS_Monthly!AE289</f>
        <v>221.55364469248869</v>
      </c>
      <c r="X172">
        <f>GDS_Monthly!AF289</f>
        <v>124.03353252291816</v>
      </c>
      <c r="Y172">
        <f>OECD!B172</f>
        <v>99.733279999999993</v>
      </c>
      <c r="Z172">
        <f>OECD!C172</f>
        <v>102.66</v>
      </c>
      <c r="AA172">
        <f>'Monthly Haver'!K175</f>
        <v>101.10106</v>
      </c>
      <c r="AB172" s="10">
        <f>'Monthly Haver'!L175</f>
        <v>876</v>
      </c>
      <c r="AC172" s="8">
        <f>Quarterly!B58</f>
        <v>105.77</v>
      </c>
      <c r="AD172" s="8">
        <f>Quarterly!C58</f>
        <v>90.93</v>
      </c>
      <c r="AE172" s="8">
        <f>Quarterly!D58</f>
        <v>106.62614357316862</v>
      </c>
      <c r="AF172" s="33">
        <v>3.7144309861498188</v>
      </c>
    </row>
    <row r="173" spans="1:32">
      <c r="A173" s="12">
        <v>41365</v>
      </c>
      <c r="B173">
        <f>'Monthly Haver'!C176</f>
        <v>51.7361</v>
      </c>
      <c r="C173">
        <f>'Monthly Haver'!D176</f>
        <v>52.113599999999998</v>
      </c>
      <c r="D173" t="e">
        <f>'Monthly Haver'!E176</f>
        <v>#N/A</v>
      </c>
      <c r="E173">
        <f>'Monthly Haver'!G176</f>
        <v>50.573</v>
      </c>
      <c r="F173">
        <f>'Monthly Haver'!H176</f>
        <v>50.388300000000001</v>
      </c>
      <c r="G173">
        <f>'Monthly Haver'!I176</f>
        <v>49.945099999999996</v>
      </c>
      <c r="H173">
        <f>'Monthly Haver'!J176</f>
        <v>51.596499999999999</v>
      </c>
      <c r="I173">
        <f>GDS_Monthly!O290</f>
        <v>121.41118799179502</v>
      </c>
      <c r="J173">
        <f>GDS_Monthly!D290</f>
        <v>110.73765045069047</v>
      </c>
      <c r="K173">
        <f>GDS_Monthly!AH290</f>
        <v>1216.9837021999999</v>
      </c>
      <c r="L173">
        <f>GDS_Monthly!AI290</f>
        <v>1166.2598683000001</v>
      </c>
      <c r="M173">
        <f>GDS_Monthly!N290</f>
        <v>5.9493298369158572</v>
      </c>
      <c r="N173">
        <f>GDS_Monthly!C290</f>
        <v>101.6402886126499</v>
      </c>
      <c r="O173">
        <f>GDS_Monthly!F290</f>
        <v>2.3351016526176052</v>
      </c>
      <c r="P173">
        <f>GDS_Monthly!G290</f>
        <v>2.2629195758396823</v>
      </c>
      <c r="Q173">
        <f>GDS_Monthly!T290</f>
        <v>108.07721029780009</v>
      </c>
      <c r="R173">
        <f>GDS_Monthly!V290</f>
        <v>106.51915418492428</v>
      </c>
      <c r="S173">
        <f>GDS_Monthly!W290</f>
        <v>124.07904589673198</v>
      </c>
      <c r="T173">
        <f>GDS_Monthly!X290</f>
        <v>166.76636709970964</v>
      </c>
      <c r="U173">
        <f>GDS_Monthly!AA290</f>
        <v>131.93115012457463</v>
      </c>
      <c r="V173">
        <f>GDS_Monthly!AC290</f>
        <v>220.95769320756696</v>
      </c>
      <c r="W173">
        <f>GDS_Monthly!AE290</f>
        <v>213.3130410608488</v>
      </c>
      <c r="X173">
        <f>GDS_Monthly!AF290</f>
        <v>123.43200383555597</v>
      </c>
      <c r="Y173">
        <f>OECD!B173</f>
        <v>99.823570000000004</v>
      </c>
      <c r="Z173">
        <f>OECD!C173</f>
        <v>103.1</v>
      </c>
      <c r="AA173">
        <f>'Monthly Haver'!K176</f>
        <v>100.69936</v>
      </c>
      <c r="AB173" s="10">
        <f>'Monthly Haver'!L176</f>
        <v>874</v>
      </c>
      <c r="AC173" s="8"/>
      <c r="AD173" s="8"/>
      <c r="AE173" s="8"/>
    </row>
    <row r="174" spans="1:32">
      <c r="A174" s="12">
        <v>41395</v>
      </c>
      <c r="B174">
        <f>'Monthly Haver'!C177</f>
        <v>52.045400000000001</v>
      </c>
      <c r="C174">
        <f>'Monthly Haver'!D177</f>
        <v>52.084299999999999</v>
      </c>
      <c r="D174" t="e">
        <f>'Monthly Haver'!E177</f>
        <v>#N/A</v>
      </c>
      <c r="E174">
        <f>'Monthly Haver'!G177</f>
        <v>51.125799999999998</v>
      </c>
      <c r="F174">
        <f>'Monthly Haver'!H177</f>
        <v>50.476199999999999</v>
      </c>
      <c r="G174">
        <f>'Monthly Haver'!I177</f>
        <v>49.626399999999997</v>
      </c>
      <c r="H174">
        <f>'Monthly Haver'!J177</f>
        <v>52.623399999999997</v>
      </c>
      <c r="I174">
        <f>GDS_Monthly!O291</f>
        <v>123.12788016355458</v>
      </c>
      <c r="J174">
        <f>GDS_Monthly!D291</f>
        <v>110.98949784669054</v>
      </c>
      <c r="K174">
        <f>GDS_Monthly!AH291</f>
        <v>1202.9663112000001</v>
      </c>
      <c r="L174">
        <f>GDS_Monthly!AI291</f>
        <v>1148.8717999999999</v>
      </c>
      <c r="M174">
        <f>GDS_Monthly!N291</f>
        <v>5.9340807480561413</v>
      </c>
      <c r="N174">
        <f>GDS_Monthly!C291</f>
        <v>102.13873664284662</v>
      </c>
      <c r="O174">
        <f>GDS_Monthly!F291</f>
        <v>2.3676635550924998</v>
      </c>
      <c r="P174">
        <f>GDS_Monthly!G291</f>
        <v>2.2043931567259381</v>
      </c>
      <c r="Q174">
        <f>GDS_Monthly!T291</f>
        <v>108.19185291155668</v>
      </c>
      <c r="R174">
        <f>GDS_Monthly!V291</f>
        <v>106.68479548685966</v>
      </c>
      <c r="S174">
        <f>GDS_Monthly!W291</f>
        <v>126.57965712143468</v>
      </c>
      <c r="T174">
        <f>GDS_Monthly!X291</f>
        <v>159.23665834184712</v>
      </c>
      <c r="U174">
        <f>GDS_Monthly!AA291</f>
        <v>130.40029305621113</v>
      </c>
      <c r="V174">
        <f>GDS_Monthly!AC291</f>
        <v>220.34856494773064</v>
      </c>
      <c r="W174">
        <f>GDS_Monthly!AE291</f>
        <v>215.01151708275123</v>
      </c>
      <c r="X174">
        <f>GDS_Monthly!AF291</f>
        <v>126.88538401888484</v>
      </c>
      <c r="Y174">
        <f>OECD!B174</f>
        <v>99.9148</v>
      </c>
      <c r="Z174">
        <f>OECD!C174</f>
        <v>103.64</v>
      </c>
      <c r="AA174">
        <f>'Monthly Haver'!K177</f>
        <v>101.90852</v>
      </c>
      <c r="AB174" s="10">
        <f>'Monthly Haver'!L177</f>
        <v>851</v>
      </c>
      <c r="AC174" s="8"/>
      <c r="AD174" s="8"/>
      <c r="AE174" s="8"/>
    </row>
    <row r="175" spans="1:32">
      <c r="A175" s="12">
        <v>41426</v>
      </c>
      <c r="B175">
        <f>'Monthly Haver'!C178</f>
        <v>52.0809</v>
      </c>
      <c r="C175">
        <f>'Monthly Haver'!D178</f>
        <v>52.560400000000001</v>
      </c>
      <c r="D175" t="e">
        <f>'Monthly Haver'!E178</f>
        <v>#N/A</v>
      </c>
      <c r="E175">
        <f>'Monthly Haver'!G178</f>
        <v>50.873399999999997</v>
      </c>
      <c r="F175">
        <f>'Monthly Haver'!H178</f>
        <v>50.272599999999997</v>
      </c>
      <c r="G175">
        <f>'Monthly Haver'!I178</f>
        <v>49.769599999999997</v>
      </c>
      <c r="H175">
        <f>'Monthly Haver'!J178</f>
        <v>52.941600000000001</v>
      </c>
      <c r="I175">
        <f>GDS_Monthly!O292</f>
        <v>124.38124731386696</v>
      </c>
      <c r="J175">
        <f>GDS_Monthly!D292</f>
        <v>110.88171665442388</v>
      </c>
      <c r="K175">
        <f>GDS_Monthly!AH292</f>
        <v>1179.896446</v>
      </c>
      <c r="L175">
        <f>GDS_Monthly!AI292</f>
        <v>1145.770188</v>
      </c>
      <c r="M175">
        <f>GDS_Monthly!N292</f>
        <v>5.9305005613888619</v>
      </c>
      <c r="N175">
        <f>GDS_Monthly!C292</f>
        <v>103.38057615007313</v>
      </c>
      <c r="O175">
        <f>GDS_Monthly!F292</f>
        <v>2.7187795477542602</v>
      </c>
      <c r="P175">
        <f>GDS_Monthly!G292</f>
        <v>2.1983728884214382</v>
      </c>
      <c r="Q175">
        <f>GDS_Monthly!T292</f>
        <v>108.48321717519187</v>
      </c>
      <c r="R175">
        <f>GDS_Monthly!V292</f>
        <v>106.87783931077423</v>
      </c>
      <c r="S175">
        <f>GDS_Monthly!W292</f>
        <v>124.59968267830176</v>
      </c>
      <c r="T175">
        <f>GDS_Monthly!X292</f>
        <v>152.21171064458161</v>
      </c>
      <c r="U175">
        <f>GDS_Monthly!AA292</f>
        <v>126.48263271341773</v>
      </c>
      <c r="V175">
        <f>GDS_Monthly!AC292</f>
        <v>219.98348059465556</v>
      </c>
      <c r="W175">
        <f>GDS_Monthly!AE292</f>
        <v>213.77897979107274</v>
      </c>
      <c r="X175">
        <f>GDS_Monthly!AF292</f>
        <v>124.56361482848482</v>
      </c>
      <c r="Y175">
        <f>OECD!B175</f>
        <v>100.0056</v>
      </c>
      <c r="Z175">
        <f>OECD!C175</f>
        <v>103.64</v>
      </c>
      <c r="AA175">
        <f>'Monthly Haver'!K178</f>
        <v>102.95345</v>
      </c>
      <c r="AB175" s="10">
        <f>'Monthly Haver'!L178</f>
        <v>939</v>
      </c>
      <c r="AC175" s="8">
        <f>Quarterly!B59</f>
        <v>106.25</v>
      </c>
      <c r="AD175" s="8">
        <f>Quarterly!C59</f>
        <v>91.57</v>
      </c>
      <c r="AE175" s="8">
        <f>Quarterly!D59</f>
        <v>107.41274362574748</v>
      </c>
      <c r="AF175" s="33">
        <v>3.6774311222064804</v>
      </c>
    </row>
    <row r="176" spans="1:32">
      <c r="A176" s="12">
        <v>41456</v>
      </c>
      <c r="B176">
        <f>'Monthly Haver'!C179</f>
        <v>52.963999999999999</v>
      </c>
      <c r="C176">
        <f>'Monthly Haver'!D179</f>
        <v>54.5274</v>
      </c>
      <c r="D176" t="e">
        <f>'Monthly Haver'!E179</f>
        <v>#N/A</v>
      </c>
      <c r="E176">
        <f>'Monthly Haver'!G179</f>
        <v>51.376399999999997</v>
      </c>
      <c r="F176">
        <f>'Monthly Haver'!H179</f>
        <v>50.406599999999997</v>
      </c>
      <c r="G176">
        <f>'Monthly Haver'!I179</f>
        <v>48.426699999999997</v>
      </c>
      <c r="H176">
        <f>'Monthly Haver'!J179</f>
        <v>53.410299999999999</v>
      </c>
      <c r="I176">
        <f>GDS_Monthly!O293</f>
        <v>125.76527950487866</v>
      </c>
      <c r="J176">
        <f>GDS_Monthly!D293</f>
        <v>111.5144806494402</v>
      </c>
      <c r="K176">
        <f>GDS_Monthly!AH293</f>
        <v>1206.4645352</v>
      </c>
      <c r="L176">
        <f>GDS_Monthly!AI293</f>
        <v>1147.2330793000001</v>
      </c>
      <c r="M176">
        <f>GDS_Monthly!N293</f>
        <v>5.8839356622389136</v>
      </c>
      <c r="N176">
        <f>GDS_Monthly!C293</f>
        <v>103.22102309085153</v>
      </c>
      <c r="O176">
        <f>GDS_Monthly!F293</f>
        <v>2.8004701540094188</v>
      </c>
      <c r="P176">
        <f>GDS_Monthly!G293</f>
        <v>2.220276325366207</v>
      </c>
      <c r="Q176">
        <f>GDS_Monthly!T293</f>
        <v>108.79163398544445</v>
      </c>
      <c r="R176">
        <f>GDS_Monthly!V293</f>
        <v>107.114837757519</v>
      </c>
      <c r="S176">
        <f>GDS_Monthly!W293</f>
        <v>122.60813788307756</v>
      </c>
      <c r="T176">
        <f>GDS_Monthly!X293</f>
        <v>155.91798851580947</v>
      </c>
      <c r="U176">
        <f>GDS_Monthly!AA293</f>
        <v>124.94162136947517</v>
      </c>
      <c r="V176">
        <f>GDS_Monthly!AC293</f>
        <v>227.02294237799063</v>
      </c>
      <c r="W176">
        <f>GDS_Monthly!AE293</f>
        <v>226.91169446895699</v>
      </c>
      <c r="X176">
        <f>GDS_Monthly!AF293</f>
        <v>119.12028494161505</v>
      </c>
      <c r="Y176">
        <f>OECD!B176</f>
        <v>100.0926</v>
      </c>
      <c r="Z176">
        <f>OECD!C176</f>
        <v>103.78</v>
      </c>
      <c r="AA176">
        <f>'Monthly Haver'!K179</f>
        <v>103.33677</v>
      </c>
      <c r="AB176" s="10">
        <f>'Monthly Haver'!L179</f>
        <v>1123</v>
      </c>
      <c r="AC176" s="8"/>
      <c r="AD176" s="8"/>
      <c r="AE176" s="8"/>
    </row>
    <row r="177" spans="1:32">
      <c r="A177" s="12">
        <v>41487</v>
      </c>
      <c r="B177">
        <f>'Monthly Haver'!C180</f>
        <v>53.5779</v>
      </c>
      <c r="C177">
        <f>'Monthly Haver'!D180</f>
        <v>55.0471</v>
      </c>
      <c r="D177" t="e">
        <f>'Monthly Haver'!E180</f>
        <v>#N/A</v>
      </c>
      <c r="E177">
        <f>'Monthly Haver'!G180</f>
        <v>50.762700000000002</v>
      </c>
      <c r="F177">
        <f>'Monthly Haver'!H180</f>
        <v>51.339599999999997</v>
      </c>
      <c r="G177">
        <f>'Monthly Haver'!I180</f>
        <v>47.839599999999997</v>
      </c>
      <c r="H177">
        <f>'Monthly Haver'!J180</f>
        <v>53.7301</v>
      </c>
      <c r="I177">
        <f>GDS_Monthly!O294</f>
        <v>126.58992678107977</v>
      </c>
      <c r="J177">
        <f>GDS_Monthly!D294</f>
        <v>112.1718516879473</v>
      </c>
      <c r="K177">
        <f>GDS_Monthly!AH294</f>
        <v>1204.1678377000001</v>
      </c>
      <c r="L177">
        <f>GDS_Monthly!AI294</f>
        <v>1171.7416251</v>
      </c>
      <c r="M177">
        <f>GDS_Monthly!N294</f>
        <v>5.8705320500151981</v>
      </c>
      <c r="N177">
        <f>GDS_Monthly!C294</f>
        <v>103.19107159622443</v>
      </c>
      <c r="O177">
        <f>GDS_Monthly!F294</f>
        <v>2.9763273901564498</v>
      </c>
      <c r="P177">
        <f>GDS_Monthly!G294</f>
        <v>2.2368940231709509</v>
      </c>
      <c r="Q177">
        <f>GDS_Monthly!T294</f>
        <v>109.06138645625268</v>
      </c>
      <c r="R177">
        <f>GDS_Monthly!V294</f>
        <v>107.28992295584385</v>
      </c>
      <c r="S177">
        <f>GDS_Monthly!W294</f>
        <v>119.28744551365416</v>
      </c>
      <c r="T177">
        <f>GDS_Monthly!X294</f>
        <v>163.35895747504452</v>
      </c>
      <c r="U177">
        <f>GDS_Monthly!AA294</f>
        <v>125.81127812560844</v>
      </c>
      <c r="V177">
        <f>GDS_Monthly!AC294</f>
        <v>232.23419438464921</v>
      </c>
      <c r="W177">
        <f>GDS_Monthly!AE294</f>
        <v>230.85183275812915</v>
      </c>
      <c r="X177">
        <f>GDS_Monthly!AF294</f>
        <v>119.64244704566147</v>
      </c>
      <c r="Y177">
        <f>OECD!B177</f>
        <v>100.1755</v>
      </c>
      <c r="Z177">
        <f>OECD!C177</f>
        <v>104.28</v>
      </c>
      <c r="AA177">
        <f>'Monthly Haver'!K180</f>
        <v>103.0515</v>
      </c>
      <c r="AB177" s="10">
        <f>'Monthly Haver'!L180</f>
        <v>1088</v>
      </c>
      <c r="AC177" s="8"/>
      <c r="AD177" s="8"/>
      <c r="AE177" s="8"/>
    </row>
    <row r="178" spans="1:32">
      <c r="A178" s="12">
        <v>41518</v>
      </c>
      <c r="B178">
        <f>'Monthly Haver'!C181</f>
        <v>53.703699999999998</v>
      </c>
      <c r="C178">
        <f>'Monthly Haver'!D181</f>
        <v>55.444000000000003</v>
      </c>
      <c r="D178" t="e">
        <f>'Monthly Haver'!E181</f>
        <v>#N/A</v>
      </c>
      <c r="E178">
        <f>'Monthly Haver'!G181</f>
        <v>51.655700000000003</v>
      </c>
      <c r="F178">
        <f>'Monthly Haver'!H181</f>
        <v>51.518799999999999</v>
      </c>
      <c r="G178">
        <f>'Monthly Haver'!I181</f>
        <v>49.189799999999998</v>
      </c>
      <c r="H178">
        <f>'Monthly Haver'!J181</f>
        <v>54.471600000000002</v>
      </c>
      <c r="I178">
        <f>GDS_Monthly!O295</f>
        <v>127.00502417577226</v>
      </c>
      <c r="J178">
        <f>GDS_Monthly!D295</f>
        <v>112.6767580321356</v>
      </c>
      <c r="K178">
        <f>GDS_Monthly!AH295</f>
        <v>1206.9574405000001</v>
      </c>
      <c r="L178">
        <f>GDS_Monthly!AI295</f>
        <v>1160.4924669</v>
      </c>
      <c r="M178">
        <f>GDS_Monthly!N295</f>
        <v>5.8664665243032781</v>
      </c>
      <c r="N178">
        <f>GDS_Monthly!C295</f>
        <v>103.25070332036276</v>
      </c>
      <c r="O178">
        <f>GDS_Monthly!F295</f>
        <v>3.0935815867272538</v>
      </c>
      <c r="P178">
        <f>GDS_Monthly!G295</f>
        <v>2.2421037623483708</v>
      </c>
      <c r="Q178">
        <f>GDS_Monthly!T295</f>
        <v>109.28816190498792</v>
      </c>
      <c r="R178">
        <f>GDS_Monthly!V295</f>
        <v>107.58159123368989</v>
      </c>
      <c r="S178">
        <f>GDS_Monthly!W295</f>
        <v>115.60460280692234</v>
      </c>
      <c r="T178">
        <f>GDS_Monthly!X295</f>
        <v>160.86286437538556</v>
      </c>
      <c r="U178">
        <f>GDS_Monthly!AA295</f>
        <v>123.29044103794412</v>
      </c>
      <c r="V178">
        <f>GDS_Monthly!AC295</f>
        <v>234.33559383223124</v>
      </c>
      <c r="W178">
        <f>GDS_Monthly!AE295</f>
        <v>231.7445118089299</v>
      </c>
      <c r="X178">
        <f>GDS_Monthly!AF295</f>
        <v>119.31100633021778</v>
      </c>
      <c r="Y178">
        <f>OECD!B178</f>
        <v>100.249</v>
      </c>
      <c r="Z178">
        <f>OECD!C178</f>
        <v>104.75</v>
      </c>
      <c r="AA178">
        <f>'Monthly Haver'!K181</f>
        <v>102.29756</v>
      </c>
      <c r="AB178" s="10">
        <f>'Monthly Haver'!L181</f>
        <v>1681</v>
      </c>
      <c r="AC178" s="8">
        <f>Quarterly!B60</f>
        <v>106.56</v>
      </c>
      <c r="AD178" s="8">
        <f>Quarterly!C60</f>
        <v>91.91</v>
      </c>
      <c r="AE178" s="8">
        <f>Quarterly!D60</f>
        <v>108.34287144430293</v>
      </c>
      <c r="AF178" s="33">
        <v>4.2666243873699852</v>
      </c>
    </row>
    <row r="179" spans="1:32">
      <c r="A179" s="12">
        <v>41548</v>
      </c>
      <c r="B179">
        <f>'Monthly Haver'!C182</f>
        <v>53.470399999999998</v>
      </c>
      <c r="C179">
        <f>'Monthly Haver'!D182</f>
        <v>55.437199999999997</v>
      </c>
      <c r="D179" t="e">
        <f>'Monthly Haver'!E182</f>
        <v>#N/A</v>
      </c>
      <c r="E179">
        <f>'Monthly Haver'!G182</f>
        <v>51.931199999999997</v>
      </c>
      <c r="F179">
        <f>'Monthly Haver'!H182</f>
        <v>51.8292</v>
      </c>
      <c r="G179">
        <f>'Monthly Haver'!I182</f>
        <v>49.791400000000003</v>
      </c>
      <c r="H179">
        <f>'Monthly Haver'!J182</f>
        <v>52.003799999999998</v>
      </c>
      <c r="I179">
        <f>GDS_Monthly!O296</f>
        <v>126.67219445126968</v>
      </c>
      <c r="J179">
        <f>GDS_Monthly!D296</f>
        <v>112.82028394191659</v>
      </c>
      <c r="K179">
        <f>GDS_Monthly!AH296</f>
        <v>1230.2798366</v>
      </c>
      <c r="L179">
        <f>GDS_Monthly!AI296</f>
        <v>1185.0611835</v>
      </c>
      <c r="M179">
        <f>GDS_Monthly!N296</f>
        <v>5.8300283211497819</v>
      </c>
      <c r="N179">
        <f>GDS_Monthly!C296</f>
        <v>102.03989554590788</v>
      </c>
      <c r="O179">
        <f>GDS_Monthly!F296</f>
        <v>2.91483326137157</v>
      </c>
      <c r="P179">
        <f>GDS_Monthly!G296</f>
        <v>2.2600417411148035</v>
      </c>
      <c r="Q179">
        <f>GDS_Monthly!T296</f>
        <v>109.43657266063124</v>
      </c>
      <c r="R179">
        <f>GDS_Monthly!V296</f>
        <v>107.78737227154794</v>
      </c>
      <c r="S179">
        <f>GDS_Monthly!W296</f>
        <v>114.89894005177693</v>
      </c>
      <c r="T179">
        <f>GDS_Monthly!X296</f>
        <v>161.12109614272276</v>
      </c>
      <c r="U179">
        <f>GDS_Monthly!AA296</f>
        <v>122.19030088929669</v>
      </c>
      <c r="V179">
        <f>GDS_Monthly!AC296</f>
        <v>229.39393156824829</v>
      </c>
      <c r="W179">
        <f>GDS_Monthly!AE296</f>
        <v>222.31565183649727</v>
      </c>
      <c r="X179">
        <f>GDS_Monthly!AF296</f>
        <v>118.76414649231548</v>
      </c>
      <c r="Y179">
        <f>OECD!B179</f>
        <v>100.31</v>
      </c>
      <c r="Z179">
        <f>OECD!C179</f>
        <v>104.62</v>
      </c>
      <c r="AA179">
        <f>'Monthly Haver'!K182</f>
        <v>101.04528999999999</v>
      </c>
      <c r="AB179" s="10">
        <f>'Monthly Haver'!L182</f>
        <v>1883</v>
      </c>
      <c r="AC179" s="8"/>
      <c r="AD179" s="8"/>
      <c r="AE179" s="8"/>
    </row>
    <row r="180" spans="1:32">
      <c r="A180" s="12">
        <v>41579</v>
      </c>
      <c r="B180">
        <f>'Monthly Haver'!C183</f>
        <v>54.427999999999997</v>
      </c>
      <c r="C180">
        <f>'Monthly Haver'!D183</f>
        <v>55.322899999999997</v>
      </c>
      <c r="D180" t="e">
        <f>'Monthly Haver'!E183</f>
        <v>#N/A</v>
      </c>
      <c r="E180">
        <f>'Monthly Haver'!G183</f>
        <v>51.016599999999997</v>
      </c>
      <c r="F180">
        <f>'Monthly Haver'!H183</f>
        <v>52.613599999999998</v>
      </c>
      <c r="G180">
        <f>'Monthly Haver'!I183</f>
        <v>48.968499999999999</v>
      </c>
      <c r="H180">
        <f>'Monthly Haver'!J183</f>
        <v>53.6751</v>
      </c>
      <c r="I180">
        <f>GDS_Monthly!O297</f>
        <v>124.80247343732151</v>
      </c>
      <c r="J180">
        <f>GDS_Monthly!D297</f>
        <v>113.36571058215084</v>
      </c>
      <c r="K180">
        <f>GDS_Monthly!AH297</f>
        <v>1212.1837124000001</v>
      </c>
      <c r="L180">
        <f>GDS_Monthly!AI297</f>
        <v>1187.8412779</v>
      </c>
      <c r="M180">
        <f>GDS_Monthly!N297</f>
        <v>5.7896641130775874</v>
      </c>
      <c r="N180">
        <f>GDS_Monthly!C297</f>
        <v>101.90811487915724</v>
      </c>
      <c r="O180">
        <f>GDS_Monthly!F297</f>
        <v>2.8940849229138834</v>
      </c>
      <c r="P180">
        <f>GDS_Monthly!G297</f>
        <v>2.2297044237617429</v>
      </c>
      <c r="Q180">
        <f>GDS_Monthly!T297</f>
        <v>109.72421201094957</v>
      </c>
      <c r="R180">
        <f>GDS_Monthly!V297</f>
        <v>108.06413888147455</v>
      </c>
      <c r="S180">
        <f>GDS_Monthly!W297</f>
        <v>115.95552423544113</v>
      </c>
      <c r="T180">
        <f>GDS_Monthly!X297</f>
        <v>161.39402232968087</v>
      </c>
      <c r="U180">
        <f>GDS_Monthly!AA297</f>
        <v>122.03051339850909</v>
      </c>
      <c r="V180">
        <f>GDS_Monthly!AC297</f>
        <v>225.43704860416059</v>
      </c>
      <c r="W180">
        <f>GDS_Monthly!AE297</f>
        <v>217.60910233957489</v>
      </c>
      <c r="X180">
        <f>GDS_Monthly!AF297</f>
        <v>118.57503690464002</v>
      </c>
      <c r="Y180">
        <f>OECD!B180</f>
        <v>100.3558</v>
      </c>
      <c r="Z180">
        <f>OECD!C180</f>
        <v>105.27</v>
      </c>
      <c r="AA180">
        <f>'Monthly Haver'!K183</f>
        <v>101.37226</v>
      </c>
      <c r="AB180" s="10">
        <f>'Monthly Haver'!L183</f>
        <v>1559</v>
      </c>
      <c r="AC180" s="8"/>
      <c r="AD180" s="8"/>
      <c r="AE180" s="8"/>
    </row>
    <row r="181" spans="1:32">
      <c r="A181" s="12">
        <v>41609</v>
      </c>
      <c r="B181">
        <f>'Monthly Haver'!C184</f>
        <v>54.599200000000003</v>
      </c>
      <c r="C181">
        <f>'Monthly Haver'!D184</f>
        <v>54.955800000000004</v>
      </c>
      <c r="D181" t="e">
        <f>'Monthly Haver'!E184</f>
        <v>#N/A</v>
      </c>
      <c r="E181">
        <f>'Monthly Haver'!G184</f>
        <v>52.0246</v>
      </c>
      <c r="F181">
        <f>'Monthly Haver'!H184</f>
        <v>52.715800000000002</v>
      </c>
      <c r="G181">
        <f>'Monthly Haver'!I184</f>
        <v>49.373100000000001</v>
      </c>
      <c r="H181">
        <f>'Monthly Haver'!J184</f>
        <v>53.436900000000001</v>
      </c>
      <c r="I181">
        <f>GDS_Monthly!O298</f>
        <v>128.30196521909579</v>
      </c>
      <c r="J181">
        <f>GDS_Monthly!D298</f>
        <v>113.50084148535041</v>
      </c>
      <c r="K181">
        <f>GDS_Monthly!AH298</f>
        <v>1215.5921214</v>
      </c>
      <c r="L181">
        <f>GDS_Monthly!AI298</f>
        <v>1181.1078918999999</v>
      </c>
      <c r="M181">
        <f>GDS_Monthly!N298</f>
        <v>5.7692542117811234</v>
      </c>
      <c r="N181">
        <f>GDS_Monthly!C298</f>
        <v>102.8707373021293</v>
      </c>
      <c r="O181">
        <f>GDS_Monthly!F298</f>
        <v>3.1027862241554782</v>
      </c>
      <c r="P181">
        <f>GDS_Monthly!G298</f>
        <v>2.2261373843803605</v>
      </c>
      <c r="Q181">
        <f>GDS_Monthly!T298</f>
        <v>109.95629237778644</v>
      </c>
      <c r="R181">
        <f>GDS_Monthly!V298</f>
        <v>108.22861147901261</v>
      </c>
      <c r="S181">
        <f>GDS_Monthly!W298</f>
        <v>117.22383919153249</v>
      </c>
      <c r="T181">
        <f>GDS_Monthly!X298</f>
        <v>162.38486296209288</v>
      </c>
      <c r="U181">
        <f>GDS_Monthly!AA298</f>
        <v>122.53685242216939</v>
      </c>
      <c r="V181">
        <f>GDS_Monthly!AC298</f>
        <v>233.48192889050762</v>
      </c>
      <c r="W181">
        <f>GDS_Monthly!AE298</f>
        <v>222.56817370315022</v>
      </c>
      <c r="X181">
        <f>GDS_Monthly!AF298</f>
        <v>121.22044814961006</v>
      </c>
      <c r="Y181">
        <f>OECD!B181</f>
        <v>100.38200000000001</v>
      </c>
      <c r="Z181">
        <f>OECD!C181</f>
        <v>105.55</v>
      </c>
      <c r="AA181">
        <f>'Monthly Haver'!K184</f>
        <v>101.33620000000001</v>
      </c>
      <c r="AB181" s="10">
        <f>'Monthly Haver'!L184</f>
        <v>2178</v>
      </c>
      <c r="AC181" s="8">
        <f>Quarterly!B61</f>
        <v>106.65</v>
      </c>
      <c r="AD181" s="8">
        <f>Quarterly!C61</f>
        <v>92.23</v>
      </c>
      <c r="AE181" s="8">
        <f>Quarterly!D61</f>
        <v>109.08318539381617</v>
      </c>
      <c r="AF181" s="33">
        <v>3.6445539412656318</v>
      </c>
    </row>
    <row r="182" spans="1:32">
      <c r="A182" s="12">
        <v>41640</v>
      </c>
      <c r="B182">
        <f>'Monthly Haver'!C185</f>
        <v>53.854999999999997</v>
      </c>
      <c r="C182">
        <f>'Monthly Haver'!D185</f>
        <v>54.955199999999998</v>
      </c>
      <c r="D182" t="e">
        <f>'Monthly Haver'!E185</f>
        <v>#N/A</v>
      </c>
      <c r="E182">
        <f>'Monthly Haver'!G185</f>
        <v>51.631599999999999</v>
      </c>
      <c r="F182">
        <f>'Monthly Haver'!H185</f>
        <v>52.741399999999999</v>
      </c>
      <c r="G182">
        <f>'Monthly Haver'!I185</f>
        <v>48.895000000000003</v>
      </c>
      <c r="H182">
        <f>'Monthly Haver'!J185</f>
        <v>53.695999999999998</v>
      </c>
      <c r="I182">
        <f>GDS_Monthly!O299</f>
        <v>129.1819979042518</v>
      </c>
      <c r="J182">
        <f>GDS_Monthly!D299</f>
        <v>113.87805891680158</v>
      </c>
      <c r="K182">
        <f>GDS_Monthly!AH299</f>
        <v>1251.9445762</v>
      </c>
      <c r="L182">
        <f>GDS_Monthly!AI299</f>
        <v>1198.4998032000001</v>
      </c>
      <c r="M182">
        <f>GDS_Monthly!N299</f>
        <v>5.7816566489424659</v>
      </c>
      <c r="N182">
        <f>GDS_Monthly!C299</f>
        <v>103.10568946873477</v>
      </c>
      <c r="O182">
        <f>GDS_Monthly!F299</f>
        <v>3.2861945900409317</v>
      </c>
      <c r="P182">
        <f>GDS_Monthly!G299</f>
        <v>2.3403034524254536</v>
      </c>
      <c r="Q182">
        <f>GDS_Monthly!T299</f>
        <v>110.15778669265916</v>
      </c>
      <c r="R182">
        <f>GDS_Monthly!V299</f>
        <v>108.40400269309924</v>
      </c>
      <c r="S182">
        <f>GDS_Monthly!W299</f>
        <v>117.76153423921374</v>
      </c>
      <c r="T182">
        <f>GDS_Monthly!X299</f>
        <v>159.42779896331297</v>
      </c>
      <c r="U182">
        <f>GDS_Monthly!AA299</f>
        <v>122.92071678292494</v>
      </c>
      <c r="V182">
        <f>GDS_Monthly!AC299</f>
        <v>229.99734882952936</v>
      </c>
      <c r="W182">
        <f>GDS_Monthly!AE299</f>
        <v>216.11166234178617</v>
      </c>
      <c r="X182">
        <f>GDS_Monthly!AF299</f>
        <v>118.61104688830959</v>
      </c>
      <c r="Y182">
        <f>OECD!B182</f>
        <v>100.3931</v>
      </c>
      <c r="Z182">
        <f>OECD!C182</f>
        <v>105.79</v>
      </c>
      <c r="AA182">
        <f>'Monthly Haver'!K185</f>
        <v>102.45795</v>
      </c>
      <c r="AB182" s="10">
        <f>'Monthly Haver'!L185</f>
        <v>1472</v>
      </c>
      <c r="AC182" s="8"/>
      <c r="AD182" s="8"/>
      <c r="AE182" s="8"/>
    </row>
    <row r="183" spans="1:32">
      <c r="A183" s="12">
        <v>41671</v>
      </c>
      <c r="B183">
        <f>'Monthly Haver'!C186</f>
        <v>53.975700000000003</v>
      </c>
      <c r="C183">
        <f>'Monthly Haver'!D186</f>
        <v>54.135899999999999</v>
      </c>
      <c r="D183" t="e">
        <f>'Monthly Haver'!E186</f>
        <v>#N/A</v>
      </c>
      <c r="E183">
        <f>'Monthly Haver'!G186</f>
        <v>51.305799999999998</v>
      </c>
      <c r="F183">
        <f>'Monthly Haver'!H186</f>
        <v>52.6965</v>
      </c>
      <c r="G183">
        <f>'Monthly Haver'!I186</f>
        <v>49.087400000000002</v>
      </c>
      <c r="H183">
        <f>'Monthly Haver'!J186</f>
        <v>52.514699999999998</v>
      </c>
      <c r="I183">
        <f>GDS_Monthly!O300</f>
        <v>129.5377307831327</v>
      </c>
      <c r="J183">
        <f>GDS_Monthly!D300</f>
        <v>114.47335406453828</v>
      </c>
      <c r="K183">
        <f>GDS_Monthly!AH300</f>
        <v>1228.3128423999999</v>
      </c>
      <c r="L183">
        <f>GDS_Monthly!AI300</f>
        <v>1163.8812986</v>
      </c>
      <c r="M183">
        <f>GDS_Monthly!N300</f>
        <v>5.7738269689909876</v>
      </c>
      <c r="N183">
        <f>GDS_Monthly!C300</f>
        <v>102.47516323761806</v>
      </c>
      <c r="O183">
        <f>GDS_Monthly!F300</f>
        <v>3.1187729096691634</v>
      </c>
      <c r="P183">
        <f>GDS_Monthly!G300</f>
        <v>2.4103786106821126</v>
      </c>
      <c r="Q183">
        <f>GDS_Monthly!T300</f>
        <v>110.37305739441659</v>
      </c>
      <c r="R183">
        <f>GDS_Monthly!V300</f>
        <v>108.61460501612787</v>
      </c>
      <c r="S183">
        <f>GDS_Monthly!W300</f>
        <v>121.05185958321108</v>
      </c>
      <c r="T183">
        <f>GDS_Monthly!X300</f>
        <v>155.16469472624712</v>
      </c>
      <c r="U183">
        <f>GDS_Monthly!AA300</f>
        <v>125.21367952762881</v>
      </c>
      <c r="V183">
        <f>GDS_Monthly!AC300</f>
        <v>237.20878910677422</v>
      </c>
      <c r="W183">
        <f>GDS_Monthly!AE300</f>
        <v>220.88021353813951</v>
      </c>
      <c r="X183">
        <f>GDS_Monthly!AF300</f>
        <v>118.40172537262072</v>
      </c>
      <c r="Y183">
        <f>OECD!B183</f>
        <v>100.402</v>
      </c>
      <c r="Z183">
        <f>OECD!C183</f>
        <v>105.62</v>
      </c>
      <c r="AA183">
        <f>'Monthly Haver'!K186</f>
        <v>103.5685</v>
      </c>
      <c r="AB183" s="10">
        <f>'Monthly Haver'!L186</f>
        <v>1140</v>
      </c>
      <c r="AC183" s="8"/>
      <c r="AD183" s="8"/>
      <c r="AE183" s="8"/>
    </row>
    <row r="184" spans="1:32">
      <c r="A184" s="12">
        <v>41699</v>
      </c>
      <c r="B184">
        <f>'Monthly Haver'!C187</f>
        <v>52.664200000000001</v>
      </c>
      <c r="C184">
        <f>'Monthly Haver'!D187</f>
        <v>52.688899999999997</v>
      </c>
      <c r="D184" t="e">
        <f>'Monthly Haver'!E187</f>
        <v>#N/A</v>
      </c>
      <c r="E184">
        <f>'Monthly Haver'!G187</f>
        <v>51.237400000000001</v>
      </c>
      <c r="F184">
        <f>'Monthly Haver'!H187</f>
        <v>51.9908</v>
      </c>
      <c r="G184">
        <f>'Monthly Haver'!I187</f>
        <v>49.6999</v>
      </c>
      <c r="H184">
        <f>'Monthly Haver'!J187</f>
        <v>53.378700000000002</v>
      </c>
      <c r="I184">
        <f>GDS_Monthly!O301</f>
        <v>130.3106640558926</v>
      </c>
      <c r="J184">
        <f>GDS_Monthly!D301</f>
        <v>114.7078960180081</v>
      </c>
      <c r="K184">
        <f>GDS_Monthly!AH301</f>
        <v>1228.7450755</v>
      </c>
      <c r="L184">
        <f>GDS_Monthly!AI301</f>
        <v>1180.6773794999999</v>
      </c>
      <c r="M184">
        <f>GDS_Monthly!N301</f>
        <v>5.762192478035816</v>
      </c>
      <c r="N184">
        <f>GDS_Monthly!C301</f>
        <v>103.96139795559588</v>
      </c>
      <c r="O184">
        <f>GDS_Monthly!F301</f>
        <v>3.1473734912704669</v>
      </c>
      <c r="P184">
        <f>GDS_Monthly!G301</f>
        <v>2.4550601218420032</v>
      </c>
      <c r="Q184">
        <f>GDS_Monthly!T301</f>
        <v>110.60253802090543</v>
      </c>
      <c r="R184">
        <f>GDS_Monthly!V301</f>
        <v>108.88657443923817</v>
      </c>
      <c r="S184">
        <f>GDS_Monthly!W301</f>
        <v>128.09889023963868</v>
      </c>
      <c r="T184">
        <f>GDS_Monthly!X301</f>
        <v>147.98232135232249</v>
      </c>
      <c r="U184">
        <f>GDS_Monthly!AA301</f>
        <v>128.42031685761887</v>
      </c>
      <c r="V184">
        <f>GDS_Monthly!AC301</f>
        <v>229.72840854930359</v>
      </c>
      <c r="W184">
        <f>GDS_Monthly!AE301</f>
        <v>218.15381115161642</v>
      </c>
      <c r="X184">
        <f>GDS_Monthly!AF301</f>
        <v>121.42029288214343</v>
      </c>
      <c r="Y184">
        <f>OECD!B184</f>
        <v>100.4111</v>
      </c>
      <c r="Z184">
        <f>OECD!C184</f>
        <v>106.48</v>
      </c>
      <c r="AA184">
        <f>'Monthly Haver'!K187</f>
        <v>103.90891000000001</v>
      </c>
      <c r="AB184" s="10">
        <f>'Monthly Haver'!L187</f>
        <v>1484</v>
      </c>
      <c r="AC184" s="8">
        <f>Quarterly!B62</f>
        <v>107.12</v>
      </c>
      <c r="AD184" s="8">
        <f>Quarterly!C62</f>
        <v>92.51</v>
      </c>
      <c r="AE184" s="8">
        <f>Quarterly!D62</f>
        <v>109.62108030818571</v>
      </c>
      <c r="AF184" s="33">
        <v>2.7904610046009757</v>
      </c>
    </row>
    <row r="185" spans="1:32">
      <c r="A185" s="12">
        <v>41730</v>
      </c>
      <c r="B185">
        <f>'Monthly Haver'!C188</f>
        <v>52.837800000000001</v>
      </c>
      <c r="C185">
        <f>'Monthly Haver'!D188</f>
        <v>53.335799999999999</v>
      </c>
      <c r="D185" t="e">
        <f>'Monthly Haver'!E188</f>
        <v>#N/A</v>
      </c>
      <c r="E185">
        <f>'Monthly Haver'!G188</f>
        <v>51.195799999999998</v>
      </c>
      <c r="F185">
        <f>'Monthly Haver'!H188</f>
        <v>51.562899999999999</v>
      </c>
      <c r="G185">
        <f>'Monthly Haver'!I188</f>
        <v>49.800899999999999</v>
      </c>
      <c r="H185">
        <f>'Monthly Haver'!J188</f>
        <v>52.879399999999997</v>
      </c>
      <c r="I185">
        <f>GDS_Monthly!O302</f>
        <v>127.57442196897996</v>
      </c>
      <c r="J185">
        <f>GDS_Monthly!D302</f>
        <v>115.41964282687674</v>
      </c>
      <c r="K185">
        <f>GDS_Monthly!AH302</f>
        <v>1246.0330991000001</v>
      </c>
      <c r="L185">
        <f>GDS_Monthly!AI302</f>
        <v>1206.8025689000001</v>
      </c>
      <c r="M185">
        <f>GDS_Monthly!N302</f>
        <v>5.6711280726930404</v>
      </c>
      <c r="N185">
        <f>GDS_Monthly!C302</f>
        <v>103.23726657582557</v>
      </c>
      <c r="O185">
        <f>GDS_Monthly!F302</f>
        <v>3.041296930086629</v>
      </c>
      <c r="P185">
        <f>GDS_Monthly!G302</f>
        <v>2.4871874450166875</v>
      </c>
      <c r="Q185">
        <f>GDS_Monthly!T302</f>
        <v>110.96727443692653</v>
      </c>
      <c r="R185">
        <f>GDS_Monthly!V302</f>
        <v>109.22831001476719</v>
      </c>
      <c r="S185">
        <f>GDS_Monthly!W302</f>
        <v>130.63854601172844</v>
      </c>
      <c r="T185">
        <f>GDS_Monthly!X302</f>
        <v>152.94753476198161</v>
      </c>
      <c r="U185">
        <f>GDS_Monthly!AA302</f>
        <v>129.63540891399958</v>
      </c>
      <c r="V185">
        <f>GDS_Monthly!AC302</f>
        <v>230.82900433401258</v>
      </c>
      <c r="W185">
        <f>GDS_Monthly!AE302</f>
        <v>219.94484978246393</v>
      </c>
      <c r="X185">
        <f>GDS_Monthly!AF302</f>
        <v>118.59568514713608</v>
      </c>
      <c r="Y185">
        <f>OECD!B185</f>
        <v>100.41030000000001</v>
      </c>
      <c r="Z185">
        <f>OECD!C185</f>
        <v>106.95</v>
      </c>
      <c r="AA185">
        <f>'Monthly Haver'!K188</f>
        <v>103.82152000000001</v>
      </c>
      <c r="AB185" s="10">
        <f>'Monthly Haver'!L188</f>
        <v>1045</v>
      </c>
      <c r="AC185" s="8"/>
      <c r="AD185" s="8"/>
      <c r="AE185" s="8"/>
    </row>
    <row r="186" spans="1:32">
      <c r="A186" s="12">
        <v>41760</v>
      </c>
      <c r="B186">
        <f>'Monthly Haver'!C189</f>
        <v>53.9604</v>
      </c>
      <c r="C186">
        <f>'Monthly Haver'!D189</f>
        <v>54.113500000000002</v>
      </c>
      <c r="D186" t="e">
        <f>'Monthly Haver'!E189</f>
        <v>#N/A</v>
      </c>
      <c r="E186">
        <f>'Monthly Haver'!G189</f>
        <v>51.458199999999998</v>
      </c>
      <c r="F186">
        <f>'Monthly Haver'!H189</f>
        <v>51.894199999999998</v>
      </c>
      <c r="G186">
        <f>'Monthly Haver'!I189</f>
        <v>49.447299999999998</v>
      </c>
      <c r="H186">
        <f>'Monthly Haver'!J189</f>
        <v>54.2744</v>
      </c>
      <c r="I186">
        <f>GDS_Monthly!O303</f>
        <v>129.94371212561427</v>
      </c>
      <c r="J186">
        <f>GDS_Monthly!D303</f>
        <v>115.44852940323509</v>
      </c>
      <c r="K186">
        <f>GDS_Monthly!AH303</f>
        <v>1229.8279994</v>
      </c>
      <c r="L186">
        <f>GDS_Monthly!AI303</f>
        <v>1207.0818933999999</v>
      </c>
      <c r="M186">
        <f>GDS_Monthly!N303</f>
        <v>5.6788939207717473</v>
      </c>
      <c r="N186">
        <f>GDS_Monthly!C303</f>
        <v>103.37619271872599</v>
      </c>
      <c r="O186">
        <f>GDS_Monthly!F303</f>
        <v>2.9124293058999107</v>
      </c>
      <c r="P186">
        <f>GDS_Monthly!G303</f>
        <v>2.4868680315690819</v>
      </c>
      <c r="Q186">
        <f>GDS_Monthly!T303</f>
        <v>111.2293385547115</v>
      </c>
      <c r="R186">
        <f>GDS_Monthly!V303</f>
        <v>109.42184975382628</v>
      </c>
      <c r="S186">
        <f>GDS_Monthly!W303</f>
        <v>125.38075779005692</v>
      </c>
      <c r="T186">
        <f>GDS_Monthly!X303</f>
        <v>148.8333477621843</v>
      </c>
      <c r="U186">
        <f>GDS_Monthly!AA303</f>
        <v>125.5127740379756</v>
      </c>
      <c r="V186">
        <f>GDS_Monthly!AC303</f>
        <v>231.3169549725333</v>
      </c>
      <c r="W186">
        <f>GDS_Monthly!AE303</f>
        <v>221.7122247272076</v>
      </c>
      <c r="X186">
        <f>GDS_Monthly!AF303</f>
        <v>116.75067238797378</v>
      </c>
      <c r="Y186">
        <f>OECD!B186</f>
        <v>100.4003</v>
      </c>
      <c r="Z186">
        <f>OECD!C186</f>
        <v>107.4</v>
      </c>
      <c r="AA186">
        <f>'Monthly Haver'!K189</f>
        <v>103.63271</v>
      </c>
      <c r="AB186" s="10">
        <f>'Monthly Haver'!L189</f>
        <v>991</v>
      </c>
      <c r="AC186" s="8"/>
      <c r="AD186" s="8"/>
      <c r="AE186" s="8"/>
    </row>
    <row r="187" spans="1:32">
      <c r="A187" s="12">
        <v>41791</v>
      </c>
      <c r="B187">
        <f>'Monthly Haver'!C190</f>
        <v>55.661299999999997</v>
      </c>
      <c r="C187">
        <f>'Monthly Haver'!D190</f>
        <v>54.534999999999997</v>
      </c>
      <c r="D187" t="e">
        <f>'Monthly Haver'!E190</f>
        <v>#N/A</v>
      </c>
      <c r="E187">
        <f>'Monthly Haver'!G190</f>
        <v>52.421399999999998</v>
      </c>
      <c r="F187">
        <f>'Monthly Haver'!H190</f>
        <v>52.460599999999999</v>
      </c>
      <c r="G187">
        <f>'Monthly Haver'!I190</f>
        <v>48.081699999999998</v>
      </c>
      <c r="H187">
        <f>'Monthly Haver'!J190</f>
        <v>55.701599999999999</v>
      </c>
      <c r="I187">
        <f>GDS_Monthly!O304</f>
        <v>130.92346092776589</v>
      </c>
      <c r="J187">
        <f>GDS_Monthly!D304</f>
        <v>115.48345022620352</v>
      </c>
      <c r="K187">
        <f>GDS_Monthly!AH304</f>
        <v>1222.6977069</v>
      </c>
      <c r="L187">
        <f>GDS_Monthly!AI304</f>
        <v>1189.0802105</v>
      </c>
      <c r="M187">
        <f>GDS_Monthly!N304</f>
        <v>5.6548186776685805</v>
      </c>
      <c r="N187">
        <f>GDS_Monthly!C304</f>
        <v>104.24862809268002</v>
      </c>
      <c r="O187">
        <f>GDS_Monthly!F304</f>
        <v>2.7934891920432041</v>
      </c>
      <c r="P187">
        <f>GDS_Monthly!G304</f>
        <v>2.4544346701146473</v>
      </c>
      <c r="Q187">
        <f>GDS_Monthly!T304</f>
        <v>111.44495250242757</v>
      </c>
      <c r="R187">
        <f>GDS_Monthly!V304</f>
        <v>109.6534108879266</v>
      </c>
      <c r="S187">
        <f>GDS_Monthly!W304</f>
        <v>122.51104979313055</v>
      </c>
      <c r="T187">
        <f>GDS_Monthly!X304</f>
        <v>145.3522589111823</v>
      </c>
      <c r="U187">
        <f>GDS_Monthly!AA304</f>
        <v>123.36507053453525</v>
      </c>
      <c r="V187">
        <f>GDS_Monthly!AC304</f>
        <v>235.192282803057</v>
      </c>
      <c r="W187">
        <f>GDS_Monthly!AE304</f>
        <v>228.15495053117152</v>
      </c>
      <c r="X187">
        <f>GDS_Monthly!AF304</f>
        <v>117.20009298917466</v>
      </c>
      <c r="Y187">
        <f>OECD!B187</f>
        <v>100.3886</v>
      </c>
      <c r="Z187">
        <f>OECD!C187</f>
        <v>107.78</v>
      </c>
      <c r="AA187">
        <f>'Monthly Haver'!K190</f>
        <v>104.3494</v>
      </c>
      <c r="AB187" s="10">
        <f>'Monthly Haver'!L190</f>
        <v>912</v>
      </c>
      <c r="AC187" s="8">
        <f>Quarterly!B63</f>
        <v>107.73</v>
      </c>
      <c r="AD187" s="8">
        <f>Quarterly!C63</f>
        <v>93.14</v>
      </c>
      <c r="AE187" s="8">
        <f>Quarterly!D63</f>
        <v>110.30751423674674</v>
      </c>
      <c r="AF187" s="8">
        <f>Quarterly!E63</f>
        <v>3.9615564688765925</v>
      </c>
    </row>
    <row r="188" spans="1:32">
      <c r="A188" s="12">
        <v>41821</v>
      </c>
      <c r="B188">
        <f>'Monthly Haver'!C191</f>
        <v>54.305900000000001</v>
      </c>
      <c r="C188">
        <f>'Monthly Haver'!D191</f>
        <v>53.881599999999999</v>
      </c>
      <c r="D188" t="e">
        <f>'Monthly Haver'!E191</f>
        <v>#N/A</v>
      </c>
      <c r="E188">
        <f>'Monthly Haver'!G191</f>
        <v>51.472499999999997</v>
      </c>
      <c r="F188">
        <f>'Monthly Haver'!H191</f>
        <v>52.3399</v>
      </c>
      <c r="G188">
        <f>'Monthly Haver'!I191</f>
        <v>49.499400000000001</v>
      </c>
      <c r="H188">
        <f>'Monthly Haver'!J191</f>
        <v>55.598100000000002</v>
      </c>
      <c r="I188">
        <f>GDS_Monthly!O305</f>
        <v>131.10512924832801</v>
      </c>
      <c r="J188">
        <f>GDS_Monthly!D305</f>
        <v>116.09756459467297</v>
      </c>
      <c r="K188">
        <f>GDS_Monthly!AH305</f>
        <v>1241.191319</v>
      </c>
      <c r="L188">
        <f>GDS_Monthly!AI305</f>
        <v>1223.877158</v>
      </c>
      <c r="M188">
        <f>GDS_Monthly!N305</f>
        <v>5.6839461172680172</v>
      </c>
      <c r="N188">
        <f>GDS_Monthly!C305</f>
        <v>105.08611191158228</v>
      </c>
      <c r="O188">
        <f>GDS_Monthly!F305</f>
        <v>2.8045000566768459</v>
      </c>
      <c r="P188">
        <f>GDS_Monthly!G305</f>
        <v>2.4667176001853526</v>
      </c>
      <c r="Q188">
        <f>GDS_Monthly!T305</f>
        <v>111.64918698080939</v>
      </c>
      <c r="R188">
        <f>GDS_Monthly!V305</f>
        <v>109.84556198874917</v>
      </c>
      <c r="S188">
        <f>GDS_Monthly!W305</f>
        <v>119.78845841245418</v>
      </c>
      <c r="T188">
        <f>GDS_Monthly!X305</f>
        <v>149.66885375684629</v>
      </c>
      <c r="U188">
        <f>GDS_Monthly!AA305</f>
        <v>123.60709373218923</v>
      </c>
      <c r="V188">
        <f>GDS_Monthly!AC305</f>
        <v>226.53912551478072</v>
      </c>
      <c r="W188">
        <f>GDS_Monthly!AE305</f>
        <v>221.55643183090925</v>
      </c>
      <c r="X188">
        <f>GDS_Monthly!AF305</f>
        <v>114.23258938780963</v>
      </c>
      <c r="Y188">
        <f>OECD!B188</f>
        <v>100.37949999999999</v>
      </c>
      <c r="Z188">
        <f>OECD!C188</f>
        <v>108.5</v>
      </c>
      <c r="AA188">
        <f>'Monthly Haver'!K191</f>
        <v>103.88448</v>
      </c>
      <c r="AB188" s="10">
        <f>'Monthly Haver'!L191</f>
        <v>796</v>
      </c>
      <c r="AC188" s="8"/>
      <c r="AD188" s="8"/>
      <c r="AE188" s="8"/>
    </row>
    <row r="189" spans="1:32">
      <c r="A189" s="12">
        <v>41852</v>
      </c>
      <c r="B189">
        <f>'Monthly Haver'!C192</f>
        <v>54.674900000000001</v>
      </c>
      <c r="C189">
        <f>'Monthly Haver'!D192</f>
        <v>53.827100000000002</v>
      </c>
      <c r="D189" t="e">
        <f>'Monthly Haver'!E192</f>
        <v>#N/A</v>
      </c>
      <c r="E189">
        <f>'Monthly Haver'!G192</f>
        <v>51.314500000000002</v>
      </c>
      <c r="F189">
        <f>'Monthly Haver'!H192</f>
        <v>52.401499999999999</v>
      </c>
      <c r="G189">
        <f>'Monthly Haver'!I192</f>
        <v>49.894199999999998</v>
      </c>
      <c r="H189">
        <f>'Monthly Haver'!J192</f>
        <v>55.4818</v>
      </c>
      <c r="I189">
        <f>GDS_Monthly!O306</f>
        <v>132.04384016920645</v>
      </c>
      <c r="J189">
        <f>GDS_Monthly!D306</f>
        <v>115.56403485477817</v>
      </c>
      <c r="K189">
        <f>GDS_Monthly!AH306</f>
        <v>1206.723931</v>
      </c>
      <c r="L189">
        <f>GDS_Monthly!AI306</f>
        <v>1194.4082011</v>
      </c>
      <c r="M189">
        <f>GDS_Monthly!N306</f>
        <v>5.6621583028232223</v>
      </c>
      <c r="N189">
        <f>GDS_Monthly!C306</f>
        <v>105.43863295024065</v>
      </c>
      <c r="O189">
        <f>GDS_Monthly!F306</f>
        <v>2.7107189589515635</v>
      </c>
      <c r="P189">
        <f>GDS_Monthly!G306</f>
        <v>2.4566277892924013</v>
      </c>
      <c r="Q189">
        <f>GDS_Monthly!T306</f>
        <v>111.79472760959086</v>
      </c>
      <c r="R189">
        <f>GDS_Monthly!V306</f>
        <v>110.02465002254912</v>
      </c>
      <c r="S189">
        <f>GDS_Monthly!W306</f>
        <v>114.20290111897754</v>
      </c>
      <c r="T189">
        <f>GDS_Monthly!X306</f>
        <v>148.71957426050906</v>
      </c>
      <c r="U189">
        <f>GDS_Monthly!AA306</f>
        <v>120.09214321215948</v>
      </c>
      <c r="V189">
        <f>GDS_Monthly!AC306</f>
        <v>218.06090279425385</v>
      </c>
      <c r="W189">
        <f>GDS_Monthly!AE306</f>
        <v>212.78754838485494</v>
      </c>
      <c r="X189">
        <f>GDS_Monthly!AF306</f>
        <v>109.34420134556379</v>
      </c>
      <c r="Y189">
        <f>OECD!B189</f>
        <v>100.37390000000001</v>
      </c>
      <c r="Z189">
        <f>OECD!C189</f>
        <v>108.44</v>
      </c>
      <c r="AA189">
        <f>'Monthly Haver'!K192</f>
        <v>104.59177</v>
      </c>
      <c r="AB189" s="10">
        <f>'Monthly Haver'!L192</f>
        <v>937</v>
      </c>
      <c r="AC189" s="8"/>
      <c r="AD189" s="8"/>
      <c r="AE189" s="8"/>
    </row>
    <row r="190" spans="1:32">
      <c r="A190" s="12">
        <v>41883</v>
      </c>
      <c r="B190">
        <f>'Monthly Haver'!C193</f>
        <v>54.871899999999997</v>
      </c>
      <c r="C190">
        <f>'Monthly Haver'!D193</f>
        <v>53.391399999999997</v>
      </c>
      <c r="D190">
        <f>'Monthly Haver'!E193</f>
        <v>52.314399999999999</v>
      </c>
      <c r="E190">
        <f>'Monthly Haver'!G193</f>
        <v>51.629899999999999</v>
      </c>
      <c r="F190">
        <f>'Monthly Haver'!H193</f>
        <v>52.0306</v>
      </c>
      <c r="G190">
        <f>'Monthly Haver'!I193</f>
        <v>49.771099999999997</v>
      </c>
      <c r="H190">
        <f>'Monthly Haver'!J193</f>
        <v>55.372500000000002</v>
      </c>
      <c r="I190">
        <f>GDS_Monthly!O307</f>
        <v>132.03984574632906</v>
      </c>
      <c r="J190">
        <f>GDS_Monthly!D307</f>
        <v>116.80018214009806</v>
      </c>
      <c r="K190">
        <f>GDS_Monthly!AH307</f>
        <v>1236.2619672000001</v>
      </c>
      <c r="L190">
        <f>GDS_Monthly!AI307</f>
        <v>1195.3965069999999</v>
      </c>
      <c r="M190">
        <f>GDS_Monthly!N307</f>
        <v>5.6342153454375703</v>
      </c>
      <c r="N190">
        <f>GDS_Monthly!C307</f>
        <v>104.59996385858307</v>
      </c>
      <c r="O190">
        <f>GDS_Monthly!F307</f>
        <v>2.6118693192478468</v>
      </c>
      <c r="P190">
        <f>GDS_Monthly!G307</f>
        <v>2.4366885441646473</v>
      </c>
      <c r="Q190">
        <f>GDS_Monthly!T307</f>
        <v>111.94606149408983</v>
      </c>
      <c r="R190">
        <f>GDS_Monthly!V307</f>
        <v>110.2467875923849</v>
      </c>
      <c r="S190">
        <f>GDS_Monthly!W307</f>
        <v>112.02599069552654</v>
      </c>
      <c r="T190">
        <f>GDS_Monthly!X307</f>
        <v>141.533073191234</v>
      </c>
      <c r="U190">
        <f>GDS_Monthly!AA307</f>
        <v>116.44784626679342</v>
      </c>
      <c r="V190">
        <f>GDS_Monthly!AC307</f>
        <v>210.90719855804389</v>
      </c>
      <c r="W190">
        <f>GDS_Monthly!AE307</f>
        <v>207.60706300576317</v>
      </c>
      <c r="X190">
        <f>GDS_Monthly!AF307</f>
        <v>106.78299697563783</v>
      </c>
      <c r="Y190">
        <f>OECD!B190</f>
        <v>100.3781</v>
      </c>
      <c r="Z190">
        <f>OECD!C190</f>
        <v>108.78</v>
      </c>
      <c r="AA190">
        <f>'Monthly Haver'!K193</f>
        <v>105.82613000000001</v>
      </c>
      <c r="AB190" s="10">
        <f>'Monthly Haver'!L193</f>
        <v>1123</v>
      </c>
      <c r="AC190" s="8">
        <f>Quarterly!B64</f>
        <v>108.49</v>
      </c>
      <c r="AD190" s="8">
        <f>Quarterly!C64</f>
        <v>93.74</v>
      </c>
      <c r="AE190" s="8">
        <f>Quarterly!D64</f>
        <v>111.23297888863641</v>
      </c>
      <c r="AF190" s="8">
        <f>Quarterly!E64</f>
        <v>4.2095702887931186</v>
      </c>
    </row>
    <row r="191" spans="1:32">
      <c r="A191" s="12">
        <v>41913</v>
      </c>
      <c r="B191">
        <f>'Monthly Haver'!C194</f>
        <v>53.882800000000003</v>
      </c>
      <c r="C191">
        <f>'Monthly Haver'!D194</f>
        <v>53.0991</v>
      </c>
      <c r="D191">
        <f>'Monthly Haver'!E194</f>
        <v>51.151499999999999</v>
      </c>
      <c r="E191">
        <f>'Monthly Haver'!G194</f>
        <v>51.413899999999998</v>
      </c>
      <c r="F191">
        <f>'Monthly Haver'!H194</f>
        <v>52.074800000000003</v>
      </c>
      <c r="G191">
        <f>'Monthly Haver'!I194</f>
        <v>50.241300000000003</v>
      </c>
      <c r="H191">
        <f>'Monthly Haver'!J194</f>
        <v>53.802599999999998</v>
      </c>
      <c r="I191">
        <f>GDS_Monthly!O308</f>
        <v>130.77819911677295</v>
      </c>
      <c r="J191">
        <f>GDS_Monthly!D308</f>
        <v>116.509590326764</v>
      </c>
      <c r="K191">
        <f>GDS_Monthly!AH308</f>
        <v>1206.5862987</v>
      </c>
      <c r="L191">
        <f>GDS_Monthly!AI308</f>
        <v>1184.8678261</v>
      </c>
      <c r="M191">
        <f>GDS_Monthly!N308</f>
        <v>5.6104447714391261</v>
      </c>
      <c r="N191">
        <f>GDS_Monthly!C308</f>
        <v>105.07476880981299</v>
      </c>
      <c r="O191">
        <f>GDS_Monthly!F308</f>
        <v>2.5037232958847633</v>
      </c>
      <c r="P191">
        <f>GDS_Monthly!G308</f>
        <v>2.4658995049009413</v>
      </c>
      <c r="Q191">
        <f>GDS_Monthly!T308</f>
        <v>112.03400019108581</v>
      </c>
      <c r="R191">
        <f>GDS_Monthly!V308</f>
        <v>110.45048642535009</v>
      </c>
      <c r="S191">
        <f>GDS_Monthly!W308</f>
        <v>111.37120063426255</v>
      </c>
      <c r="T191">
        <f>GDS_Monthly!X308</f>
        <v>134.98948135378507</v>
      </c>
      <c r="U191">
        <f>GDS_Monthly!AA308</f>
        <v>114.21696356346804</v>
      </c>
      <c r="V191">
        <f>GDS_Monthly!AC308</f>
        <v>193.01799605476106</v>
      </c>
      <c r="W191">
        <f>GDS_Monthly!AE308</f>
        <v>188.06594102666125</v>
      </c>
      <c r="X191">
        <f>GDS_Monthly!AF308</f>
        <v>104.88336521740473</v>
      </c>
      <c r="Y191">
        <f>OECD!B191</f>
        <v>100.3852</v>
      </c>
      <c r="Z191">
        <f>OECD!C191</f>
        <v>108.63</v>
      </c>
      <c r="AA191">
        <f>'Monthly Haver'!K194</f>
        <v>106.26819</v>
      </c>
      <c r="AB191" s="10">
        <f>'Monthly Haver'!L194</f>
        <v>1101</v>
      </c>
      <c r="AC191" s="8"/>
      <c r="AD191" s="8"/>
      <c r="AE191" s="8"/>
    </row>
    <row r="192" spans="1:32">
      <c r="A192" s="12">
        <v>41944</v>
      </c>
      <c r="B192">
        <f>'Monthly Haver'!C195</f>
        <v>53.289200000000001</v>
      </c>
      <c r="C192">
        <f>'Monthly Haver'!D195</f>
        <v>52.606400000000001</v>
      </c>
      <c r="D192">
        <f>'Monthly Haver'!E195</f>
        <v>50.639699999999998</v>
      </c>
      <c r="E192">
        <f>'Monthly Haver'!G195</f>
        <v>51.643000000000001</v>
      </c>
      <c r="F192">
        <f>'Monthly Haver'!H195</f>
        <v>51.664900000000003</v>
      </c>
      <c r="G192">
        <f>'Monthly Haver'!I195</f>
        <v>49.801099999999998</v>
      </c>
      <c r="H192">
        <f>'Monthly Haver'!J195</f>
        <v>53.584600000000002</v>
      </c>
      <c r="I192">
        <f>GDS_Monthly!O309</f>
        <v>133.73938089840428</v>
      </c>
      <c r="J192">
        <f>GDS_Monthly!D309</f>
        <v>116.92662005128216</v>
      </c>
      <c r="K192">
        <f>GDS_Monthly!AH309</f>
        <v>1163.9228006999999</v>
      </c>
      <c r="L192">
        <f>GDS_Monthly!AI309</f>
        <v>1147.9139051</v>
      </c>
      <c r="M192">
        <f>GDS_Monthly!N309</f>
        <v>5.6358242724798826</v>
      </c>
      <c r="N192">
        <f>GDS_Monthly!C309</f>
        <v>104.62564156320315</v>
      </c>
      <c r="O192">
        <f>GDS_Monthly!F309</f>
        <v>2.4349693916070825</v>
      </c>
      <c r="P192">
        <f>GDS_Monthly!G309</f>
        <v>2.5110048133610197</v>
      </c>
      <c r="Q192">
        <f>GDS_Monthly!T309</f>
        <v>112.12202882645221</v>
      </c>
      <c r="R192">
        <f>GDS_Monthly!V309</f>
        <v>110.69225714210195</v>
      </c>
      <c r="S192">
        <f>GDS_Monthly!W309</f>
        <v>111.11127218400821</v>
      </c>
      <c r="T192">
        <f>GDS_Monthly!X309</f>
        <v>132.78014980329681</v>
      </c>
      <c r="U192">
        <f>GDS_Monthly!AA309</f>
        <v>112.72939688927964</v>
      </c>
      <c r="V192">
        <f>GDS_Monthly!AC309</f>
        <v>178.45719983791477</v>
      </c>
      <c r="W192">
        <f>GDS_Monthly!AE309</f>
        <v>170.22852737304407</v>
      </c>
      <c r="X192">
        <f>GDS_Monthly!AF309</f>
        <v>105.56126142233353</v>
      </c>
      <c r="Y192">
        <f>OECD!B192</f>
        <v>100.3899</v>
      </c>
      <c r="Z192">
        <f>OECD!C192</f>
        <v>108.93</v>
      </c>
      <c r="AA192">
        <f>'Monthly Haver'!K195</f>
        <v>107.22942999999999</v>
      </c>
      <c r="AB192" s="10">
        <f>'Monthly Haver'!L195</f>
        <v>1332</v>
      </c>
      <c r="AC192" s="8"/>
      <c r="AD192" s="8"/>
      <c r="AE192" s="8"/>
    </row>
    <row r="193" spans="1:32">
      <c r="A193" s="12">
        <v>41974</v>
      </c>
      <c r="B193">
        <f>'Monthly Haver'!C196</f>
        <v>52.1999</v>
      </c>
      <c r="C193">
        <f>'Monthly Haver'!D196</f>
        <v>52.561300000000003</v>
      </c>
      <c r="D193">
        <f>'Monthly Haver'!E196</f>
        <v>51.121099999999998</v>
      </c>
      <c r="E193">
        <f>'Monthly Haver'!G196</f>
        <v>51.164000000000001</v>
      </c>
      <c r="F193">
        <f>'Monthly Haver'!H196</f>
        <v>51.448099999999997</v>
      </c>
      <c r="G193">
        <f>'Monthly Haver'!I196</f>
        <v>49.691899999999997</v>
      </c>
      <c r="H193">
        <f>'Monthly Haver'!J196</f>
        <v>52.686399999999999</v>
      </c>
      <c r="I193">
        <f>GDS_Monthly!O310</f>
        <v>136.5868528894672</v>
      </c>
      <c r="J193">
        <f>GDS_Monthly!D310</f>
        <v>117.50774242217163</v>
      </c>
      <c r="K193">
        <f>GDS_Monthly!AH310</f>
        <v>1159.6688247</v>
      </c>
      <c r="L193">
        <f>GDS_Monthly!AI310</f>
        <v>1143.6109661</v>
      </c>
      <c r="M193">
        <f>GDS_Monthly!N310</f>
        <v>5.5993992839780047</v>
      </c>
      <c r="N193">
        <f>GDS_Monthly!C310</f>
        <v>104.89058289939267</v>
      </c>
      <c r="O193">
        <f>GDS_Monthly!F310</f>
        <v>2.331032731572805</v>
      </c>
      <c r="P193">
        <f>GDS_Monthly!G310</f>
        <v>2.7243630259395588</v>
      </c>
      <c r="Q193">
        <f>GDS_Monthly!T310</f>
        <v>112.14655950292524</v>
      </c>
      <c r="R193">
        <f>GDS_Monthly!V310</f>
        <v>110.94505537455714</v>
      </c>
      <c r="S193">
        <f>GDS_Monthly!W310</f>
        <v>109.18427183250064</v>
      </c>
      <c r="T193">
        <f>GDS_Monthly!X310</f>
        <v>125.87632448104586</v>
      </c>
      <c r="U193">
        <f>GDS_Monthly!AA310</f>
        <v>110.80524056389127</v>
      </c>
      <c r="V193">
        <f>GDS_Monthly!AC310</f>
        <v>148.55354273462919</v>
      </c>
      <c r="W193">
        <f>GDS_Monthly!AE310</f>
        <v>134.86036704282569</v>
      </c>
      <c r="X193">
        <f>GDS_Monthly!AF310</f>
        <v>105.0902573327176</v>
      </c>
      <c r="Y193">
        <f>OECD!B193</f>
        <v>100.39279999999999</v>
      </c>
      <c r="Z193">
        <f>OECD!C193</f>
        <v>108.91</v>
      </c>
      <c r="AA193">
        <f>'Monthly Haver'!K196</f>
        <v>108.11973999999999</v>
      </c>
      <c r="AB193" s="10">
        <f>'Monthly Haver'!L196</f>
        <v>910</v>
      </c>
      <c r="AC193" s="8">
        <f>Quarterly!B65</f>
        <v>109.27</v>
      </c>
      <c r="AD193" s="8">
        <f>Quarterly!C65</f>
        <v>94.28</v>
      </c>
      <c r="AE193" s="8">
        <f>Quarterly!D65</f>
        <v>112.00907223023229</v>
      </c>
      <c r="AF193" s="8">
        <f>Quarterly!E65</f>
        <v>3.6929338604900774</v>
      </c>
    </row>
    <row r="194" spans="1:32">
      <c r="A194" s="12">
        <v>42005</v>
      </c>
      <c r="B194">
        <f>'Monthly Haver'!C197</f>
        <v>52.109200000000001</v>
      </c>
      <c r="C194">
        <f>'Monthly Haver'!D197</f>
        <v>50.257599999999996</v>
      </c>
      <c r="D194">
        <f>'Monthly Haver'!E197</f>
        <v>50.797699999999999</v>
      </c>
      <c r="E194">
        <f>'Monthly Haver'!G197</f>
        <v>51.474899999999998</v>
      </c>
      <c r="F194">
        <f>'Monthly Haver'!H197</f>
        <v>51.489199999999997</v>
      </c>
      <c r="G194">
        <f>'Monthly Haver'!I197</f>
        <v>49.41</v>
      </c>
      <c r="H194">
        <f>'Monthly Haver'!J197</f>
        <v>52.901299999999999</v>
      </c>
      <c r="I194">
        <f>GDS_Monthly!O311</f>
        <v>136.44737829896599</v>
      </c>
      <c r="J194">
        <f>GDS_Monthly!D311</f>
        <v>117.03784170916813</v>
      </c>
      <c r="K194">
        <f>GDS_Monthly!AH311</f>
        <v>1092.8984806999999</v>
      </c>
      <c r="L194">
        <f>GDS_Monthly!AI311</f>
        <v>1104.0739441000001</v>
      </c>
      <c r="M194">
        <f>GDS_Monthly!N311</f>
        <v>5.6229756623730127</v>
      </c>
      <c r="N194">
        <f>GDS_Monthly!C311</f>
        <v>106.70722081372777</v>
      </c>
      <c r="O194">
        <f>GDS_Monthly!F311</f>
        <v>2.063277130161985</v>
      </c>
      <c r="P194">
        <f>GDS_Monthly!G311</f>
        <v>2.7420068645556852</v>
      </c>
      <c r="Q194">
        <f>GDS_Monthly!T311</f>
        <v>112.0392004518272</v>
      </c>
      <c r="R194">
        <f>GDS_Monthly!V311</f>
        <v>111.26964152848311</v>
      </c>
      <c r="S194">
        <f>GDS_Monthly!W311</f>
        <v>104.53710202094211</v>
      </c>
      <c r="T194">
        <f>GDS_Monthly!X311</f>
        <v>120.26763392248431</v>
      </c>
      <c r="U194">
        <f>GDS_Monthly!AA311</f>
        <v>108.3778445890709</v>
      </c>
      <c r="V194">
        <f>GDS_Monthly!AC311</f>
        <v>122.68218499496599</v>
      </c>
      <c r="W194">
        <f>GDS_Monthly!AE311</f>
        <v>108.3428519152921</v>
      </c>
      <c r="X194">
        <f>GDS_Monthly!AF311</f>
        <v>104.44124502391486</v>
      </c>
      <c r="Y194">
        <f>OECD!B194</f>
        <v>100.3934</v>
      </c>
      <c r="Z194">
        <f>OECD!C194</f>
        <v>108.78</v>
      </c>
      <c r="AA194">
        <f>'Monthly Haver'!K197</f>
        <v>108.27733000000001</v>
      </c>
      <c r="AB194" s="10">
        <f>'Monthly Haver'!L197</f>
        <v>725</v>
      </c>
      <c r="AC194" s="8"/>
      <c r="AD194" s="8"/>
      <c r="AE194" s="8"/>
    </row>
    <row r="195" spans="1:32">
      <c r="A195" s="12">
        <v>42036</v>
      </c>
      <c r="B195">
        <f>'Monthly Haver'!C198</f>
        <v>53.836599999999997</v>
      </c>
      <c r="C195">
        <f>'Monthly Haver'!D198</f>
        <v>51.072800000000001</v>
      </c>
      <c r="D195">
        <f>'Monthly Haver'!E198</f>
        <v>50.860599999999998</v>
      </c>
      <c r="E195">
        <f>'Monthly Haver'!G198</f>
        <v>51.570700000000002</v>
      </c>
      <c r="F195">
        <f>'Monthly Haver'!H198</f>
        <v>51.804499999999997</v>
      </c>
      <c r="G195">
        <f>'Monthly Haver'!I198</f>
        <v>49.8626</v>
      </c>
      <c r="H195">
        <f>'Monthly Haver'!J198</f>
        <v>54.105699999999999</v>
      </c>
      <c r="I195">
        <f>GDS_Monthly!O312</f>
        <v>136.79832406394922</v>
      </c>
      <c r="J195">
        <f>GDS_Monthly!D312</f>
        <v>117.22419489405125</v>
      </c>
      <c r="K195">
        <f>GDS_Monthly!AH312</f>
        <v>1080.3000797</v>
      </c>
      <c r="L195">
        <f>GDS_Monthly!AI312</f>
        <v>1104.4371801</v>
      </c>
      <c r="M195">
        <f>GDS_Monthly!N312</f>
        <v>5.6122091875566706</v>
      </c>
      <c r="N195">
        <f>GDS_Monthly!C312</f>
        <v>106.31363017306036</v>
      </c>
      <c r="O195">
        <f>GDS_Monthly!F312</f>
        <v>2.1340057693547023</v>
      </c>
      <c r="P195">
        <f>GDS_Monthly!G312</f>
        <v>2.6778927818010336</v>
      </c>
      <c r="Q195">
        <f>GDS_Monthly!T312</f>
        <v>112.36698461281132</v>
      </c>
      <c r="R195">
        <f>GDS_Monthly!V312</f>
        <v>111.55375472740279</v>
      </c>
      <c r="S195">
        <f>GDS_Monthly!W312</f>
        <v>101.53081644144117</v>
      </c>
      <c r="T195">
        <f>GDS_Monthly!X312</f>
        <v>115.80855490697304</v>
      </c>
      <c r="U195">
        <f>GDS_Monthly!AA312</f>
        <v>105.68205111926582</v>
      </c>
      <c r="V195">
        <f>GDS_Monthly!AC312</f>
        <v>134.81149262355953</v>
      </c>
      <c r="W195">
        <f>GDS_Monthly!AE312</f>
        <v>126.22782138919656</v>
      </c>
      <c r="X195">
        <f>GDS_Monthly!AF312</f>
        <v>105.56562253230312</v>
      </c>
      <c r="Y195">
        <f>OECD!B195</f>
        <v>100.38290000000001</v>
      </c>
      <c r="Z195">
        <f>OECD!C195</f>
        <v>108.66</v>
      </c>
      <c r="AA195">
        <f>'Monthly Haver'!K198</f>
        <v>109.15075</v>
      </c>
      <c r="AB195" s="10">
        <f>'Monthly Haver'!L198</f>
        <v>539</v>
      </c>
      <c r="AC195" s="8"/>
      <c r="AD195" s="8"/>
      <c r="AE195" s="8"/>
    </row>
    <row r="196" spans="1:32">
      <c r="A196" s="12">
        <v>42064</v>
      </c>
      <c r="B196">
        <f>'Monthly Haver'!C199</f>
        <v>54.1723</v>
      </c>
      <c r="C196">
        <f>'Monthly Haver'!D199</f>
        <v>52.280299999999997</v>
      </c>
      <c r="D196">
        <f>'Monthly Haver'!E199</f>
        <v>50.627499999999998</v>
      </c>
      <c r="E196">
        <f>'Monthly Haver'!G199</f>
        <v>51.555399999999999</v>
      </c>
      <c r="F196">
        <f>'Monthly Haver'!H199</f>
        <v>51.397500000000001</v>
      </c>
      <c r="G196">
        <f>'Monthly Haver'!I199</f>
        <v>49.325800000000001</v>
      </c>
      <c r="H196">
        <f>'Monthly Haver'!J199</f>
        <v>54.997999999999998</v>
      </c>
      <c r="I196">
        <f>GDS_Monthly!O313</f>
        <v>137.0021325259182</v>
      </c>
      <c r="J196">
        <f>GDS_Monthly!D313</f>
        <v>117.32593262360157</v>
      </c>
      <c r="K196">
        <f>GDS_Monthly!AH313</f>
        <v>1086.6961727</v>
      </c>
      <c r="L196">
        <f>GDS_Monthly!AI313</f>
        <v>1060.5613331</v>
      </c>
      <c r="M196">
        <f>GDS_Monthly!N313</f>
        <v>5.6005616930882107</v>
      </c>
      <c r="N196">
        <f>GDS_Monthly!C313</f>
        <v>106.45584569611671</v>
      </c>
      <c r="O196">
        <f>GDS_Monthly!F313</f>
        <v>2.1616697005493539</v>
      </c>
      <c r="P196">
        <f>GDS_Monthly!G313</f>
        <v>2.6338918017717905</v>
      </c>
      <c r="Q196">
        <f>GDS_Monthly!T313</f>
        <v>112.77264726806524</v>
      </c>
      <c r="R196">
        <f>GDS_Monthly!V313</f>
        <v>111.86299245204654</v>
      </c>
      <c r="S196">
        <f>GDS_Monthly!W313</f>
        <v>98.953824602244197</v>
      </c>
      <c r="T196">
        <f>GDS_Monthly!X313</f>
        <v>113.23017846738291</v>
      </c>
      <c r="U196">
        <f>GDS_Monthly!AA313</f>
        <v>102.62661382597395</v>
      </c>
      <c r="V196">
        <f>GDS_Monthly!AC313</f>
        <v>129.40491903923888</v>
      </c>
      <c r="W196">
        <f>GDS_Monthly!AE313</f>
        <v>123.82118054737896</v>
      </c>
      <c r="X196">
        <f>GDS_Monthly!AF313</f>
        <v>102.78567431946654</v>
      </c>
      <c r="Y196">
        <f>OECD!B196</f>
        <v>100.3591</v>
      </c>
      <c r="Z196">
        <f>OECD!C196</f>
        <v>109.14</v>
      </c>
      <c r="AA196">
        <f>'Monthly Haver'!K199</f>
        <v>110.81075</v>
      </c>
      <c r="AB196" s="10">
        <f>'Monthly Haver'!L199</f>
        <v>576</v>
      </c>
      <c r="AC196" s="8">
        <f>Quarterly!B66</f>
        <v>110.19</v>
      </c>
      <c r="AD196" s="8">
        <f>Quarterly!C66</f>
        <v>95.24</v>
      </c>
      <c r="AE196" s="8">
        <f>Quarterly!D66</f>
        <v>112.87329228129515</v>
      </c>
      <c r="AF196" s="8">
        <f>Quarterly!E66</f>
        <v>3.7225542250464372</v>
      </c>
    </row>
    <row r="197" spans="1:32">
      <c r="A197" s="12">
        <v>42095</v>
      </c>
      <c r="B197">
        <f>'Monthly Haver'!C200</f>
        <v>53.749699999999997</v>
      </c>
      <c r="C197">
        <f>'Monthly Haver'!D200</f>
        <v>52.444099999999999</v>
      </c>
      <c r="D197">
        <f>'Monthly Haver'!E200</f>
        <v>50.325699999999998</v>
      </c>
      <c r="E197">
        <f>'Monthly Haver'!G200</f>
        <v>52.056100000000001</v>
      </c>
      <c r="F197">
        <f>'Monthly Haver'!H200</f>
        <v>50.732500000000002</v>
      </c>
      <c r="G197">
        <f>'Monthly Haver'!I200</f>
        <v>49.476100000000002</v>
      </c>
      <c r="H197">
        <f>'Monthly Haver'!J200</f>
        <v>54.699300000000001</v>
      </c>
      <c r="I197">
        <f>GDS_Monthly!O314</f>
        <v>135.04389953554045</v>
      </c>
      <c r="J197">
        <f>GDS_Monthly!D314</f>
        <v>117.48733429519635</v>
      </c>
      <c r="K197">
        <f>GDS_Monthly!AH314</f>
        <v>1082.2637227</v>
      </c>
      <c r="L197">
        <f>GDS_Monthly!AI314</f>
        <v>1067.0710371</v>
      </c>
      <c r="M197">
        <f>GDS_Monthly!N314</f>
        <v>5.6054077016486756</v>
      </c>
      <c r="N197">
        <f>GDS_Monthly!C314</f>
        <v>105.22712818793713</v>
      </c>
      <c r="O197">
        <f>GDS_Monthly!F314</f>
        <v>2.0480613694735412</v>
      </c>
      <c r="P197">
        <f>GDS_Monthly!G314</f>
        <v>2.6486979202952248</v>
      </c>
      <c r="Q197">
        <f>GDS_Monthly!T314</f>
        <v>113.00767776540219</v>
      </c>
      <c r="R197">
        <f>GDS_Monthly!V314</f>
        <v>112.13345030636843</v>
      </c>
      <c r="S197">
        <f>GDS_Monthly!W314</f>
        <v>100.88369550291691</v>
      </c>
      <c r="T197">
        <f>GDS_Monthly!X314</f>
        <v>111.07290804929457</v>
      </c>
      <c r="U197">
        <f>GDS_Monthly!AA314</f>
        <v>103.41080869921099</v>
      </c>
      <c r="V197">
        <f>GDS_Monthly!AC314</f>
        <v>131.37908561468635</v>
      </c>
      <c r="W197">
        <f>GDS_Monthly!AE314</f>
        <v>134.67257279201232</v>
      </c>
      <c r="X197">
        <f>GDS_Monthly!AF314</f>
        <v>103.86826027014314</v>
      </c>
      <c r="Y197">
        <f>OECD!B197</f>
        <v>100.3212</v>
      </c>
      <c r="Z197">
        <f>OECD!C197</f>
        <v>109.86</v>
      </c>
      <c r="AA197">
        <f>'Monthly Haver'!K200</f>
        <v>109.32863999999999</v>
      </c>
      <c r="AB197" s="10">
        <f>'Monthly Haver'!L200</f>
        <v>591</v>
      </c>
      <c r="AC197" s="8"/>
      <c r="AD197" s="8"/>
      <c r="AE197" s="8"/>
    </row>
    <row r="198" spans="1:32">
      <c r="A198" s="12">
        <v>42125</v>
      </c>
      <c r="B198">
        <f>'Monthly Haver'!C201</f>
        <v>53.261200000000002</v>
      </c>
      <c r="C198">
        <f>'Monthly Haver'!D201</f>
        <v>53.464700000000001</v>
      </c>
      <c r="D198">
        <f>'Monthly Haver'!E201</f>
        <v>49.935600000000001</v>
      </c>
      <c r="E198">
        <f>'Monthly Haver'!G201</f>
        <v>52.277799999999999</v>
      </c>
      <c r="F198">
        <f>'Monthly Haver'!H201</f>
        <v>50.955500000000001</v>
      </c>
      <c r="G198">
        <f>'Monthly Haver'!I201</f>
        <v>49.093000000000004</v>
      </c>
      <c r="H198">
        <f>'Monthly Haver'!J201</f>
        <v>53.988999999999997</v>
      </c>
      <c r="I198">
        <f>GDS_Monthly!O315</f>
        <v>137.37926964101962</v>
      </c>
      <c r="J198">
        <f>GDS_Monthly!D315</f>
        <v>117.23881269609262</v>
      </c>
      <c r="K198">
        <f>GDS_Monthly!AH315</f>
        <v>1056.2370037000001</v>
      </c>
      <c r="L198">
        <f>GDS_Monthly!AI315</f>
        <v>1073.0433911</v>
      </c>
      <c r="M198">
        <f>GDS_Monthly!N315</f>
        <v>5.6281780306712976</v>
      </c>
      <c r="N198">
        <f>GDS_Monthly!C315</f>
        <v>105.61406600712711</v>
      </c>
      <c r="O198">
        <f>GDS_Monthly!F315</f>
        <v>2.2444691450873329</v>
      </c>
      <c r="P198">
        <f>GDS_Monthly!G315</f>
        <v>2.5701071761055383</v>
      </c>
      <c r="Q198">
        <f>GDS_Monthly!T315</f>
        <v>113.34315796976284</v>
      </c>
      <c r="R198">
        <f>GDS_Monthly!V315</f>
        <v>112.38988049282234</v>
      </c>
      <c r="S198">
        <f>GDS_Monthly!W315</f>
        <v>100.7662559194556</v>
      </c>
      <c r="T198">
        <f>GDS_Monthly!X315</f>
        <v>117.01630292815963</v>
      </c>
      <c r="U198">
        <f>GDS_Monthly!AA315</f>
        <v>105.03188509445251</v>
      </c>
      <c r="V198">
        <f>GDS_Monthly!AC315</f>
        <v>138.45460930679454</v>
      </c>
      <c r="W198">
        <f>GDS_Monthly!AE315</f>
        <v>144.4327946219386</v>
      </c>
      <c r="X198">
        <f>GDS_Monthly!AF315</f>
        <v>105.67410450205212</v>
      </c>
      <c r="Y198">
        <f>OECD!B198</f>
        <v>100.2666</v>
      </c>
      <c r="Z198">
        <f>OECD!C198</f>
        <v>110.38</v>
      </c>
      <c r="AA198">
        <f>'Monthly Haver'!K201</f>
        <v>110.09966</v>
      </c>
      <c r="AB198" s="10">
        <f>'Monthly Haver'!L201</f>
        <v>597</v>
      </c>
      <c r="AC198" s="8"/>
      <c r="AD198" s="8"/>
      <c r="AE198" s="8"/>
    </row>
    <row r="199" spans="1:32">
      <c r="A199" s="12">
        <v>42156</v>
      </c>
      <c r="B199">
        <f>'Monthly Haver'!C202</f>
        <v>53.179400000000001</v>
      </c>
      <c r="C199">
        <f>'Monthly Haver'!D202</f>
        <v>54.079900000000002</v>
      </c>
      <c r="D199">
        <f>'Monthly Haver'!E202</f>
        <v>50.891500000000001</v>
      </c>
      <c r="E199">
        <f>'Monthly Haver'!G202</f>
        <v>51.542099999999998</v>
      </c>
      <c r="F199">
        <f>'Monthly Haver'!H202</f>
        <v>50.866199999999999</v>
      </c>
      <c r="G199">
        <f>'Monthly Haver'!I202</f>
        <v>49.079900000000002</v>
      </c>
      <c r="H199">
        <f>'Monthly Haver'!J202</f>
        <v>53.299199999999999</v>
      </c>
      <c r="I199">
        <f>GDS_Monthly!O316</f>
        <v>137.89189574645346</v>
      </c>
      <c r="J199">
        <f>GDS_Monthly!D316</f>
        <v>117.71554886555575</v>
      </c>
      <c r="K199">
        <f>GDS_Monthly!AH316</f>
        <v>1092.6640167</v>
      </c>
      <c r="L199">
        <f>GDS_Monthly!AI316</f>
        <v>1087.5179370999999</v>
      </c>
      <c r="M199">
        <f>GDS_Monthly!N316</f>
        <v>5.6181575587010881</v>
      </c>
      <c r="N199">
        <f>GDS_Monthly!C316</f>
        <v>105.95339946252339</v>
      </c>
      <c r="O199">
        <f>GDS_Monthly!F316</f>
        <v>2.4794342926458106</v>
      </c>
      <c r="P199">
        <f>GDS_Monthly!G316</f>
        <v>2.5301435621444375</v>
      </c>
      <c r="Q199">
        <f>GDS_Monthly!T316</f>
        <v>113.57953221740071</v>
      </c>
      <c r="R199">
        <f>GDS_Monthly!V316</f>
        <v>112.63384804406213</v>
      </c>
      <c r="S199">
        <f>GDS_Monthly!W316</f>
        <v>100.30179498230194</v>
      </c>
      <c r="T199">
        <f>GDS_Monthly!X316</f>
        <v>111.96508174677936</v>
      </c>
      <c r="U199">
        <f>GDS_Monthly!AA316</f>
        <v>103.62872925562831</v>
      </c>
      <c r="V199">
        <f>GDS_Monthly!AC316</f>
        <v>135.12384242452833</v>
      </c>
      <c r="W199">
        <f>GDS_Monthly!AE316</f>
        <v>141.63215544277966</v>
      </c>
      <c r="X199">
        <f>GDS_Monthly!AF316</f>
        <v>103.4497199746622</v>
      </c>
      <c r="Y199">
        <f>OECD!B199</f>
        <v>100.20140000000001</v>
      </c>
      <c r="Z199">
        <f>OECD!C199</f>
        <v>110.71</v>
      </c>
      <c r="AA199">
        <f>'Monthly Haver'!K202</f>
        <v>111.99244</v>
      </c>
      <c r="AB199" s="10">
        <f>'Monthly Haver'!L202</f>
        <v>699</v>
      </c>
      <c r="AC199" s="8">
        <f>Quarterly!B67</f>
        <v>110.75</v>
      </c>
      <c r="AD199" s="8">
        <f>Quarterly!C67</f>
        <v>96.06</v>
      </c>
      <c r="AE199" s="8">
        <f>Quarterly!D67</f>
        <v>113.57745025630955</v>
      </c>
      <c r="AF199" s="8">
        <f>Quarterly!E67</f>
        <v>3.749404220372754</v>
      </c>
    </row>
    <row r="200" spans="1:32">
      <c r="A200" s="12">
        <v>42186</v>
      </c>
      <c r="B200">
        <f>'Monthly Haver'!C203</f>
        <v>53.7926</v>
      </c>
      <c r="C200">
        <f>'Monthly Haver'!D203</f>
        <v>53.366100000000003</v>
      </c>
      <c r="D200">
        <f>'Monthly Haver'!E203</f>
        <v>50.080399999999997</v>
      </c>
      <c r="E200">
        <f>'Monthly Haver'!G203</f>
        <v>51.644399999999997</v>
      </c>
      <c r="F200">
        <f>'Monthly Haver'!H203</f>
        <v>50.664999999999999</v>
      </c>
      <c r="G200">
        <f>'Monthly Haver'!I203</f>
        <v>49.382300000000001</v>
      </c>
      <c r="H200">
        <f>'Monthly Haver'!J203</f>
        <v>53.816800000000001</v>
      </c>
      <c r="I200">
        <f>GDS_Monthly!O317</f>
        <v>138.7500667531059</v>
      </c>
      <c r="J200">
        <f>GDS_Monthly!D317</f>
        <v>118.02121142839377</v>
      </c>
      <c r="K200">
        <f>GDS_Monthly!AH317</f>
        <v>1084.4724437</v>
      </c>
      <c r="L200">
        <f>GDS_Monthly!AI317</f>
        <v>1074.2954841000001</v>
      </c>
      <c r="M200">
        <f>GDS_Monthly!N317</f>
        <v>5.6178465224733136</v>
      </c>
      <c r="N200">
        <f>GDS_Monthly!C317</f>
        <v>103.93238447652055</v>
      </c>
      <c r="O200">
        <f>GDS_Monthly!F317</f>
        <v>2.3944057483836714</v>
      </c>
      <c r="P200">
        <f>GDS_Monthly!G317</f>
        <v>2.5193695001368965</v>
      </c>
      <c r="Q200">
        <f>GDS_Monthly!T317</f>
        <v>113.79454037906724</v>
      </c>
      <c r="R200">
        <f>GDS_Monthly!V317</f>
        <v>112.84419065518748</v>
      </c>
      <c r="S200">
        <f>GDS_Monthly!W317</f>
        <v>100.15579315832466</v>
      </c>
      <c r="T200">
        <f>GDS_Monthly!X317</f>
        <v>102.11717167630133</v>
      </c>
      <c r="U200">
        <f>GDS_Monthly!AA317</f>
        <v>100.12626868151516</v>
      </c>
      <c r="V200">
        <f>GDS_Monthly!AC317</f>
        <v>123.65505530050159</v>
      </c>
      <c r="W200">
        <f>GDS_Monthly!AE317</f>
        <v>126.58698780625139</v>
      </c>
      <c r="X200">
        <f>GDS_Monthly!AF317</f>
        <v>99.37195082044893</v>
      </c>
      <c r="Y200">
        <f>OECD!B200</f>
        <v>100.1234</v>
      </c>
      <c r="Z200">
        <f>OECD!C200</f>
        <v>110.65</v>
      </c>
      <c r="AA200">
        <f>'Monthly Haver'!K203</f>
        <v>113.38925999999999</v>
      </c>
      <c r="AB200" s="10">
        <f>'Monthly Haver'!L203</f>
        <v>975</v>
      </c>
      <c r="AC200" s="8"/>
      <c r="AD200" s="8"/>
      <c r="AE200" s="8"/>
    </row>
    <row r="201" spans="1:32">
      <c r="A201" s="12">
        <v>42217</v>
      </c>
      <c r="B201">
        <f>'Monthly Haver'!C204</f>
        <v>52.966900000000003</v>
      </c>
      <c r="C201">
        <f>'Monthly Haver'!D204</f>
        <v>52.161700000000003</v>
      </c>
      <c r="D201">
        <f>'Monthly Haver'!E204</f>
        <v>49.785499999999999</v>
      </c>
      <c r="E201">
        <f>'Monthly Haver'!G204</f>
        <v>51.611800000000002</v>
      </c>
      <c r="F201">
        <f>'Monthly Haver'!H204</f>
        <v>50.3521</v>
      </c>
      <c r="G201">
        <f>'Monthly Haver'!I204</f>
        <v>48.784799999999997</v>
      </c>
      <c r="H201">
        <f>'Monthly Haver'!J204</f>
        <v>54.103499999999997</v>
      </c>
      <c r="I201">
        <f>GDS_Monthly!O318</f>
        <v>138.69071154999409</v>
      </c>
      <c r="J201">
        <f>GDS_Monthly!D318</f>
        <v>118.18050020037218</v>
      </c>
      <c r="K201">
        <f>GDS_Monthly!AH318</f>
        <v>1052.4182206999999</v>
      </c>
      <c r="L201">
        <f>GDS_Monthly!AI318</f>
        <v>1042.0247041</v>
      </c>
      <c r="M201">
        <f>GDS_Monthly!N318</f>
        <v>5.6114700939295465</v>
      </c>
      <c r="N201">
        <f>GDS_Monthly!C318</f>
        <v>105.89080317817877</v>
      </c>
      <c r="O201">
        <f>GDS_Monthly!F318</f>
        <v>2.1960635175073859</v>
      </c>
      <c r="P201">
        <f>GDS_Monthly!G318</f>
        <v>2.5232386882710971</v>
      </c>
      <c r="Q201">
        <f>GDS_Monthly!T318</f>
        <v>113.94288363354718</v>
      </c>
      <c r="R201">
        <f>GDS_Monthly!V318</f>
        <v>113.04860885830874</v>
      </c>
      <c r="S201">
        <f>GDS_Monthly!W318</f>
        <v>97.086476707333503</v>
      </c>
      <c r="T201">
        <f>GDS_Monthly!X318</f>
        <v>100.69209081115039</v>
      </c>
      <c r="U201">
        <f>GDS_Monthly!AA318</f>
        <v>97.729234069603237</v>
      </c>
      <c r="V201">
        <f>GDS_Monthly!AC318</f>
        <v>109.45031067908991</v>
      </c>
      <c r="W201">
        <f>GDS_Monthly!AE318</f>
        <v>105.8469757638324</v>
      </c>
      <c r="X201">
        <f>GDS_Monthly!AF318</f>
        <v>97.14347173344521</v>
      </c>
      <c r="Y201">
        <f>OECD!B201</f>
        <v>100.0406</v>
      </c>
      <c r="Z201">
        <f>OECD!C201</f>
        <v>110.06</v>
      </c>
      <c r="AA201">
        <f>'Monthly Haver'!K204</f>
        <v>115.06005</v>
      </c>
      <c r="AB201" s="10">
        <f>'Monthly Haver'!L204</f>
        <v>1066</v>
      </c>
      <c r="AC201" s="8"/>
      <c r="AD201" s="8"/>
      <c r="AE201" s="8"/>
    </row>
    <row r="202" spans="1:32">
      <c r="A202" s="12">
        <v>42248</v>
      </c>
      <c r="B202">
        <f>'Monthly Haver'!C205</f>
        <v>52.506799999999998</v>
      </c>
      <c r="C202">
        <f>'Monthly Haver'!D205</f>
        <v>51.9343</v>
      </c>
      <c r="D202">
        <f>'Monthly Haver'!E205</f>
        <v>48.998600000000003</v>
      </c>
      <c r="E202">
        <f>'Monthly Haver'!G205</f>
        <v>51.386000000000003</v>
      </c>
      <c r="F202">
        <f>'Monthly Haver'!H205</f>
        <v>50.21</v>
      </c>
      <c r="G202">
        <f>'Monthly Haver'!I205</f>
        <v>50.123600000000003</v>
      </c>
      <c r="H202">
        <f>'Monthly Haver'!J205</f>
        <v>53.019599999999997</v>
      </c>
      <c r="I202">
        <f>GDS_Monthly!O319</f>
        <v>137.09895557232133</v>
      </c>
      <c r="J202">
        <f>GDS_Monthly!D319</f>
        <v>118.5912369479275</v>
      </c>
      <c r="K202">
        <f>GDS_Monthly!AH319</f>
        <v>1047.1911817</v>
      </c>
      <c r="L202">
        <f>GDS_Monthly!AI319</f>
        <v>1053.9243381000001</v>
      </c>
      <c r="M202">
        <f>GDS_Monthly!N319</f>
        <v>5.5896491467703324</v>
      </c>
      <c r="N202">
        <f>GDS_Monthly!C319</f>
        <v>105.90877959483213</v>
      </c>
      <c r="O202">
        <f>GDS_Monthly!F319</f>
        <v>2.256910805038121</v>
      </c>
      <c r="P202">
        <f>GDS_Monthly!G319</f>
        <v>2.4716374835021711</v>
      </c>
      <c r="Q202">
        <f>GDS_Monthly!T319</f>
        <v>113.91630723535229</v>
      </c>
      <c r="R202">
        <f>GDS_Monthly!V319</f>
        <v>113.29398131513575</v>
      </c>
      <c r="S202">
        <f>GDS_Monthly!W319</f>
        <v>96.290023318034102</v>
      </c>
      <c r="T202">
        <f>GDS_Monthly!X319</f>
        <v>100.78193889706249</v>
      </c>
      <c r="U202">
        <f>GDS_Monthly!AA319</f>
        <v>97.070148961657267</v>
      </c>
      <c r="V202">
        <f>GDS_Monthly!AC319</f>
        <v>110.0178683139095</v>
      </c>
      <c r="W202">
        <f>GDS_Monthly!AE319</f>
        <v>106.80016833867278</v>
      </c>
      <c r="X202">
        <f>GDS_Monthly!AF319</f>
        <v>94.95763465938596</v>
      </c>
      <c r="Y202">
        <f>OECD!B202</f>
        <v>99.967089999999999</v>
      </c>
      <c r="Z202">
        <f>OECD!C202</f>
        <v>110.1</v>
      </c>
      <c r="AA202">
        <f>'Monthly Haver'!K205</f>
        <v>114.12487</v>
      </c>
      <c r="AB202" s="10">
        <f>'Monthly Haver'!L205</f>
        <v>889</v>
      </c>
      <c r="AC202" s="8">
        <f>Quarterly!B68</f>
        <v>111.3</v>
      </c>
      <c r="AD202" s="8">
        <f>Quarterly!C68</f>
        <v>97</v>
      </c>
      <c r="AE202" s="8">
        <f>Quarterly!D68</f>
        <v>114.27872197650582</v>
      </c>
      <c r="AF202" s="8">
        <f>Quarterly!E68</f>
        <v>3.4666353992788945</v>
      </c>
    </row>
    <row r="203" spans="1:32">
      <c r="A203" s="12">
        <v>42278</v>
      </c>
      <c r="B203">
        <f>'Monthly Haver'!C206</f>
        <v>52.619500000000002</v>
      </c>
      <c r="C203">
        <f>'Monthly Haver'!D206</f>
        <v>52.145000000000003</v>
      </c>
      <c r="D203">
        <f>'Monthly Haver'!E206</f>
        <v>50.881500000000003</v>
      </c>
      <c r="E203">
        <f>'Monthly Haver'!G206</f>
        <v>50.924500000000002</v>
      </c>
      <c r="F203">
        <f>'Monthly Haver'!H206</f>
        <v>50.880499999999998</v>
      </c>
      <c r="G203">
        <f>'Monthly Haver'!I206</f>
        <v>49.177700000000002</v>
      </c>
      <c r="H203">
        <f>'Monthly Haver'!J206</f>
        <v>53.25</v>
      </c>
      <c r="I203">
        <f>GDS_Monthly!O320</f>
        <v>135.89656108041697</v>
      </c>
      <c r="J203">
        <f>GDS_Monthly!D320</f>
        <v>118.59115945101308</v>
      </c>
      <c r="K203">
        <f>GDS_Monthly!AH320</f>
        <v>1049.5114616999999</v>
      </c>
      <c r="L203">
        <f>GDS_Monthly!AI320</f>
        <v>1053.9557190999999</v>
      </c>
      <c r="M203">
        <f>GDS_Monthly!N320</f>
        <v>5.5947336513548924</v>
      </c>
      <c r="N203">
        <f>GDS_Monthly!C320</f>
        <v>105.45411032987417</v>
      </c>
      <c r="O203">
        <f>GDS_Monthly!F320</f>
        <v>2.0535289849575351</v>
      </c>
      <c r="P203">
        <f>GDS_Monthly!G320</f>
        <v>2.471088565073805</v>
      </c>
      <c r="Q203">
        <f>GDS_Monthly!T320</f>
        <v>114.06683612811052</v>
      </c>
      <c r="R203">
        <f>GDS_Monthly!V320</f>
        <v>113.52456717646282</v>
      </c>
      <c r="S203">
        <f>GDS_Monthly!W320</f>
        <v>96.824129614598888</v>
      </c>
      <c r="T203">
        <f>GDS_Monthly!X320</f>
        <v>98.074391896142444</v>
      </c>
      <c r="U203">
        <f>GDS_Monthly!AA320</f>
        <v>97.337137110531458</v>
      </c>
      <c r="V203">
        <f>GDS_Monthly!AC320</f>
        <v>109.52116586678811</v>
      </c>
      <c r="W203">
        <f>GDS_Monthly!AE320</f>
        <v>108.34932659651354</v>
      </c>
      <c r="X203">
        <f>GDS_Monthly!AF320</f>
        <v>94.936023612254274</v>
      </c>
      <c r="Y203">
        <f>OECD!B203</f>
        <v>99.904750000000007</v>
      </c>
      <c r="Z203">
        <f>OECD!C203</f>
        <v>110.19</v>
      </c>
      <c r="AA203">
        <f>'Monthly Haver'!K206</f>
        <v>112.80417</v>
      </c>
      <c r="AB203" s="10">
        <f>'Monthly Haver'!L206</f>
        <v>793</v>
      </c>
      <c r="AC203" s="8"/>
      <c r="AD203" s="8"/>
      <c r="AE203" s="8"/>
    </row>
    <row r="204" spans="1:32">
      <c r="A204" s="12">
        <v>42309</v>
      </c>
      <c r="B204">
        <f>'Monthly Haver'!C207</f>
        <v>53.0501</v>
      </c>
      <c r="C204">
        <f>'Monthly Haver'!D207</f>
        <v>51.643099999999997</v>
      </c>
      <c r="D204">
        <f>'Monthly Haver'!E207</f>
        <v>50.780500000000004</v>
      </c>
      <c r="E204">
        <f>'Monthly Haver'!G207</f>
        <v>51.2943</v>
      </c>
      <c r="F204">
        <f>'Monthly Haver'!H207</f>
        <v>50.865200000000002</v>
      </c>
      <c r="G204">
        <f>'Monthly Haver'!I207</f>
        <v>48.566200000000002</v>
      </c>
      <c r="H204">
        <f>'Monthly Haver'!J207</f>
        <v>53.705800000000004</v>
      </c>
      <c r="I204">
        <f>GDS_Monthly!O321</f>
        <v>136.96111881620391</v>
      </c>
      <c r="J204">
        <f>GDS_Monthly!D321</f>
        <v>118.3899572063775</v>
      </c>
      <c r="K204">
        <f>GDS_Monthly!AH321</f>
        <v>1023.0758287</v>
      </c>
      <c r="L204">
        <f>GDS_Monthly!AI321</f>
        <v>1017.1496601</v>
      </c>
      <c r="M204">
        <f>GDS_Monthly!N321</f>
        <v>5.5857891563741191</v>
      </c>
      <c r="N204">
        <f>GDS_Monthly!C321</f>
        <v>104.58531434056117</v>
      </c>
      <c r="O204">
        <f>GDS_Monthly!F321</f>
        <v>2.2075805204823133</v>
      </c>
      <c r="P204">
        <f>GDS_Monthly!G321</f>
        <v>2.4685512034884098</v>
      </c>
      <c r="Q204">
        <f>GDS_Monthly!T321</f>
        <v>114.24402223167903</v>
      </c>
      <c r="R204">
        <f>GDS_Monthly!V321</f>
        <v>113.72070143113231</v>
      </c>
      <c r="S204">
        <f>GDS_Monthly!W321</f>
        <v>92.771726312220267</v>
      </c>
      <c r="T204">
        <f>GDS_Monthly!X321</f>
        <v>90.213975294242474</v>
      </c>
      <c r="U204">
        <f>GDS_Monthly!AA321</f>
        <v>92.477505783988761</v>
      </c>
      <c r="V204">
        <f>GDS_Monthly!AC321</f>
        <v>101.64846627834204</v>
      </c>
      <c r="W204">
        <f>GDS_Monthly!AE321</f>
        <v>101.21109981155668</v>
      </c>
      <c r="X204">
        <f>GDS_Monthly!AF321</f>
        <v>94.191101085437424</v>
      </c>
      <c r="Y204">
        <f>OECD!B204</f>
        <v>99.843260000000001</v>
      </c>
      <c r="Z204">
        <f>OECD!C204</f>
        <v>110.73</v>
      </c>
      <c r="AA204">
        <f>'Monthly Haver'!K207</f>
        <v>113.92594</v>
      </c>
      <c r="AB204" s="10">
        <f>'Monthly Haver'!L207</f>
        <v>582</v>
      </c>
      <c r="AC204" s="8"/>
      <c r="AD204" s="8"/>
      <c r="AE204" s="8"/>
    </row>
    <row r="205" spans="1:32">
      <c r="A205" s="12">
        <v>42339</v>
      </c>
      <c r="B205">
        <f>'Monthly Haver'!C208</f>
        <v>51.993000000000002</v>
      </c>
      <c r="C205">
        <f>'Monthly Haver'!D208</f>
        <v>51.621299999999998</v>
      </c>
      <c r="D205">
        <f>'Monthly Haver'!E208</f>
        <v>50.191200000000002</v>
      </c>
      <c r="E205">
        <f>'Monthly Haver'!G208</f>
        <v>51.327100000000002</v>
      </c>
      <c r="F205">
        <f>'Monthly Haver'!H208</f>
        <v>50.582999999999998</v>
      </c>
      <c r="G205">
        <f>'Monthly Haver'!I208</f>
        <v>49.451300000000003</v>
      </c>
      <c r="H205">
        <f>'Monthly Haver'!J208</f>
        <v>52.8384</v>
      </c>
      <c r="I205">
        <f>GDS_Monthly!O322</f>
        <v>138.25908587831532</v>
      </c>
      <c r="J205">
        <f>GDS_Monthly!D322</f>
        <v>118.4159640461107</v>
      </c>
      <c r="K205">
        <f>GDS_Monthly!AH322</f>
        <v>1028.6810997</v>
      </c>
      <c r="L205">
        <f>GDS_Monthly!AI322</f>
        <v>1033.6910521</v>
      </c>
      <c r="M205">
        <f>GDS_Monthly!N322</f>
        <v>5.571440960961981</v>
      </c>
      <c r="N205">
        <f>GDS_Monthly!C322</f>
        <v>105.07023747344817</v>
      </c>
      <c r="O205">
        <f>GDS_Monthly!F322</f>
        <v>2.0876403604995439</v>
      </c>
      <c r="P205">
        <f>GDS_Monthly!G322</f>
        <v>2.532842286862099</v>
      </c>
      <c r="Q205">
        <f>GDS_Monthly!T322</f>
        <v>114.3441885045612</v>
      </c>
      <c r="R205">
        <f>GDS_Monthly!V322</f>
        <v>113.90079254489712</v>
      </c>
      <c r="S205">
        <f>GDS_Monthly!W322</f>
        <v>92.353059783830545</v>
      </c>
      <c r="T205">
        <f>GDS_Monthly!X322</f>
        <v>86.013738406525448</v>
      </c>
      <c r="U205">
        <f>GDS_Monthly!AA322</f>
        <v>90.96113030496214</v>
      </c>
      <c r="V205">
        <f>GDS_Monthly!AC322</f>
        <v>90.453390875178229</v>
      </c>
      <c r="W205">
        <f>GDS_Monthly!AE322</f>
        <v>85.53271763160167</v>
      </c>
      <c r="X205">
        <f>GDS_Monthly!AF322</f>
        <v>93.850880430170307</v>
      </c>
      <c r="Y205">
        <f>OECD!B205</f>
        <v>99.780460000000005</v>
      </c>
      <c r="Z205">
        <f>OECD!C205</f>
        <v>110.58</v>
      </c>
      <c r="AA205">
        <f>'Monthly Haver'!K208</f>
        <v>113.83208</v>
      </c>
      <c r="AB205" s="10">
        <f>'Monthly Haver'!L208</f>
        <v>519</v>
      </c>
      <c r="AC205" s="8">
        <f>Quarterly!B69</f>
        <v>111.48</v>
      </c>
      <c r="AD205" s="8">
        <f>Quarterly!C69</f>
        <v>97.78</v>
      </c>
      <c r="AE205" s="8">
        <f>Quarterly!D69</f>
        <v>114.74083468932889</v>
      </c>
      <c r="AF205" s="8">
        <f>Quarterly!E69</f>
        <v>2.7711883371334345</v>
      </c>
    </row>
    <row r="206" spans="1:32">
      <c r="A206" s="12">
        <v>42370</v>
      </c>
      <c r="B206">
        <f>'Monthly Haver'!C209</f>
        <v>52.203699999999998</v>
      </c>
      <c r="C206">
        <f>'Monthly Haver'!D209</f>
        <v>51.370399999999997</v>
      </c>
      <c r="D206">
        <f>'Monthly Haver'!E209</f>
        <v>50.039200000000001</v>
      </c>
      <c r="E206">
        <f>'Monthly Haver'!G209</f>
        <v>51.615099999999998</v>
      </c>
      <c r="F206">
        <f>'Monthly Haver'!H209</f>
        <v>50.738399999999999</v>
      </c>
      <c r="G206">
        <f>'Monthly Haver'!I209</f>
        <v>49.241999999999997</v>
      </c>
      <c r="H206">
        <f>'Monthly Haver'!J209</f>
        <v>52.749400000000001</v>
      </c>
      <c r="I206">
        <f>GDS_Monthly!O323</f>
        <v>138.55461346179868</v>
      </c>
      <c r="J206">
        <f>GDS_Monthly!D323</f>
        <v>119.34314027646768</v>
      </c>
      <c r="K206">
        <f>GDS_Monthly!AH323</f>
        <v>968.97600269999998</v>
      </c>
      <c r="L206">
        <f>GDS_Monthly!AI323</f>
        <v>972.72928409999997</v>
      </c>
      <c r="M206">
        <f>GDS_Monthly!N323</f>
        <v>5.5561968313619507</v>
      </c>
      <c r="N206">
        <f>GDS_Monthly!C323</f>
        <v>105.13994184446078</v>
      </c>
      <c r="O206">
        <f>GDS_Monthly!F323</f>
        <v>2.1098415179430061</v>
      </c>
      <c r="P206">
        <f>GDS_Monthly!G323</f>
        <v>2.472419192154121</v>
      </c>
      <c r="Q206">
        <f>GDS_Monthly!T323</f>
        <v>114.42462136297162</v>
      </c>
      <c r="R206">
        <f>GDS_Monthly!V323</f>
        <v>114.11321686139414</v>
      </c>
      <c r="S206">
        <f>GDS_Monthly!W323</f>
        <v>92.319382649549951</v>
      </c>
      <c r="T206">
        <f>GDS_Monthly!X323</f>
        <v>85.259094514423865</v>
      </c>
      <c r="U206">
        <f>GDS_Monthly!AA323</f>
        <v>90.710579101982816</v>
      </c>
      <c r="V206">
        <f>GDS_Monthly!AC323</f>
        <v>77.52824756886973</v>
      </c>
      <c r="W206">
        <f>GDS_Monthly!AE323</f>
        <v>70.151346700445643</v>
      </c>
      <c r="X206">
        <f>GDS_Monthly!AF323</f>
        <v>93.88156370468073</v>
      </c>
      <c r="Y206">
        <f>OECD!B206</f>
        <v>99.720039999999997</v>
      </c>
      <c r="Z206">
        <f>OECD!C206</f>
        <v>110.58</v>
      </c>
      <c r="AA206">
        <f>'Monthly Haver'!K209</f>
        <v>115.68652</v>
      </c>
      <c r="AB206" s="10">
        <f>'Monthly Haver'!L209</f>
        <v>386</v>
      </c>
      <c r="AC206" s="8"/>
      <c r="AD206" s="8"/>
      <c r="AE206" s="8"/>
    </row>
    <row r="207" spans="1:32">
      <c r="A207" s="12">
        <v>42401</v>
      </c>
      <c r="B207">
        <f>'Monthly Haver'!C210</f>
        <v>51.3367</v>
      </c>
      <c r="C207">
        <f>'Monthly Haver'!D210</f>
        <v>51.762900000000002</v>
      </c>
      <c r="D207">
        <f>'Monthly Haver'!E210</f>
        <v>49.235100000000003</v>
      </c>
      <c r="E207">
        <f>'Monthly Haver'!G210</f>
        <v>51.054499999999997</v>
      </c>
      <c r="F207">
        <f>'Monthly Haver'!H210</f>
        <v>49.842399999999998</v>
      </c>
      <c r="G207">
        <f>'Monthly Haver'!I210</f>
        <v>48.4251</v>
      </c>
      <c r="H207">
        <f>'Monthly Haver'!J210</f>
        <v>50.682600000000001</v>
      </c>
      <c r="I207">
        <f>GDS_Monthly!O324</f>
        <v>139.44119995346091</v>
      </c>
      <c r="J207">
        <f>GDS_Monthly!D324</f>
        <v>119.45698604484159</v>
      </c>
      <c r="K207">
        <f>GDS_Monthly!AH324</f>
        <v>1003.5341297</v>
      </c>
      <c r="L207">
        <f>GDS_Monthly!AI324</f>
        <v>1010.1008720999999</v>
      </c>
      <c r="M207">
        <f>GDS_Monthly!N324</f>
        <v>5.5638232546621111</v>
      </c>
      <c r="N207">
        <f>GDS_Monthly!C324</f>
        <v>104.28507261621631</v>
      </c>
      <c r="O207">
        <f>GDS_Monthly!F324</f>
        <v>1.9521030935738026</v>
      </c>
      <c r="P207">
        <f>GDS_Monthly!G324</f>
        <v>2.4791473299216538</v>
      </c>
      <c r="Q207">
        <f>GDS_Monthly!T324</f>
        <v>114.54764938077247</v>
      </c>
      <c r="R207">
        <f>GDS_Monthly!V324</f>
        <v>114.34043746143394</v>
      </c>
      <c r="S207">
        <f>GDS_Monthly!W324</f>
        <v>93.628967327861588</v>
      </c>
      <c r="T207">
        <f>GDS_Monthly!X324</f>
        <v>89.321625926464662</v>
      </c>
      <c r="U207">
        <f>GDS_Monthly!AA324</f>
        <v>93.752833351623821</v>
      </c>
      <c r="V207">
        <f>GDS_Monthly!AC324</f>
        <v>78.139429970967072</v>
      </c>
      <c r="W207">
        <f>GDS_Monthly!AE324</f>
        <v>72.263759318848486</v>
      </c>
      <c r="X207">
        <f>GDS_Monthly!AF324</f>
        <v>94.17520612301486</v>
      </c>
      <c r="Y207">
        <f>OECD!B207</f>
        <v>99.667599999999993</v>
      </c>
      <c r="Z207">
        <f>OECD!C207</f>
        <v>110.39</v>
      </c>
      <c r="AA207">
        <f>'Monthly Haver'!K210</f>
        <v>114.31194000000001</v>
      </c>
      <c r="AB207" s="10">
        <f>'Monthly Haver'!L210</f>
        <v>307</v>
      </c>
      <c r="AC207" s="8"/>
      <c r="AD207" s="8"/>
      <c r="AE207" s="8"/>
    </row>
    <row r="208" spans="1:32">
      <c r="A208" s="12">
        <v>42430</v>
      </c>
      <c r="B208">
        <f>'Monthly Haver'!C211</f>
        <v>51.090600000000002</v>
      </c>
      <c r="C208">
        <f>'Monthly Haver'!D211</f>
        <v>52.033799999999999</v>
      </c>
      <c r="D208">
        <f>'Monthly Haver'!E211</f>
        <v>49.593499999999999</v>
      </c>
      <c r="E208">
        <f>'Monthly Haver'!G211</f>
        <v>50.682899999999997</v>
      </c>
      <c r="F208">
        <f>'Monthly Haver'!H211</f>
        <v>50.551900000000003</v>
      </c>
      <c r="G208">
        <f>'Monthly Haver'!I211</f>
        <v>48.7453</v>
      </c>
      <c r="H208">
        <f>'Monthly Haver'!J211</f>
        <v>51.358600000000003</v>
      </c>
      <c r="I208">
        <f>GDS_Monthly!O325</f>
        <v>138.8040201011718</v>
      </c>
      <c r="J208">
        <f>GDS_Monthly!D325</f>
        <v>119.0592745015401</v>
      </c>
      <c r="K208">
        <f>GDS_Monthly!AH325</f>
        <v>996.27850169999999</v>
      </c>
      <c r="L208">
        <f>GDS_Monthly!AI325</f>
        <v>994.90248910000003</v>
      </c>
      <c r="M208">
        <f>GDS_Monthly!N325</f>
        <v>5.568548456471607</v>
      </c>
      <c r="N208">
        <f>GDS_Monthly!C325</f>
        <v>104.44899724334964</v>
      </c>
      <c r="O208">
        <f>GDS_Monthly!F325</f>
        <v>1.9453469422915333</v>
      </c>
      <c r="P208">
        <f>GDS_Monthly!G325</f>
        <v>2.551103260444008</v>
      </c>
      <c r="Q208">
        <f>GDS_Monthly!T325</f>
        <v>114.84422383917267</v>
      </c>
      <c r="R208">
        <f>GDS_Monthly!V325</f>
        <v>114.5616066886185</v>
      </c>
      <c r="S208">
        <f>GDS_Monthly!W325</f>
        <v>97.082943643197424</v>
      </c>
      <c r="T208">
        <f>GDS_Monthly!X325</f>
        <v>96.920185415412945</v>
      </c>
      <c r="U208">
        <f>GDS_Monthly!AA325</f>
        <v>97.857178662447353</v>
      </c>
      <c r="V208">
        <f>GDS_Monthly!AC325</f>
        <v>87.463135407191231</v>
      </c>
      <c r="W208">
        <f>GDS_Monthly!AE325</f>
        <v>86.754830738021909</v>
      </c>
      <c r="X208">
        <f>GDS_Monthly!AF325</f>
        <v>95.497933831427503</v>
      </c>
      <c r="Y208">
        <f>OECD!B208</f>
        <v>99.638549999999995</v>
      </c>
      <c r="Z208">
        <f>OECD!C208</f>
        <v>110.96</v>
      </c>
      <c r="AA208">
        <f>'Monthly Haver'!K211</f>
        <v>112.06254</v>
      </c>
      <c r="AB208" s="10">
        <f>'Monthly Haver'!L211</f>
        <v>383</v>
      </c>
      <c r="AC208" s="8">
        <f>Quarterly!B70</f>
        <v>111.78</v>
      </c>
      <c r="AD208" s="8">
        <f>Quarterly!C70</f>
        <v>98.91</v>
      </c>
      <c r="AE208" s="8">
        <f>Quarterly!D70</f>
        <v>115.51005971448483</v>
      </c>
      <c r="AF208" s="8">
        <f>Quarterly!E70</f>
        <v>4.0979582458981589</v>
      </c>
    </row>
    <row r="209" spans="1:32">
      <c r="A209" s="12">
        <v>42461</v>
      </c>
      <c r="B209">
        <f>'Monthly Haver'!C212</f>
        <v>51.403500000000001</v>
      </c>
      <c r="C209">
        <f>'Monthly Haver'!D212</f>
        <v>52.979399999999998</v>
      </c>
      <c r="D209">
        <f>'Monthly Haver'!E212</f>
        <v>49.365200000000002</v>
      </c>
      <c r="E209">
        <f>'Monthly Haver'!G212</f>
        <v>50.623100000000001</v>
      </c>
      <c r="F209">
        <f>'Monthly Haver'!H212</f>
        <v>50.118099999999998</v>
      </c>
      <c r="G209">
        <f>'Monthly Haver'!I212</f>
        <v>47.647199999999998</v>
      </c>
      <c r="H209">
        <f>'Monthly Haver'!J212</f>
        <v>51.721899999999998</v>
      </c>
      <c r="I209">
        <f>GDS_Monthly!O326</f>
        <v>139.04701153401959</v>
      </c>
      <c r="J209">
        <f>GDS_Monthly!D326</f>
        <v>119.58600082803335</v>
      </c>
      <c r="K209">
        <f>GDS_Monthly!AH326</f>
        <v>1008.1607417</v>
      </c>
      <c r="L209">
        <f>GDS_Monthly!AI326</f>
        <v>1028.6297981</v>
      </c>
      <c r="M209">
        <f>GDS_Monthly!N326</f>
        <v>5.5657540283628419</v>
      </c>
      <c r="N209">
        <f>GDS_Monthly!C326</f>
        <v>104.19916787259992</v>
      </c>
      <c r="O209">
        <f>GDS_Monthly!F326</f>
        <v>1.8669046908408751</v>
      </c>
      <c r="P209">
        <f>GDS_Monthly!G326</f>
        <v>2.5323062796093194</v>
      </c>
      <c r="Q209">
        <f>GDS_Monthly!T326</f>
        <v>115.07023969498331</v>
      </c>
      <c r="R209">
        <f>GDS_Monthly!V326</f>
        <v>114.76467304682869</v>
      </c>
      <c r="S209">
        <f>GDS_Monthly!W326</f>
        <v>100.06911140313098</v>
      </c>
      <c r="T209">
        <f>GDS_Monthly!X326</f>
        <v>99.066807240186719</v>
      </c>
      <c r="U209">
        <f>GDS_Monthly!AA326</f>
        <v>99.868779666366507</v>
      </c>
      <c r="V209">
        <f>GDS_Monthly!AC326</f>
        <v>92.259661396779279</v>
      </c>
      <c r="W209">
        <f>GDS_Monthly!AE326</f>
        <v>93.787939502004974</v>
      </c>
      <c r="X209">
        <f>GDS_Monthly!AF326</f>
        <v>100.1493349754807</v>
      </c>
      <c r="Y209">
        <f>OECD!B209</f>
        <v>99.634119999999996</v>
      </c>
      <c r="Z209">
        <f>OECD!C209</f>
        <v>111.64</v>
      </c>
      <c r="AA209">
        <f>'Monthly Haver'!K212</f>
        <v>110.3972</v>
      </c>
      <c r="AB209" s="10">
        <f>'Monthly Haver'!L212</f>
        <v>607</v>
      </c>
      <c r="AC209" s="8"/>
      <c r="AD209" s="8"/>
      <c r="AE209" s="8"/>
    </row>
    <row r="210" spans="1:32">
      <c r="A210" s="12">
        <v>42491</v>
      </c>
      <c r="B210">
        <f>'Monthly Haver'!C213</f>
        <v>51.233899999999998</v>
      </c>
      <c r="C210">
        <f>'Monthly Haver'!D213</f>
        <v>53.5428</v>
      </c>
      <c r="D210">
        <f>'Monthly Haver'!E213</f>
        <v>49.112299999999998</v>
      </c>
      <c r="E210">
        <f>'Monthly Haver'!G213</f>
        <v>50.614400000000003</v>
      </c>
      <c r="F210">
        <f>'Monthly Haver'!H213</f>
        <v>50.057699999999997</v>
      </c>
      <c r="G210">
        <f>'Monthly Haver'!I213</f>
        <v>48.421100000000003</v>
      </c>
      <c r="H210">
        <f>'Monthly Haver'!J213</f>
        <v>51.315300000000001</v>
      </c>
      <c r="I210">
        <f>GDS_Monthly!O327</f>
        <v>48.847969127922525</v>
      </c>
      <c r="J210">
        <f>GDS_Monthly!D327</f>
        <v>119.52164001013148</v>
      </c>
      <c r="K210">
        <f>GDS_Monthly!AH327</f>
        <v>1011.7316067</v>
      </c>
      <c r="L210">
        <f>GDS_Monthly!AI327</f>
        <v>1020.8288231</v>
      </c>
      <c r="M210">
        <f>GDS_Monthly!N327</f>
        <v>5.5599036077631148</v>
      </c>
      <c r="N210">
        <f>GDS_Monthly!C327</f>
        <v>103.97256374719325</v>
      </c>
      <c r="O210">
        <f>GDS_Monthly!F327</f>
        <v>1.9505250940838821</v>
      </c>
      <c r="P210">
        <f>GDS_Monthly!G327</f>
        <v>2.5271296571289672</v>
      </c>
      <c r="Q210">
        <f>GDS_Monthly!T327</f>
        <v>115.31249964084529</v>
      </c>
      <c r="R210">
        <f>GDS_Monthly!V327</f>
        <v>115.02566735072384</v>
      </c>
      <c r="S210">
        <f>GDS_Monthly!W327</f>
        <v>101.44126822142564</v>
      </c>
      <c r="T210">
        <f>GDS_Monthly!X327</f>
        <v>95.82934425151565</v>
      </c>
      <c r="U210">
        <f>GDS_Monthly!AA327</f>
        <v>100.02109350855014</v>
      </c>
      <c r="V210">
        <f>GDS_Monthly!AC327</f>
        <v>101.39348721169345</v>
      </c>
      <c r="W210">
        <f>GDS_Monthly!AE327</f>
        <v>105.65004591201587</v>
      </c>
      <c r="X210">
        <f>GDS_Monthly!AF327</f>
        <v>100.82513908279107</v>
      </c>
      <c r="Y210">
        <f>OECD!B210</f>
        <v>99.648160000000004</v>
      </c>
      <c r="Z210">
        <f>OECD!C210</f>
        <v>112.92</v>
      </c>
      <c r="AA210">
        <f>'Monthly Haver'!K213</f>
        <v>112.35709</v>
      </c>
      <c r="AB210" s="10">
        <f>'Monthly Haver'!L213</f>
        <v>620</v>
      </c>
      <c r="AC210" s="8"/>
      <c r="AD210" s="8"/>
      <c r="AE210" s="8"/>
    </row>
    <row r="211" spans="1:32">
      <c r="A211" s="12">
        <v>42522</v>
      </c>
      <c r="B211">
        <f>'Monthly Haver'!C214</f>
        <v>51.458300000000001</v>
      </c>
      <c r="C211">
        <f>'Monthly Haver'!D214</f>
        <v>53.197200000000002</v>
      </c>
      <c r="D211">
        <f>'Monthly Haver'!E214</f>
        <v>49.677399999999999</v>
      </c>
      <c r="E211">
        <f>'Monthly Haver'!G214</f>
        <v>50.720700000000001</v>
      </c>
      <c r="F211">
        <f>'Monthly Haver'!H214</f>
        <v>50.270299999999999</v>
      </c>
      <c r="G211">
        <f>'Monthly Haver'!I214</f>
        <v>48.788699999999999</v>
      </c>
      <c r="H211">
        <f>'Monthly Haver'!J214</f>
        <v>51.387500000000003</v>
      </c>
      <c r="I211">
        <f>GDS_Monthly!O328</f>
        <v>49.34848039045923</v>
      </c>
      <c r="J211">
        <f>GDS_Monthly!D328</f>
        <v>120.45489395472495</v>
      </c>
      <c r="K211">
        <f>GDS_Monthly!AH328</f>
        <v>1041.0441046999999</v>
      </c>
      <c r="L211">
        <f>GDS_Monthly!AI328</f>
        <v>1038.4737680999999</v>
      </c>
      <c r="M211">
        <f>GDS_Monthly!N328</f>
        <v>5.5591314977165736</v>
      </c>
      <c r="N211">
        <f>GDS_Monthly!C328</f>
        <v>105.17160411096519</v>
      </c>
      <c r="O211">
        <f>GDS_Monthly!F328</f>
        <v>1.8307248048880935</v>
      </c>
      <c r="P211">
        <f>GDS_Monthly!G328</f>
        <v>2.4940317000917842</v>
      </c>
      <c r="Q211">
        <f>GDS_Monthly!T328</f>
        <v>115.61315933496491</v>
      </c>
      <c r="R211">
        <f>GDS_Monthly!V328</f>
        <v>115.22845071188492</v>
      </c>
      <c r="S211">
        <f>GDS_Monthly!W328</f>
        <v>103.57827172650637</v>
      </c>
      <c r="T211">
        <f>GDS_Monthly!X328</f>
        <v>95.013983045756376</v>
      </c>
      <c r="U211">
        <f>GDS_Monthly!AA328</f>
        <v>100.99282721166234</v>
      </c>
      <c r="V211">
        <f>GDS_Monthly!AC328</f>
        <v>106.41502625387807</v>
      </c>
      <c r="W211">
        <f>GDS_Monthly!AE328</f>
        <v>109.86158991053651</v>
      </c>
      <c r="X211">
        <f>GDS_Monthly!AF328</f>
        <v>100.71253130987934</v>
      </c>
      <c r="Y211">
        <f>OECD!B211</f>
        <v>99.678210000000007</v>
      </c>
      <c r="Z211">
        <f>OECD!C211</f>
        <v>113.41</v>
      </c>
      <c r="AA211">
        <f>'Monthly Haver'!K214</f>
        <v>114.00440999999999</v>
      </c>
      <c r="AB211" s="10">
        <f>'Monthly Haver'!L214</f>
        <v>608</v>
      </c>
      <c r="AC211" s="8">
        <f>Quarterly!B71</f>
        <v>111.91</v>
      </c>
      <c r="AD211" s="8">
        <f>Quarterly!C71</f>
        <v>100.06</v>
      </c>
      <c r="AE211" s="8">
        <f>Quarterly!D71</f>
        <v>116.23234235299394</v>
      </c>
      <c r="AF211" s="8">
        <f>Quarterly!E71</f>
        <v>3.6700242708192832</v>
      </c>
    </row>
    <row r="212" spans="1:32">
      <c r="A212" s="12">
        <v>42552</v>
      </c>
      <c r="B212">
        <f>'Monthly Haver'!C215</f>
        <v>51.841900000000003</v>
      </c>
      <c r="C212">
        <f>'Monthly Haver'!D215</f>
        <v>53.210599999999999</v>
      </c>
      <c r="D212">
        <f>'Monthly Haver'!E215</f>
        <v>49.8705</v>
      </c>
      <c r="E212">
        <f>'Monthly Haver'!G215</f>
        <v>50.841200000000001</v>
      </c>
      <c r="F212">
        <f>'Monthly Haver'!H215</f>
        <v>50.924599999999998</v>
      </c>
      <c r="G212">
        <f>'Monthly Haver'!I215</f>
        <v>49.028199999999998</v>
      </c>
      <c r="H212">
        <f>'Monthly Haver'!J215</f>
        <v>51.4148</v>
      </c>
      <c r="I212">
        <f>GDS_Monthly!O329</f>
        <v>49.669433294238161</v>
      </c>
      <c r="J212">
        <f>GDS_Monthly!D329</f>
        <v>120.34211987976281</v>
      </c>
      <c r="K212">
        <f>GDS_Monthly!AH329</f>
        <v>1016.1839197</v>
      </c>
      <c r="L212">
        <f>GDS_Monthly!AI329</f>
        <v>1020.4874021000001</v>
      </c>
      <c r="M212">
        <f>GDS_Monthly!N329</f>
        <v>5.5149561129055593</v>
      </c>
      <c r="N212">
        <f>GDS_Monthly!C329</f>
        <v>105.33483773615787</v>
      </c>
      <c r="O212">
        <f>GDS_Monthly!F329</f>
        <v>1.5722236190044783</v>
      </c>
      <c r="P212">
        <f>GDS_Monthly!G329</f>
        <v>2.4726257168226797</v>
      </c>
      <c r="Q212">
        <f>GDS_Monthly!T329</f>
        <v>115.78333108558043</v>
      </c>
      <c r="R212">
        <f>GDS_Monthly!V329</f>
        <v>115.42769526961922</v>
      </c>
      <c r="S212">
        <f>GDS_Monthly!W329</f>
        <v>103.88291064856783</v>
      </c>
      <c r="T212">
        <f>GDS_Monthly!X329</f>
        <v>100.44101819604782</v>
      </c>
      <c r="U212">
        <f>GDS_Monthly!AA329</f>
        <v>103.40411407112028</v>
      </c>
      <c r="V212">
        <f>GDS_Monthly!AC329</f>
        <v>101.99512771569695</v>
      </c>
      <c r="W212">
        <f>GDS_Monthly!AE329</f>
        <v>103.17066781685605</v>
      </c>
      <c r="X212">
        <f>GDS_Monthly!AF329</f>
        <v>102.73150174388816</v>
      </c>
      <c r="Y212">
        <f>OECD!B212</f>
        <v>99.720140000000001</v>
      </c>
      <c r="Z212">
        <f>OECD!C212</f>
        <v>113.98</v>
      </c>
      <c r="AA212">
        <f>'Monthly Haver'!K215</f>
        <v>114.51033</v>
      </c>
      <c r="AB212" s="10">
        <f>'Monthly Haver'!L215</f>
        <v>707</v>
      </c>
      <c r="AC212" s="8"/>
      <c r="AD212" s="8"/>
      <c r="AE212" s="8"/>
    </row>
    <row r="213" spans="1:32">
      <c r="A213" s="12">
        <v>42583</v>
      </c>
      <c r="B213">
        <f>'Monthly Haver'!C216</f>
        <v>51.986899999999999</v>
      </c>
      <c r="C213">
        <f>'Monthly Haver'!D216</f>
        <v>52.868000000000002</v>
      </c>
      <c r="D213">
        <f>'Monthly Haver'!E216</f>
        <v>50.253700000000002</v>
      </c>
      <c r="E213">
        <f>'Monthly Haver'!G216</f>
        <v>50.427</v>
      </c>
      <c r="F213">
        <f>'Monthly Haver'!H216</f>
        <v>50.710599999999999</v>
      </c>
      <c r="G213">
        <f>'Monthly Haver'!I216</f>
        <v>49.1541</v>
      </c>
      <c r="H213">
        <f>'Monthly Haver'!J216</f>
        <v>51.515500000000003</v>
      </c>
      <c r="I213">
        <f>GDS_Monthly!O330</f>
        <v>49.909029145371491</v>
      </c>
      <c r="J213">
        <f>GDS_Monthly!D330</f>
        <v>120.82347015712276</v>
      </c>
      <c r="K213">
        <f>GDS_Monthly!AH330</f>
        <v>1048.7937247</v>
      </c>
      <c r="L213">
        <f>GDS_Monthly!AI330</f>
        <v>1045.6719241000001</v>
      </c>
      <c r="M213">
        <f>GDS_Monthly!N330</f>
        <v>5.5059726644583371</v>
      </c>
      <c r="N213">
        <f>GDS_Monthly!C330</f>
        <v>106.61720596853944</v>
      </c>
      <c r="O213">
        <f>GDS_Monthly!F330</f>
        <v>1.6645913671645012</v>
      </c>
      <c r="P213">
        <f>GDS_Monthly!G330</f>
        <v>2.4504460115598032</v>
      </c>
      <c r="Q213">
        <f>GDS_Monthly!T330</f>
        <v>115.88610228887559</v>
      </c>
      <c r="R213">
        <f>GDS_Monthly!V330</f>
        <v>115.62798819375799</v>
      </c>
      <c r="S213">
        <f>GDS_Monthly!W330</f>
        <v>102.12454834463537</v>
      </c>
      <c r="T213">
        <f>GDS_Monthly!X330</f>
        <v>102.24091448124405</v>
      </c>
      <c r="U213">
        <f>GDS_Monthly!AA330</f>
        <v>102.98752131569141</v>
      </c>
      <c r="V213">
        <f>GDS_Monthly!AC330</f>
        <v>103.76623548299237</v>
      </c>
      <c r="W213">
        <f>GDS_Monthly!AE330</f>
        <v>103.94332810698218</v>
      </c>
      <c r="X213">
        <f>GDS_Monthly!AF330</f>
        <v>101.43791549803811</v>
      </c>
      <c r="Y213">
        <f>OECD!B213</f>
        <v>99.774760000000001</v>
      </c>
      <c r="Z213">
        <f>OECD!C213</f>
        <v>114.21</v>
      </c>
      <c r="AA213">
        <f>'Monthly Haver'!K216</f>
        <v>113.07805</v>
      </c>
      <c r="AB213" s="10">
        <f>'Monthly Haver'!L216</f>
        <v>673</v>
      </c>
      <c r="AC213" s="8"/>
      <c r="AD213" s="8"/>
      <c r="AE213" s="8"/>
    </row>
    <row r="214" spans="1:32">
      <c r="A214" s="12">
        <v>42614</v>
      </c>
      <c r="B214">
        <f>'Monthly Haver'!C217</f>
        <v>51.887099999999997</v>
      </c>
      <c r="C214">
        <f>'Monthly Haver'!D217</f>
        <v>52.906599999999997</v>
      </c>
      <c r="D214">
        <f>'Monthly Haver'!E217</f>
        <v>50.389000000000003</v>
      </c>
      <c r="E214">
        <f>'Monthly Haver'!G217</f>
        <v>50.4861</v>
      </c>
      <c r="F214">
        <f>'Monthly Haver'!H217</f>
        <v>51.026499999999999</v>
      </c>
      <c r="G214">
        <f>'Monthly Haver'!I217</f>
        <v>49.292000000000002</v>
      </c>
      <c r="H214">
        <f>'Monthly Haver'!J217</f>
        <v>51.722000000000001</v>
      </c>
      <c r="I214">
        <f>GDS_Monthly!O331</f>
        <v>49.972525193288156</v>
      </c>
      <c r="J214">
        <f>GDS_Monthly!D331</f>
        <v>121.01365829772175</v>
      </c>
      <c r="K214">
        <f>GDS_Monthly!AH331</f>
        <v>1050.3312827</v>
      </c>
      <c r="L214">
        <f>GDS_Monthly!AI331</f>
        <v>1046.0094870999999</v>
      </c>
      <c r="M214">
        <f>GDS_Monthly!N331</f>
        <v>5.5068271743470181</v>
      </c>
      <c r="N214">
        <f>GDS_Monthly!C331</f>
        <v>106.97865950269751</v>
      </c>
      <c r="O214">
        <f>GDS_Monthly!F331</f>
        <v>1.713236459046291</v>
      </c>
      <c r="P214">
        <f>GDS_Monthly!G331</f>
        <v>2.4232075455568243</v>
      </c>
      <c r="Q214">
        <f>GDS_Monthly!T331</f>
        <v>116.10071086522034</v>
      </c>
      <c r="R214">
        <f>GDS_Monthly!V331</f>
        <v>115.82419205041941</v>
      </c>
      <c r="S214">
        <f>GDS_Monthly!W331</f>
        <v>101.70664702702703</v>
      </c>
      <c r="T214">
        <f>GDS_Monthly!X331</f>
        <v>100.00722517053428</v>
      </c>
      <c r="U214">
        <f>GDS_Monthly!AA331</f>
        <v>102.09935683292626</v>
      </c>
      <c r="V214">
        <f>GDS_Monthly!AC331</f>
        <v>105.1746378713013</v>
      </c>
      <c r="W214">
        <f>GDS_Monthly!AE331</f>
        <v>104.45842159804651</v>
      </c>
      <c r="X214">
        <f>GDS_Monthly!AF331</f>
        <v>101.38272305920114</v>
      </c>
      <c r="Y214">
        <f>OECD!B214</f>
        <v>99.847160000000002</v>
      </c>
      <c r="Z214">
        <f>OECD!C214</f>
        <v>114.66999999999999</v>
      </c>
      <c r="AA214">
        <f>'Monthly Haver'!K217</f>
        <v>113.35992</v>
      </c>
      <c r="AB214" s="10">
        <f>'Monthly Haver'!L217</f>
        <v>828</v>
      </c>
      <c r="AC214" s="8">
        <f>Quarterly!B72</f>
        <v>112.26</v>
      </c>
      <c r="AD214" s="8">
        <f>Quarterly!C72</f>
        <v>101.19</v>
      </c>
      <c r="AE214" s="8">
        <f>Quarterly!D72</f>
        <v>116.99328645389306</v>
      </c>
      <c r="AF214" s="8">
        <f>Quarterly!E72</f>
        <v>3.6174156707559524</v>
      </c>
    </row>
    <row r="215" spans="1:32">
      <c r="A215" s="12">
        <v>42644</v>
      </c>
      <c r="B215">
        <f>'Monthly Haver'!C218</f>
        <v>53.076300000000003</v>
      </c>
      <c r="C215">
        <f>'Monthly Haver'!D218</f>
        <v>54.720399999999998</v>
      </c>
      <c r="D215">
        <f>'Monthly Haver'!E218</f>
        <v>50.452199999999998</v>
      </c>
      <c r="E215">
        <f>'Monthly Haver'!G218</f>
        <v>50.752600000000001</v>
      </c>
      <c r="F215">
        <f>'Monthly Haver'!H218</f>
        <v>51.905799999999999</v>
      </c>
      <c r="G215">
        <f>'Monthly Haver'!I218</f>
        <v>49.534399999999998</v>
      </c>
      <c r="H215">
        <f>'Monthly Haver'!J218</f>
        <v>52.996200000000002</v>
      </c>
      <c r="I215">
        <f>GDS_Monthly!O332</f>
        <v>50.279431446851618</v>
      </c>
      <c r="J215">
        <f>GDS_Monthly!D332</f>
        <v>121.69576712262023</v>
      </c>
      <c r="K215">
        <f>GDS_Monthly!AH332</f>
        <v>1036.0737517</v>
      </c>
      <c r="L215">
        <f>GDS_Monthly!AI332</f>
        <v>1030.9517231</v>
      </c>
      <c r="M215">
        <f>GDS_Monthly!N332</f>
        <v>5.5588416018468934</v>
      </c>
      <c r="N215">
        <f>GDS_Monthly!C332</f>
        <v>106.7450576792742</v>
      </c>
      <c r="O215">
        <f>GDS_Monthly!F332</f>
        <v>1.7908552270029918</v>
      </c>
      <c r="P215">
        <f>GDS_Monthly!G332</f>
        <v>2.398155939327967</v>
      </c>
      <c r="Q215">
        <f>GDS_Monthly!T332</f>
        <v>116.36491402625072</v>
      </c>
      <c r="R215">
        <f>GDS_Monthly!V332</f>
        <v>116.00057703349118</v>
      </c>
      <c r="S215">
        <f>GDS_Monthly!W332</f>
        <v>100.64342220885253</v>
      </c>
      <c r="T215">
        <f>GDS_Monthly!X332</f>
        <v>101.12997903625592</v>
      </c>
      <c r="U215">
        <f>GDS_Monthly!AA332</f>
        <v>100.87566037196071</v>
      </c>
      <c r="V215">
        <f>GDS_Monthly!AC332</f>
        <v>114.80598055149173</v>
      </c>
      <c r="W215">
        <f>GDS_Monthly!AE332</f>
        <v>115.85060079837596</v>
      </c>
      <c r="X215">
        <f>GDS_Monthly!AF332</f>
        <v>100.69869858266971</v>
      </c>
      <c r="Y215">
        <f>OECD!B215</f>
        <v>99.931920000000005</v>
      </c>
      <c r="Z215">
        <f>OECD!C215</f>
        <v>114.94</v>
      </c>
      <c r="AA215">
        <f>'Monthly Haver'!K218</f>
        <v>113.89323</v>
      </c>
      <c r="AB215" s="10">
        <f>'Monthly Haver'!L218</f>
        <v>868</v>
      </c>
      <c r="AC215" s="8"/>
      <c r="AD215" s="8"/>
      <c r="AE215" s="8"/>
    </row>
    <row r="216" spans="1:32">
      <c r="A216" s="12">
        <v>42675</v>
      </c>
      <c r="B216">
        <f>'Monthly Haver'!C219</f>
        <v>53.334499999999998</v>
      </c>
      <c r="C216">
        <f>'Monthly Haver'!D219</f>
        <v>55.738700000000001</v>
      </c>
      <c r="D216">
        <f>'Monthly Haver'!E219</f>
        <v>50.747</v>
      </c>
      <c r="E216">
        <f>'Monthly Haver'!G219</f>
        <v>51.1143</v>
      </c>
      <c r="F216">
        <f>'Monthly Haver'!H219</f>
        <v>51.926499999999997</v>
      </c>
      <c r="G216">
        <f>'Monthly Haver'!I219</f>
        <v>49.631999999999998</v>
      </c>
      <c r="H216">
        <f>'Monthly Haver'!J219</f>
        <v>53.304400000000001</v>
      </c>
      <c r="I216">
        <f>GDS_Monthly!O333</f>
        <v>51.397207098131162</v>
      </c>
      <c r="J216">
        <f>GDS_Monthly!D333</f>
        <v>122.38856217704608</v>
      </c>
      <c r="K216">
        <f>GDS_Monthly!AH333</f>
        <v>1062.7953027000001</v>
      </c>
      <c r="L216">
        <f>GDS_Monthly!AI333</f>
        <v>1056.9639090999999</v>
      </c>
      <c r="M216">
        <f>GDS_Monthly!N333</f>
        <v>5.5230606068573707</v>
      </c>
      <c r="N216">
        <f>GDS_Monthly!C333</f>
        <v>108.09216659427297</v>
      </c>
      <c r="O216">
        <f>GDS_Monthly!F333</f>
        <v>1.9926024855022206</v>
      </c>
      <c r="P216">
        <f>GDS_Monthly!G333</f>
        <v>2.3996668144329396</v>
      </c>
      <c r="Q216">
        <f>GDS_Monthly!T333</f>
        <v>116.58270993337673</v>
      </c>
      <c r="R216">
        <f>GDS_Monthly!V333</f>
        <v>116.21400015899044</v>
      </c>
      <c r="S216">
        <f>GDS_Monthly!W333</f>
        <v>101.19577735032286</v>
      </c>
      <c r="T216">
        <f>GDS_Monthly!X333</f>
        <v>115.2364308092223</v>
      </c>
      <c r="U216">
        <f>GDS_Monthly!AA333</f>
        <v>103.67633185133319</v>
      </c>
      <c r="V216">
        <f>GDS_Monthly!AC333</f>
        <v>108.0049017611355</v>
      </c>
      <c r="W216">
        <f>GDS_Monthly!AE333</f>
        <v>107.40604821649015</v>
      </c>
      <c r="X216">
        <f>GDS_Monthly!AF333</f>
        <v>102.70372778280245</v>
      </c>
      <c r="Y216">
        <f>OECD!B216</f>
        <v>100.0235</v>
      </c>
      <c r="Z216">
        <f>OECD!C216</f>
        <v>115.01</v>
      </c>
      <c r="AA216">
        <f>'Monthly Haver'!K219</f>
        <v>115.78691000000001</v>
      </c>
      <c r="AB216" s="10">
        <f>'Monthly Haver'!L219</f>
        <v>1072</v>
      </c>
      <c r="AC216" s="8"/>
      <c r="AD216" s="8"/>
      <c r="AE216" s="8"/>
    </row>
    <row r="217" spans="1:32">
      <c r="A217" s="12">
        <v>42705</v>
      </c>
      <c r="B217">
        <f>'Monthly Haver'!C220</f>
        <v>53.6646</v>
      </c>
      <c r="C217">
        <f>'Monthly Haver'!D220</f>
        <v>57.078699999999998</v>
      </c>
      <c r="D217">
        <f>'Monthly Haver'!E220</f>
        <v>50.974600000000002</v>
      </c>
      <c r="E217">
        <f>'Monthly Haver'!G220</f>
        <v>51.881399999999999</v>
      </c>
      <c r="F217">
        <f>'Monthly Haver'!H220</f>
        <v>52.566200000000002</v>
      </c>
      <c r="G217">
        <f>'Monthly Haver'!I220</f>
        <v>49.990299999999998</v>
      </c>
      <c r="H217">
        <f>'Monthly Haver'!J220</f>
        <v>53.371499999999997</v>
      </c>
      <c r="I217">
        <f>GDS_Monthly!O334</f>
        <v>51.868297663648335</v>
      </c>
      <c r="J217">
        <f>GDS_Monthly!D334</f>
        <v>122.96855677434657</v>
      </c>
      <c r="K217">
        <f>GDS_Monthly!AH334</f>
        <v>1079.8857487</v>
      </c>
      <c r="L217">
        <f>GDS_Monthly!AI334</f>
        <v>1073.7827411000001</v>
      </c>
      <c r="M217">
        <f>GDS_Monthly!N334</f>
        <v>5.5018679958467995</v>
      </c>
      <c r="N217">
        <f>GDS_Monthly!C334</f>
        <v>108.66090630709228</v>
      </c>
      <c r="O217">
        <f>GDS_Monthly!F334</f>
        <v>2.2861995620438931</v>
      </c>
      <c r="P217">
        <f>GDS_Monthly!G334</f>
        <v>2.4707531043186832</v>
      </c>
      <c r="Q217">
        <f>GDS_Monthly!T334</f>
        <v>116.87838892274031</v>
      </c>
      <c r="R217">
        <f>GDS_Monthly!V334</f>
        <v>116.43465653154131</v>
      </c>
      <c r="S217">
        <f>GDS_Monthly!W334</f>
        <v>102.32674944892257</v>
      </c>
      <c r="T217">
        <f>GDS_Monthly!X334</f>
        <v>119.5333919129355</v>
      </c>
      <c r="U217">
        <f>GDS_Monthly!AA334</f>
        <v>103.75372405433482</v>
      </c>
      <c r="V217">
        <f>GDS_Monthly!AC334</f>
        <v>123.05412880800317</v>
      </c>
      <c r="W217">
        <f>GDS_Monthly!AE334</f>
        <v>126.70142138137567</v>
      </c>
      <c r="X217">
        <f>GDS_Monthly!AF334</f>
        <v>105.80372430612641</v>
      </c>
      <c r="Y217">
        <f>OECD!B217</f>
        <v>100.1105</v>
      </c>
      <c r="Z217">
        <f>OECD!C217</f>
        <v>115.67</v>
      </c>
      <c r="AA217">
        <f>'Monthly Haver'!K220</f>
        <v>117.50534</v>
      </c>
      <c r="AB217" s="10">
        <f>'Monthly Haver'!L220</f>
        <v>1049</v>
      </c>
      <c r="AC217" s="8">
        <f>Quarterly!B73</f>
        <v>112.52</v>
      </c>
      <c r="AD217" s="8">
        <f>Quarterly!C73</f>
        <v>101.83</v>
      </c>
      <c r="AE217" s="8">
        <f>Quarterly!D73</f>
        <v>118.00063744661983</v>
      </c>
      <c r="AF217" s="8">
        <f>Quarterly!E73</f>
        <v>4.1765519058043044</v>
      </c>
    </row>
    <row r="218" spans="1:32">
      <c r="A218" s="12">
        <v>42736</v>
      </c>
      <c r="B218">
        <f>'Monthly Haver'!C221</f>
        <v>54.260399999999997</v>
      </c>
      <c r="C218">
        <f>'Monthly Haver'!D221</f>
        <v>57.393900000000002</v>
      </c>
      <c r="D218">
        <f>'Monthly Haver'!E221</f>
        <v>51.780700000000003</v>
      </c>
      <c r="E218">
        <f>'Monthly Haver'!G221</f>
        <v>52.012799999999999</v>
      </c>
      <c r="F218">
        <f>'Monthly Haver'!H221</f>
        <v>52.562199999999997</v>
      </c>
      <c r="G218">
        <f>'Monthly Haver'!I221</f>
        <v>49.7896</v>
      </c>
      <c r="H218">
        <f>'Monthly Haver'!J221</f>
        <v>53.941099999999999</v>
      </c>
      <c r="I218">
        <f>GDS_Monthly!O335</f>
        <v>52.409728106778807</v>
      </c>
      <c r="J218">
        <f>GDS_Monthly!D335</f>
        <v>122.88102660758236</v>
      </c>
      <c r="K218">
        <f>GDS_Monthly!AH335</f>
        <v>1092.3534897</v>
      </c>
      <c r="L218">
        <f>GDS_Monthly!AI335</f>
        <v>1077.7443951</v>
      </c>
      <c r="M218">
        <f>GDS_Monthly!N335</f>
        <v>5.5459155418984194</v>
      </c>
      <c r="N218">
        <f>GDS_Monthly!C335</f>
        <v>108.52724799587875</v>
      </c>
      <c r="O218">
        <f>GDS_Monthly!F335</f>
        <v>2.3555287838900858</v>
      </c>
      <c r="P218">
        <f>GDS_Monthly!G335</f>
        <v>2.3924011879622569</v>
      </c>
      <c r="Q218">
        <f>GDS_Monthly!T335</f>
        <v>117.27542234058393</v>
      </c>
      <c r="R218">
        <f>GDS_Monthly!V335</f>
        <v>116.69677305418298</v>
      </c>
      <c r="S218">
        <f>GDS_Monthly!W335</f>
        <v>106.5366290159841</v>
      </c>
      <c r="T218">
        <f>GDS_Monthly!X335</f>
        <v>121.36834449701475</v>
      </c>
      <c r="U218">
        <f>GDS_Monthly!AA335</f>
        <v>107.32945698309595</v>
      </c>
      <c r="V218">
        <f>GDS_Monthly!AC335</f>
        <v>128.32723219950617</v>
      </c>
      <c r="W218">
        <f>GDS_Monthly!AE335</f>
        <v>128.75250829014144</v>
      </c>
      <c r="X218">
        <f>GDS_Monthly!AF335</f>
        <v>109.73920607798925</v>
      </c>
      <c r="Y218">
        <f>OECD!B218</f>
        <v>100.1836</v>
      </c>
      <c r="Z218">
        <f>OECD!C218</f>
        <v>116.24</v>
      </c>
      <c r="AA218">
        <f>'Monthly Haver'!K221</f>
        <v>117.36363</v>
      </c>
      <c r="AB218" s="10">
        <f>'Monthly Haver'!L221</f>
        <v>907</v>
      </c>
      <c r="AC218" s="8"/>
      <c r="AD218" s="8"/>
      <c r="AE218" s="8"/>
    </row>
    <row r="219" spans="1:32">
      <c r="A219" s="12">
        <v>42767</v>
      </c>
      <c r="B219">
        <f>'Monthly Haver'!C222</f>
        <v>53.813000000000002</v>
      </c>
      <c r="C219">
        <f>'Monthly Haver'!D222</f>
        <v>56.319000000000003</v>
      </c>
      <c r="D219">
        <f>'Monthly Haver'!E222</f>
        <v>52.198300000000003</v>
      </c>
      <c r="E219">
        <f>'Monthly Haver'!G222</f>
        <v>52.030999999999999</v>
      </c>
      <c r="F219">
        <f>'Monthly Haver'!H222</f>
        <v>52.817399999999999</v>
      </c>
      <c r="G219">
        <f>'Monthly Haver'!I222</f>
        <v>49.361899999999999</v>
      </c>
      <c r="H219">
        <f>'Monthly Haver'!J222</f>
        <v>53.293900000000001</v>
      </c>
      <c r="I219">
        <f>GDS_Monthly!O336</f>
        <v>52.415935235052835</v>
      </c>
      <c r="J219">
        <f>GDS_Monthly!D336</f>
        <v>123.15485097171033</v>
      </c>
      <c r="K219">
        <f>GDS_Monthly!AH336</f>
        <v>1097.7573967000001</v>
      </c>
      <c r="L219">
        <f>GDS_Monthly!AI336</f>
        <v>1077.8085731000001</v>
      </c>
      <c r="M219">
        <f>GDS_Monthly!N336</f>
        <v>5.5123149884852101</v>
      </c>
      <c r="N219">
        <f>GDS_Monthly!C336</f>
        <v>109.82511731039254</v>
      </c>
      <c r="O219">
        <f>GDS_Monthly!F336</f>
        <v>2.2624280320452752</v>
      </c>
      <c r="P219">
        <f>GDS_Monthly!G336</f>
        <v>2.3792684873223271</v>
      </c>
      <c r="Q219">
        <f>GDS_Monthly!T336</f>
        <v>117.46604922294026</v>
      </c>
      <c r="R219">
        <f>GDS_Monthly!V336</f>
        <v>116.89145103122642</v>
      </c>
      <c r="S219">
        <f>GDS_Monthly!W336</f>
        <v>107.02278794316925</v>
      </c>
      <c r="T219">
        <f>GDS_Monthly!X336</f>
        <v>128.72324522746189</v>
      </c>
      <c r="U219">
        <f>GDS_Monthly!AA336</f>
        <v>109.70901737217828</v>
      </c>
      <c r="V219">
        <f>GDS_Monthly!AC336</f>
        <v>126.00415149998044</v>
      </c>
      <c r="W219">
        <f>GDS_Monthly!AE336</f>
        <v>130.13372780786449</v>
      </c>
      <c r="X219">
        <f>GDS_Monthly!AF336</f>
        <v>111.52106643538532</v>
      </c>
      <c r="Y219">
        <f>OECD!B219</f>
        <v>100.24509999999999</v>
      </c>
      <c r="Z219">
        <f>OECD!C219</f>
        <v>116.77</v>
      </c>
      <c r="AA219">
        <f>'Monthly Haver'!K222</f>
        <v>116.22493</v>
      </c>
      <c r="AB219" s="10">
        <f>'Monthly Haver'!L222</f>
        <v>759</v>
      </c>
      <c r="AC219" s="8"/>
      <c r="AD219" s="8"/>
      <c r="AE219" s="8"/>
    </row>
    <row r="220" spans="1:32">
      <c r="A220" s="12">
        <v>42795</v>
      </c>
      <c r="B220">
        <f>'Monthly Haver'!C223</f>
        <v>53.623699999999999</v>
      </c>
      <c r="C220">
        <f>'Monthly Haver'!D223</f>
        <v>56.194200000000002</v>
      </c>
      <c r="D220">
        <f>'Monthly Haver'!E223</f>
        <v>52.156999999999996</v>
      </c>
      <c r="E220">
        <f>'Monthly Haver'!G223</f>
        <v>51.7485</v>
      </c>
      <c r="F220">
        <f>'Monthly Haver'!H223</f>
        <v>52.806600000000003</v>
      </c>
      <c r="G220">
        <f>'Monthly Haver'!I223</f>
        <v>49.174300000000002</v>
      </c>
      <c r="H220">
        <f>'Monthly Haver'!J223</f>
        <v>53.656500000000001</v>
      </c>
      <c r="I220">
        <f>GDS_Monthly!O337</f>
        <v>52.627461499048231</v>
      </c>
      <c r="J220">
        <f>GDS_Monthly!D337</f>
        <v>123.98469708769973</v>
      </c>
      <c r="K220">
        <f>GDS_Monthly!AH337</f>
        <v>1125.9108467000001</v>
      </c>
      <c r="L220">
        <f>GDS_Monthly!AI337</f>
        <v>1115.1933091000001</v>
      </c>
      <c r="M220">
        <f>GDS_Monthly!N337</f>
        <v>5.4785270909379662</v>
      </c>
      <c r="N220">
        <f>GDS_Monthly!C337</f>
        <v>111.66048837575983</v>
      </c>
      <c r="O220">
        <f>GDS_Monthly!F337</f>
        <v>2.3757480911291502</v>
      </c>
      <c r="P220">
        <f>GDS_Monthly!G337</f>
        <v>2.44126511102073</v>
      </c>
      <c r="Q220">
        <f>GDS_Monthly!T337</f>
        <v>117.52218931472405</v>
      </c>
      <c r="R220">
        <f>GDS_Monthly!V337</f>
        <v>117.05889665528527</v>
      </c>
      <c r="S220">
        <f>GDS_Monthly!W337</f>
        <v>103.43533644775873</v>
      </c>
      <c r="T220">
        <f>GDS_Monthly!X337</f>
        <v>127.21434467125029</v>
      </c>
      <c r="U220">
        <f>GDS_Monthly!AA337</f>
        <v>107.09928618675031</v>
      </c>
      <c r="V220">
        <f>GDS_Monthly!AC337</f>
        <v>116.32086556178676</v>
      </c>
      <c r="W220">
        <f>GDS_Monthly!AE337</f>
        <v>121.93844410981143</v>
      </c>
      <c r="X220">
        <f>GDS_Monthly!AF337</f>
        <v>107.77318825530148</v>
      </c>
      <c r="Y220">
        <f>OECD!B220</f>
        <v>100.2998</v>
      </c>
      <c r="Z220">
        <f>OECD!C220</f>
        <v>117.29</v>
      </c>
      <c r="AA220">
        <f>'Monthly Haver'!K223</f>
        <v>115.30238</v>
      </c>
      <c r="AB220" s="10">
        <f>'Monthly Haver'!L223</f>
        <v>1141</v>
      </c>
      <c r="AC220" s="8">
        <f>Quarterly!B74</f>
        <v>113.27</v>
      </c>
      <c r="AD220" s="8">
        <f>Quarterly!C74</f>
        <v>102.58</v>
      </c>
      <c r="AE220" s="8">
        <f>Quarterly!D74</f>
        <v>118.98983553186775</v>
      </c>
      <c r="AF220" s="8">
        <f>Quarterly!E74</f>
        <v>3.6282714028363028</v>
      </c>
    </row>
    <row r="221" spans="1:32">
      <c r="A221" s="12">
        <v>42826</v>
      </c>
      <c r="B221">
        <f>'Monthly Haver'!C224</f>
        <v>53.505899999999997</v>
      </c>
      <c r="C221">
        <f>'Monthly Haver'!D224</f>
        <v>56.116599999999998</v>
      </c>
      <c r="D221">
        <f>'Monthly Haver'!E224</f>
        <v>52.1646</v>
      </c>
      <c r="E221">
        <f>'Monthly Haver'!G224</f>
        <v>51.413800000000002</v>
      </c>
      <c r="F221">
        <f>'Monthly Haver'!H224</f>
        <v>52.576999999999998</v>
      </c>
      <c r="G221">
        <f>'Monthly Haver'!I224</f>
        <v>49.567</v>
      </c>
      <c r="H221">
        <f>'Monthly Haver'!J224</f>
        <v>53.697200000000002</v>
      </c>
      <c r="I221">
        <f>GDS_Monthly!O338</f>
        <v>52.569509202460388</v>
      </c>
      <c r="J221">
        <f>GDS_Monthly!D338</f>
        <v>124.17726403491535</v>
      </c>
      <c r="K221">
        <f>GDS_Monthly!AH338</f>
        <v>1102.4269767000001</v>
      </c>
      <c r="L221">
        <f>GDS_Monthly!AI338</f>
        <v>1096.1278941</v>
      </c>
      <c r="M221">
        <f>GDS_Monthly!N338</f>
        <v>5.4060695209850413</v>
      </c>
      <c r="N221">
        <f>GDS_Monthly!C338</f>
        <v>111.009750661613</v>
      </c>
      <c r="O221">
        <f>GDS_Monthly!F338</f>
        <v>2.2920552979001219</v>
      </c>
      <c r="P221">
        <f>GDS_Monthly!G338</f>
        <v>2.4168265996842875</v>
      </c>
      <c r="Q221">
        <f>GDS_Monthly!T338</f>
        <v>117.74378233182881</v>
      </c>
      <c r="R221">
        <f>GDS_Monthly!V338</f>
        <v>117.26012342732453</v>
      </c>
      <c r="S221">
        <f>GDS_Monthly!W338</f>
        <v>102.80470979601672</v>
      </c>
      <c r="T221">
        <f>GDS_Monthly!X338</f>
        <v>116.89217128901055</v>
      </c>
      <c r="U221">
        <f>GDS_Monthly!AA338</f>
        <v>105.14099778543797</v>
      </c>
      <c r="V221">
        <f>GDS_Monthly!AC338</f>
        <v>119.41713705986399</v>
      </c>
      <c r="W221">
        <f>GDS_Monthly!AE338</f>
        <v>124.52005075640672</v>
      </c>
      <c r="X221">
        <f>GDS_Monthly!AF338</f>
        <v>107.82553822017698</v>
      </c>
      <c r="Y221">
        <f>OECD!B221</f>
        <v>100.354</v>
      </c>
      <c r="Z221">
        <f>OECD!C221</f>
        <v>117.33</v>
      </c>
      <c r="AA221">
        <f>'Monthly Haver'!K224</f>
        <v>115.20014</v>
      </c>
      <c r="AB221" s="10">
        <f>'Monthly Haver'!L224</f>
        <v>1222</v>
      </c>
      <c r="AC221" s="8"/>
      <c r="AD221" s="8"/>
      <c r="AE221" s="8"/>
    </row>
    <row r="222" spans="1:32">
      <c r="A222" s="12">
        <v>42856</v>
      </c>
      <c r="B222">
        <f>'Monthly Haver'!C225</f>
        <v>53.901899999999998</v>
      </c>
      <c r="C222">
        <f>'Monthly Haver'!D225</f>
        <v>54.806199999999997</v>
      </c>
      <c r="D222">
        <f>'Monthly Haver'!E225</f>
        <v>51.9253</v>
      </c>
      <c r="E222">
        <f>'Monthly Haver'!G225</f>
        <v>51.954300000000003</v>
      </c>
      <c r="F222">
        <f>'Monthly Haver'!H225</f>
        <v>52.425199999999997</v>
      </c>
      <c r="G222">
        <f>'Monthly Haver'!I225</f>
        <v>49.701900000000002</v>
      </c>
      <c r="H222">
        <f>'Monthly Haver'!J225</f>
        <v>53.8521</v>
      </c>
      <c r="I222">
        <f>GDS_Monthly!O339</f>
        <v>54.456405862471449</v>
      </c>
      <c r="J222">
        <f>GDS_Monthly!D339</f>
        <v>124.75636572718895</v>
      </c>
      <c r="K222">
        <f>GDS_Monthly!AH339</f>
        <v>1135.4467867000001</v>
      </c>
      <c r="L222">
        <f>GDS_Monthly!AI339</f>
        <v>1115.7593141</v>
      </c>
      <c r="M222">
        <f>GDS_Monthly!N339</f>
        <v>5.4202409478177485</v>
      </c>
      <c r="N222">
        <f>GDS_Monthly!C339</f>
        <v>110.67472060198446</v>
      </c>
      <c r="O222">
        <f>GDS_Monthly!F339</f>
        <v>2.2782759734758677</v>
      </c>
      <c r="P222">
        <f>GDS_Monthly!G339</f>
        <v>2.4098445697116713</v>
      </c>
      <c r="Q222">
        <f>GDS_Monthly!T339</f>
        <v>117.82791262432252</v>
      </c>
      <c r="R222">
        <f>GDS_Monthly!V339</f>
        <v>117.45543665521261</v>
      </c>
      <c r="S222">
        <f>GDS_Monthly!W339</f>
        <v>105.2184556262368</v>
      </c>
      <c r="T222">
        <f>GDS_Monthly!X339</f>
        <v>111.66543300852901</v>
      </c>
      <c r="U222">
        <f>GDS_Monthly!AA339</f>
        <v>104.6216831073836</v>
      </c>
      <c r="V222">
        <f>GDS_Monthly!AC339</f>
        <v>114.93747017465044</v>
      </c>
      <c r="W222">
        <f>GDS_Monthly!AE339</f>
        <v>117.83550401067687</v>
      </c>
      <c r="X222">
        <f>GDS_Monthly!AF339</f>
        <v>107.95206233526704</v>
      </c>
      <c r="Y222">
        <f>OECD!B222</f>
        <v>100.4141</v>
      </c>
      <c r="Z222">
        <f>OECD!C222</f>
        <v>117.48</v>
      </c>
      <c r="AA222">
        <f>'Monthly Haver'!K225</f>
        <v>115.02882</v>
      </c>
      <c r="AB222" s="10">
        <f>'Monthly Haver'!L225</f>
        <v>973</v>
      </c>
      <c r="AC222" s="8"/>
      <c r="AD222" s="8"/>
      <c r="AE222" s="8"/>
    </row>
    <row r="223" spans="1:32">
      <c r="A223" s="12">
        <v>42887</v>
      </c>
      <c r="B223">
        <f>'Monthly Haver'!C226</f>
        <v>54.063800000000001</v>
      </c>
      <c r="C223">
        <f>'Monthly Haver'!D226</f>
        <v>54.752099999999999</v>
      </c>
      <c r="D223">
        <f>'Monthly Haver'!E226</f>
        <v>52.1877</v>
      </c>
      <c r="E223">
        <f>'Monthly Haver'!G226</f>
        <v>52.098100000000002</v>
      </c>
      <c r="F223">
        <f>'Monthly Haver'!H226</f>
        <v>52.436799999999998</v>
      </c>
      <c r="G223">
        <f>'Monthly Haver'!I226</f>
        <v>49.670099999999998</v>
      </c>
      <c r="H223">
        <f>'Monthly Haver'!J226</f>
        <v>53.783700000000003</v>
      </c>
      <c r="I223">
        <f>GDS_Monthly!O340</f>
        <v>54.839722823614153</v>
      </c>
      <c r="J223">
        <f>GDS_Monthly!D340</f>
        <v>125.12084149171656</v>
      </c>
      <c r="K223">
        <f>GDS_Monthly!AH340</f>
        <v>1140.2873156999999</v>
      </c>
      <c r="L223">
        <f>GDS_Monthly!AI340</f>
        <v>1126.2636591</v>
      </c>
      <c r="M223">
        <f>GDS_Monthly!N340</f>
        <v>5.3779559223305107</v>
      </c>
      <c r="N223">
        <f>GDS_Monthly!C340</f>
        <v>110.68212992592471</v>
      </c>
      <c r="O223">
        <f>GDS_Monthly!F340</f>
        <v>2.1099422392917631</v>
      </c>
      <c r="P223">
        <f>GDS_Monthly!G340</f>
        <v>2.4447164232193668</v>
      </c>
      <c r="Q223">
        <f>GDS_Monthly!T340</f>
        <v>117.9484528354343</v>
      </c>
      <c r="R223">
        <f>GDS_Monthly!V340</f>
        <v>117.65488494067304</v>
      </c>
      <c r="S223">
        <f>GDS_Monthly!W340</f>
        <v>104.5174124848143</v>
      </c>
      <c r="T223">
        <f>GDS_Monthly!X340</f>
        <v>109.86004533234309</v>
      </c>
      <c r="U223">
        <f>GDS_Monthly!AA340</f>
        <v>103.84662085431445</v>
      </c>
      <c r="V223">
        <f>GDS_Monthly!AC340</f>
        <v>108.24398577103489</v>
      </c>
      <c r="W223">
        <f>GDS_Monthly!AE340</f>
        <v>108.20895451019361</v>
      </c>
      <c r="X223">
        <f>GDS_Monthly!AF340</f>
        <v>103.24935080200309</v>
      </c>
      <c r="Y223">
        <f>OECD!B223</f>
        <v>100.4808</v>
      </c>
      <c r="Z223">
        <f>OECD!C223</f>
        <v>117.46</v>
      </c>
      <c r="AA223">
        <f>'Monthly Haver'!K226</f>
        <v>114.73954999999999</v>
      </c>
      <c r="AB223" s="10">
        <f>'Monthly Haver'!L226</f>
        <v>860</v>
      </c>
      <c r="AC223" s="8">
        <f>Quarterly!B75</f>
        <v>113.83</v>
      </c>
      <c r="AD223" s="8">
        <f>Quarterly!C75</f>
        <v>104.16</v>
      </c>
      <c r="AE223" s="8">
        <f>Quarterly!D75</f>
        <v>119.98593590894231</v>
      </c>
      <c r="AF223" s="8">
        <f>Quarterly!E75</f>
        <v>4.3837468733485263</v>
      </c>
    </row>
    <row r="224" spans="1:32">
      <c r="A224" s="12">
        <v>42917</v>
      </c>
      <c r="B224">
        <f>'Monthly Haver'!C227</f>
        <v>54.201500000000003</v>
      </c>
      <c r="C224">
        <f>'Monthly Haver'!D227</f>
        <v>54.773800000000001</v>
      </c>
      <c r="D224">
        <f>'Monthly Haver'!E227</f>
        <v>51.999600000000001</v>
      </c>
      <c r="E224">
        <f>'Monthly Haver'!G227</f>
        <v>52.3416</v>
      </c>
      <c r="F224">
        <f>'Monthly Haver'!H227</f>
        <v>52.582799999999999</v>
      </c>
      <c r="G224">
        <f>'Monthly Haver'!I227</f>
        <v>49.4163</v>
      </c>
      <c r="H224">
        <f>'Monthly Haver'!J227</f>
        <v>53.644399999999997</v>
      </c>
      <c r="I224">
        <f>GDS_Monthly!O341</f>
        <v>55.252465091019729</v>
      </c>
      <c r="J224">
        <f>GDS_Monthly!D341</f>
        <v>125.3170758301162</v>
      </c>
      <c r="K224">
        <f>GDS_Monthly!AH341</f>
        <v>1132.6324967</v>
      </c>
      <c r="L224">
        <f>GDS_Monthly!AI341</f>
        <v>1116.8989051000001</v>
      </c>
      <c r="M224">
        <f>GDS_Monthly!N341</f>
        <v>5.3733268395869072</v>
      </c>
      <c r="N224">
        <f>GDS_Monthly!C341</f>
        <v>111.64468206942303</v>
      </c>
      <c r="O224">
        <f>GDS_Monthly!F341</f>
        <v>2.3114130261555195</v>
      </c>
      <c r="P224">
        <f>GDS_Monthly!G341</f>
        <v>2.4188906824758858</v>
      </c>
      <c r="Q224">
        <f>GDS_Monthly!T341</f>
        <v>118.11120824694932</v>
      </c>
      <c r="R224">
        <f>GDS_Monthly!V341</f>
        <v>117.85938620602496</v>
      </c>
      <c r="S224">
        <f>GDS_Monthly!W341</f>
        <v>106.86400798733676</v>
      </c>
      <c r="T224">
        <f>GDS_Monthly!X341</f>
        <v>117.18691473769763</v>
      </c>
      <c r="U224">
        <f>GDS_Monthly!AA341</f>
        <v>106.02328473228677</v>
      </c>
      <c r="V224">
        <f>GDS_Monthly!AC341</f>
        <v>112.0388183851602</v>
      </c>
      <c r="W224">
        <f>GDS_Monthly!AE341</f>
        <v>110.8338762981204</v>
      </c>
      <c r="X224">
        <f>GDS_Monthly!AF341</f>
        <v>102.59224262707602</v>
      </c>
      <c r="Y224">
        <f>OECD!B224</f>
        <v>100.5501</v>
      </c>
      <c r="Z224">
        <f>OECD!C224</f>
        <v>117.78</v>
      </c>
      <c r="AA224">
        <f>'Monthly Haver'!K227</f>
        <v>113.12188999999999</v>
      </c>
      <c r="AB224" s="10">
        <f>'Monthly Haver'!L227</f>
        <v>906</v>
      </c>
      <c r="AC224" s="8"/>
      <c r="AD224" s="8"/>
      <c r="AE224" s="8"/>
    </row>
    <row r="225" spans="1:32">
      <c r="A225" s="12">
        <v>42948</v>
      </c>
      <c r="B225">
        <f>'Monthly Haver'!C228</f>
        <v>54.547199999999997</v>
      </c>
      <c r="C225">
        <f>'Monthly Haver'!D228</f>
        <v>55.616500000000002</v>
      </c>
      <c r="D225">
        <f>'Monthly Haver'!E228</f>
        <v>52.777299999999997</v>
      </c>
      <c r="E225">
        <f>'Monthly Haver'!G228</f>
        <v>52.529499999999999</v>
      </c>
      <c r="F225">
        <f>'Monthly Haver'!H228</f>
        <v>53.049399999999999</v>
      </c>
      <c r="G225">
        <f>'Monthly Haver'!I228</f>
        <v>48.982599999999998</v>
      </c>
      <c r="H225">
        <f>'Monthly Haver'!J228</f>
        <v>54.020899999999997</v>
      </c>
      <c r="I225">
        <f>GDS_Monthly!O342</f>
        <v>55.58842084186022</v>
      </c>
      <c r="J225">
        <f>GDS_Monthly!D342</f>
        <v>126.44226278064548</v>
      </c>
      <c r="K225">
        <f>GDS_Monthly!AH342</f>
        <v>1165.3975127000001</v>
      </c>
      <c r="L225">
        <f>GDS_Monthly!AI342</f>
        <v>1153.3087951</v>
      </c>
      <c r="M225">
        <f>GDS_Monthly!N342</f>
        <v>5.3550179716489623</v>
      </c>
      <c r="N225">
        <f>GDS_Monthly!C342</f>
        <v>111.64617552362384</v>
      </c>
      <c r="O225">
        <f>GDS_Monthly!F342</f>
        <v>2.2292931297742409</v>
      </c>
      <c r="P225">
        <f>GDS_Monthly!G342</f>
        <v>2.4075060147519296</v>
      </c>
      <c r="Q225">
        <f>GDS_Monthly!T342</f>
        <v>118.43162867922248</v>
      </c>
      <c r="R225">
        <f>GDS_Monthly!V342</f>
        <v>118.07391553344517</v>
      </c>
      <c r="S225">
        <f>GDS_Monthly!W342</f>
        <v>102.08084936005673</v>
      </c>
      <c r="T225">
        <f>GDS_Monthly!X342</f>
        <v>127.01562782119035</v>
      </c>
      <c r="U225">
        <f>GDS_Monthly!AA342</f>
        <v>106.59164039331219</v>
      </c>
      <c r="V225">
        <f>GDS_Monthly!AC342</f>
        <v>118.28756164305609</v>
      </c>
      <c r="W225">
        <f>GDS_Monthly!AE342</f>
        <v>114.85279184808849</v>
      </c>
      <c r="X225">
        <f>GDS_Monthly!AF342</f>
        <v>102.76680908299606</v>
      </c>
      <c r="Y225">
        <f>OECD!B225</f>
        <v>100.62139999999999</v>
      </c>
      <c r="Z225">
        <f>OECD!C225</f>
        <v>117.88</v>
      </c>
      <c r="AA225">
        <f>'Monthly Haver'!K228</f>
        <v>111.75108</v>
      </c>
      <c r="AB225" s="10">
        <f>'Monthly Haver'!L228</f>
        <v>1142</v>
      </c>
      <c r="AC225" s="8"/>
      <c r="AD225" s="8"/>
      <c r="AE225" s="8"/>
    </row>
    <row r="226" spans="1:32">
      <c r="A226" s="12">
        <v>42979</v>
      </c>
      <c r="B226">
        <f>'Monthly Haver'!C229</f>
        <v>54.306100000000001</v>
      </c>
      <c r="C226">
        <f>'Monthly Haver'!D229</f>
        <v>57.078099999999999</v>
      </c>
      <c r="D226">
        <f>'Monthly Haver'!E229</f>
        <v>52.057600000000001</v>
      </c>
      <c r="E226">
        <f>'Monthly Haver'!G229</f>
        <v>52.402799999999999</v>
      </c>
      <c r="F226">
        <f>'Monthly Haver'!H229</f>
        <v>53.097499999999997</v>
      </c>
      <c r="G226">
        <f>'Monthly Haver'!I229</f>
        <v>48.980899999999998</v>
      </c>
      <c r="H226">
        <f>'Monthly Haver'!J229</f>
        <v>53.791600000000003</v>
      </c>
      <c r="I226">
        <f>GDS_Monthly!O343</f>
        <v>56.153342354942779</v>
      </c>
      <c r="J226">
        <f>GDS_Monthly!D343</f>
        <v>126.5692776916209</v>
      </c>
      <c r="K226">
        <f>GDS_Monthly!AH343</f>
        <v>1175.5235757</v>
      </c>
      <c r="L226">
        <f>GDS_Monthly!AI343</f>
        <v>1165.8659381</v>
      </c>
      <c r="M226">
        <f>GDS_Monthly!N343</f>
        <v>5.3271029142699691</v>
      </c>
      <c r="N226">
        <f>GDS_Monthly!C343</f>
        <v>112.09132321905565</v>
      </c>
      <c r="O226">
        <f>GDS_Monthly!F343</f>
        <v>2.2553882485467773</v>
      </c>
      <c r="P226">
        <f>GDS_Monthly!G343</f>
        <v>2.3681637762610221</v>
      </c>
      <c r="Q226">
        <f>GDS_Monthly!T343</f>
        <v>118.73315762514932</v>
      </c>
      <c r="R226">
        <f>GDS_Monthly!V343</f>
        <v>118.27873269884867</v>
      </c>
      <c r="S226">
        <f>GDS_Monthly!W343</f>
        <v>100.84922316811497</v>
      </c>
      <c r="T226">
        <f>GDS_Monthly!X343</f>
        <v>126.10273634640276</v>
      </c>
      <c r="U226">
        <f>GDS_Monthly!AA343</f>
        <v>106.50764285167254</v>
      </c>
      <c r="V226">
        <f>GDS_Monthly!AC343</f>
        <v>126.22738689536985</v>
      </c>
      <c r="W226">
        <f>GDS_Monthly!AE343</f>
        <v>120.90013226054998</v>
      </c>
      <c r="X226">
        <f>GDS_Monthly!AF343</f>
        <v>102.86293658643682</v>
      </c>
      <c r="Y226">
        <f>OECD!B226</f>
        <v>100.68429999999999</v>
      </c>
      <c r="Z226">
        <f>OECD!C226</f>
        <v>117.88</v>
      </c>
      <c r="AA226">
        <f>'Monthly Haver'!K229</f>
        <v>110.54371999999999</v>
      </c>
      <c r="AB226" s="10">
        <f>'Monthly Haver'!L229</f>
        <v>1364</v>
      </c>
      <c r="AC226" s="8">
        <f>Quarterly!B76</f>
        <v>114.39</v>
      </c>
      <c r="AD226" s="8">
        <f>Quarterly!C76</f>
        <v>104.72</v>
      </c>
      <c r="AE226" s="8">
        <f>Quarterly!D76</f>
        <v>121.12554150096773</v>
      </c>
      <c r="AF226" s="8">
        <f>Quarterly!E76</f>
        <v>4.7809555837545981</v>
      </c>
    </row>
    <row r="227" spans="1:32">
      <c r="A227" s="12">
        <v>43009</v>
      </c>
      <c r="B227">
        <f>'Monthly Haver'!C230</f>
        <v>54.048900000000003</v>
      </c>
      <c r="C227">
        <f>'Monthly Haver'!D230</f>
        <v>56.6158</v>
      </c>
      <c r="D227">
        <f>'Monthly Haver'!E230</f>
        <v>52.244900000000001</v>
      </c>
      <c r="E227">
        <f>'Monthly Haver'!G230</f>
        <v>52.540300000000002</v>
      </c>
      <c r="F227">
        <f>'Monthly Haver'!H230</f>
        <v>53.287100000000002</v>
      </c>
      <c r="G227">
        <f>'Monthly Haver'!I230</f>
        <v>49.271700000000003</v>
      </c>
      <c r="H227">
        <f>'Monthly Haver'!J230</f>
        <v>54.076300000000003</v>
      </c>
      <c r="I227">
        <f>GDS_Monthly!O344</f>
        <v>55.944709870204576</v>
      </c>
      <c r="J227">
        <f>GDS_Monthly!D344</f>
        <v>126.79304727124399</v>
      </c>
      <c r="K227">
        <f>GDS_Monthly!AH344</f>
        <v>1175.3503416999999</v>
      </c>
      <c r="L227">
        <f>GDS_Monthly!AI344</f>
        <v>1146.2598270999999</v>
      </c>
      <c r="M227">
        <f>GDS_Monthly!N344</f>
        <v>5.2784503558426481</v>
      </c>
      <c r="N227">
        <f>GDS_Monthly!C344</f>
        <v>113.70149486736783</v>
      </c>
      <c r="O227">
        <f>GDS_Monthly!F344</f>
        <v>2.3054006580737569</v>
      </c>
      <c r="P227">
        <f>GDS_Monthly!G344</f>
        <v>2.3457331515358213</v>
      </c>
      <c r="Q227">
        <f>GDS_Monthly!T344</f>
        <v>118.88785626641281</v>
      </c>
      <c r="R227">
        <f>GDS_Monthly!V344</f>
        <v>118.44794961551762</v>
      </c>
      <c r="S227">
        <f>GDS_Monthly!W344</f>
        <v>101.65215499046518</v>
      </c>
      <c r="T227">
        <f>GDS_Monthly!X344</f>
        <v>124.23350854481622</v>
      </c>
      <c r="U227">
        <f>GDS_Monthly!AA344</f>
        <v>105.91542153854203</v>
      </c>
      <c r="V227">
        <f>GDS_Monthly!AC344</f>
        <v>130.79862854661053</v>
      </c>
      <c r="W227">
        <f>GDS_Monthly!AE344</f>
        <v>126.42578520801798</v>
      </c>
      <c r="X227">
        <f>GDS_Monthly!AF344</f>
        <v>100.69767408396871</v>
      </c>
      <c r="Y227">
        <f>OECD!B227</f>
        <v>100.73390000000001</v>
      </c>
      <c r="Z227">
        <f>OECD!C227</f>
        <v>119.31</v>
      </c>
      <c r="AA227">
        <f>'Monthly Haver'!K230</f>
        <v>112.14972</v>
      </c>
      <c r="AB227" s="10">
        <f>'Monthly Haver'!L230</f>
        <v>1484</v>
      </c>
      <c r="AC227" s="8"/>
      <c r="AD227" s="8"/>
      <c r="AE227" s="8"/>
    </row>
    <row r="228" spans="1:32">
      <c r="A228" s="12">
        <v>43040</v>
      </c>
      <c r="B228">
        <f>'Monthly Haver'!C231</f>
        <v>54.5944</v>
      </c>
      <c r="C228">
        <f>'Monthly Haver'!D231</f>
        <v>57.338099999999997</v>
      </c>
      <c r="D228">
        <f>'Monthly Haver'!E231</f>
        <v>53.005000000000003</v>
      </c>
      <c r="E228">
        <f>'Monthly Haver'!G231</f>
        <v>52.634399999999999</v>
      </c>
      <c r="F228">
        <f>'Monthly Haver'!H231</f>
        <v>53.7791</v>
      </c>
      <c r="G228">
        <f>'Monthly Haver'!I231</f>
        <v>49.591099999999997</v>
      </c>
      <c r="H228">
        <f>'Monthly Haver'!J231</f>
        <v>53.702500000000001</v>
      </c>
      <c r="I228">
        <f>GDS_Monthly!O345</f>
        <v>66.418482273786424</v>
      </c>
      <c r="J228">
        <f>GDS_Monthly!D345</f>
        <v>128.2382396695657</v>
      </c>
      <c r="K228">
        <f>GDS_Monthly!AH345</f>
        <v>1221.3375837000001</v>
      </c>
      <c r="L228">
        <f>GDS_Monthly!AI345</f>
        <v>1194.2624181000001</v>
      </c>
      <c r="M228">
        <f>GDS_Monthly!N345</f>
        <v>5.2736972589709081</v>
      </c>
      <c r="N228">
        <f>GDS_Monthly!C345</f>
        <v>113.90126018254537</v>
      </c>
      <c r="O228">
        <f>GDS_Monthly!F345</f>
        <v>2.3531035581330069</v>
      </c>
      <c r="P228">
        <f>GDS_Monthly!G345</f>
        <v>2.3756471065124853</v>
      </c>
      <c r="Q228">
        <f>GDS_Monthly!T345</f>
        <v>119.28011489149675</v>
      </c>
      <c r="R228">
        <f>GDS_Monthly!V345</f>
        <v>118.67650342369393</v>
      </c>
      <c r="S228">
        <f>GDS_Monthly!W345</f>
        <v>102.29060043898986</v>
      </c>
      <c r="T228">
        <f>GDS_Monthly!X345</f>
        <v>125.77287629150582</v>
      </c>
      <c r="U228">
        <f>GDS_Monthly!AA345</f>
        <v>106.5297532940393</v>
      </c>
      <c r="V228">
        <f>GDS_Monthly!AC345</f>
        <v>141.56237619991745</v>
      </c>
      <c r="W228">
        <f>GDS_Monthly!AE345</f>
        <v>138.15443056847568</v>
      </c>
      <c r="X228">
        <f>GDS_Monthly!AF345</f>
        <v>101.79668493039823</v>
      </c>
      <c r="Y228">
        <f>OECD!B228</f>
        <v>100.76479999999999</v>
      </c>
      <c r="Z228">
        <f>OECD!C228</f>
        <v>119.63</v>
      </c>
      <c r="AA228">
        <f>'Monthly Haver'!K231</f>
        <v>112.28270999999999</v>
      </c>
      <c r="AB228" s="10">
        <f>'Monthly Haver'!L231</f>
        <v>1454</v>
      </c>
      <c r="AC228" s="8"/>
      <c r="AD228" s="8"/>
      <c r="AE228" s="8"/>
    </row>
    <row r="229" spans="1:32">
      <c r="A229" s="12">
        <v>43070</v>
      </c>
      <c r="B229">
        <f>'Monthly Haver'!C232</f>
        <v>54.756599999999999</v>
      </c>
      <c r="C229">
        <f>'Monthly Haver'!D232</f>
        <v>56.965800000000002</v>
      </c>
      <c r="D229">
        <f>'Monthly Haver'!E232</f>
        <v>53.271700000000003</v>
      </c>
      <c r="E229">
        <f>'Monthly Haver'!G232</f>
        <v>52.792000000000002</v>
      </c>
      <c r="F229">
        <f>'Monthly Haver'!H232</f>
        <v>54.263199999999998</v>
      </c>
      <c r="G229">
        <f>'Monthly Haver'!I232</f>
        <v>49.064900000000002</v>
      </c>
      <c r="H229">
        <f>'Monthly Haver'!J232</f>
        <v>53.847900000000003</v>
      </c>
      <c r="I229">
        <f>GDS_Monthly!O346</f>
        <v>66.996760112959791</v>
      </c>
      <c r="J229">
        <f>GDS_Monthly!D346</f>
        <v>128.992932006448</v>
      </c>
      <c r="K229">
        <f>GDS_Monthly!AH346</f>
        <v>1234.9466457000001</v>
      </c>
      <c r="L229">
        <f>GDS_Monthly!AI346</f>
        <v>1210.5316720999999</v>
      </c>
      <c r="M229">
        <f>GDS_Monthly!N346</f>
        <v>5.2338106523358316</v>
      </c>
      <c r="N229">
        <f>GDS_Monthly!C346</f>
        <v>113.13552773950454</v>
      </c>
      <c r="O229">
        <f>GDS_Monthly!F346</f>
        <v>2.3622603289066952</v>
      </c>
      <c r="P229">
        <f>GDS_Monthly!G346</f>
        <v>2.4243603220198797</v>
      </c>
      <c r="Q229">
        <f>GDS_Monthly!T346</f>
        <v>119.57746560521497</v>
      </c>
      <c r="R229">
        <f>GDS_Monthly!V346</f>
        <v>118.9184659063546</v>
      </c>
      <c r="S229">
        <f>GDS_Monthly!W346</f>
        <v>102.2817265025389</v>
      </c>
      <c r="T229">
        <f>GDS_Monthly!X346</f>
        <v>130.22904947273202</v>
      </c>
      <c r="U229">
        <f>GDS_Monthly!AA346</f>
        <v>107.1360864623534</v>
      </c>
      <c r="V229">
        <f>GDS_Monthly!AC346</f>
        <v>144.91449093229207</v>
      </c>
      <c r="W229">
        <f>GDS_Monthly!AE346</f>
        <v>140.33619885701941</v>
      </c>
      <c r="X229">
        <f>GDS_Monthly!AF346</f>
        <v>104.1630012820321</v>
      </c>
      <c r="Y229">
        <f>OECD!B229</f>
        <v>100.7754</v>
      </c>
      <c r="Z229">
        <f>OECD!C229</f>
        <v>120.37</v>
      </c>
      <c r="AA229">
        <f>'Monthly Haver'!K232</f>
        <v>111.53635</v>
      </c>
      <c r="AB229" s="10">
        <f>'Monthly Haver'!L232</f>
        <v>1619</v>
      </c>
      <c r="AC229" s="8">
        <f>Quarterly!B77</f>
        <v>115.03</v>
      </c>
      <c r="AD229" s="8">
        <f>Quarterly!C77</f>
        <v>104.95</v>
      </c>
      <c r="AE229" s="8">
        <f>Quarterly!D77</f>
        <v>122.19594596366825</v>
      </c>
      <c r="AF229" s="8">
        <f>Quarterly!E77</f>
        <v>4.3335544120641556</v>
      </c>
    </row>
    <row r="230" spans="1:32">
      <c r="A230" s="12">
        <v>43101</v>
      </c>
      <c r="B230">
        <f>'Monthly Haver'!C233</f>
        <v>55.066400000000002</v>
      </c>
      <c r="C230">
        <f>'Monthly Haver'!D233</f>
        <v>57.570900000000002</v>
      </c>
      <c r="D230">
        <f>'Monthly Haver'!E233</f>
        <v>53.2879</v>
      </c>
      <c r="E230">
        <f>'Monthly Haver'!G233</f>
        <v>52.801900000000003</v>
      </c>
      <c r="F230">
        <f>'Monthly Haver'!H233</f>
        <v>54.156700000000001</v>
      </c>
      <c r="G230">
        <f>'Monthly Haver'!I233</f>
        <v>49.586100000000002</v>
      </c>
      <c r="H230">
        <f>'Monthly Haver'!J233</f>
        <v>54.203800000000001</v>
      </c>
      <c r="I230">
        <f>GDS_Monthly!O347</f>
        <v>66.557545496285428</v>
      </c>
      <c r="J230">
        <f>GDS_Monthly!D347</f>
        <v>128.84019505454739</v>
      </c>
      <c r="K230">
        <f>GDS_Monthly!AH347</f>
        <v>1269.7887357</v>
      </c>
      <c r="L230">
        <f>GDS_Monthly!AI347</f>
        <v>1224.6154931000001</v>
      </c>
      <c r="M230">
        <f>GDS_Monthly!N347</f>
        <v>5.2181829898344239</v>
      </c>
      <c r="N230">
        <f>GDS_Monthly!C347</f>
        <v>113.97661260176686</v>
      </c>
      <c r="O230">
        <f>GDS_Monthly!F347</f>
        <v>2.4175878161226154</v>
      </c>
      <c r="P230">
        <f>GDS_Monthly!G347</f>
        <v>2.434888858993733</v>
      </c>
      <c r="Q230">
        <f>GDS_Monthly!T347</f>
        <v>119.95463641855272</v>
      </c>
      <c r="R230">
        <f>GDS_Monthly!V347</f>
        <v>119.13116651999161</v>
      </c>
      <c r="S230">
        <f>GDS_Monthly!W347</f>
        <v>105.81764855552785</v>
      </c>
      <c r="T230">
        <f>GDS_Monthly!X347</f>
        <v>136.61150821375409</v>
      </c>
      <c r="U230">
        <f>GDS_Monthly!AA347</f>
        <v>111.6636784564692</v>
      </c>
      <c r="V230">
        <f>GDS_Monthly!AC347</f>
        <v>156.13208576856292</v>
      </c>
      <c r="W230">
        <f>GDS_Monthly!AE347</f>
        <v>149.21765589818671</v>
      </c>
      <c r="X230">
        <f>GDS_Monthly!AF347</f>
        <v>109.77127671396141</v>
      </c>
      <c r="Y230">
        <f>OECD!B230</f>
        <v>100.76860000000001</v>
      </c>
      <c r="Z230">
        <f>OECD!C230</f>
        <v>121.73</v>
      </c>
      <c r="AA230">
        <f>'Monthly Haver'!K233</f>
        <v>108.9807</v>
      </c>
      <c r="AB230" s="10">
        <f>'Monthly Haver'!L233</f>
        <v>1242</v>
      </c>
      <c r="AC230" s="8"/>
      <c r="AD230" s="8"/>
      <c r="AE230" s="8"/>
    </row>
    <row r="231" spans="1:32">
      <c r="A231" s="12">
        <v>43132</v>
      </c>
      <c r="B231">
        <f>'Monthly Haver'!C234</f>
        <v>55.298299999999998</v>
      </c>
      <c r="C231">
        <f>'Monthly Haver'!D234</f>
        <v>57.496299999999998</v>
      </c>
      <c r="D231">
        <f>'Monthly Haver'!E234</f>
        <v>52.732999999999997</v>
      </c>
      <c r="E231">
        <f>'Monthly Haver'!G234</f>
        <v>52.883200000000002</v>
      </c>
      <c r="F231">
        <f>'Monthly Haver'!H234</f>
        <v>53.923499999999997</v>
      </c>
      <c r="G231">
        <f>'Monthly Haver'!I234</f>
        <v>50.361699999999999</v>
      </c>
      <c r="H231">
        <f>'Monthly Haver'!J234</f>
        <v>54.813299999999998</v>
      </c>
      <c r="I231">
        <f>GDS_Monthly!O348</f>
        <v>66.56724925172422</v>
      </c>
      <c r="J231">
        <f>GDS_Monthly!D348</f>
        <v>129.03415090690868</v>
      </c>
      <c r="K231">
        <f>GDS_Monthly!AH348</f>
        <v>1280.2489547</v>
      </c>
      <c r="L231">
        <f>GDS_Monthly!AI348</f>
        <v>1253.5151401000001</v>
      </c>
      <c r="M231">
        <f>GDS_Monthly!N348</f>
        <v>5.2060227716779481</v>
      </c>
      <c r="N231">
        <f>GDS_Monthly!C348</f>
        <v>115.05977763547132</v>
      </c>
      <c r="O231">
        <f>GDS_Monthly!F348</f>
        <v>2.6609474579430445</v>
      </c>
      <c r="P231">
        <f>GDS_Monthly!G348</f>
        <v>2.4220119959386848</v>
      </c>
      <c r="Q231">
        <f>GDS_Monthly!T348</f>
        <v>120.16684619595088</v>
      </c>
      <c r="R231">
        <f>GDS_Monthly!V348</f>
        <v>119.38522678807331</v>
      </c>
      <c r="S231">
        <f>GDS_Monthly!W348</f>
        <v>105.89334425494337</v>
      </c>
      <c r="T231">
        <f>GDS_Monthly!X348</f>
        <v>137.61906552022822</v>
      </c>
      <c r="U231">
        <f>GDS_Monthly!AA348</f>
        <v>112.01644573400873</v>
      </c>
      <c r="V231">
        <f>GDS_Monthly!AC348</f>
        <v>148.23869328013834</v>
      </c>
      <c r="W231">
        <f>GDS_Monthly!AE348</f>
        <v>141.80523389164009</v>
      </c>
      <c r="X231">
        <f>GDS_Monthly!AF348</f>
        <v>110.35302939193006</v>
      </c>
      <c r="Y231">
        <f>OECD!B231</f>
        <v>100.744</v>
      </c>
      <c r="Z231">
        <f>OECD!C231</f>
        <v>121.82</v>
      </c>
      <c r="AA231">
        <f>'Monthly Haver'!K234</f>
        <v>109.01333</v>
      </c>
      <c r="AB231" s="10">
        <f>'Monthly Haver'!L234</f>
        <v>1125</v>
      </c>
      <c r="AC231" s="8"/>
      <c r="AD231" s="8"/>
      <c r="AE231" s="8"/>
    </row>
    <row r="232" spans="1:32">
      <c r="A232" s="12">
        <v>43160</v>
      </c>
      <c r="B232">
        <f>'Monthly Haver'!C235</f>
        <v>54.091700000000003</v>
      </c>
      <c r="C232">
        <f>'Monthly Haver'!D235</f>
        <v>56.3887</v>
      </c>
      <c r="D232">
        <f>'Monthly Haver'!E235</f>
        <v>51.641800000000003</v>
      </c>
      <c r="E232">
        <f>'Monthly Haver'!G235</f>
        <v>52.671599999999998</v>
      </c>
      <c r="F232">
        <f>'Monthly Haver'!H235</f>
        <v>53.1419</v>
      </c>
      <c r="G232">
        <f>'Monthly Haver'!I235</f>
        <v>49.684800000000003</v>
      </c>
      <c r="H232">
        <f>'Monthly Haver'!J235</f>
        <v>53.213200000000001</v>
      </c>
      <c r="I232">
        <f>GDS_Monthly!O349</f>
        <v>66.639686745880525</v>
      </c>
      <c r="J232">
        <f>GDS_Monthly!D349</f>
        <v>129.38188732268711</v>
      </c>
      <c r="K232">
        <f>GDS_Monthly!AH349</f>
        <v>1274.3290717</v>
      </c>
      <c r="L232">
        <f>GDS_Monthly!AI349</f>
        <v>1239.6688400999999</v>
      </c>
      <c r="M232">
        <f>GDS_Monthly!N349</f>
        <v>5.1913001252058066</v>
      </c>
      <c r="N232">
        <f>GDS_Monthly!C349</f>
        <v>114.62883838965716</v>
      </c>
      <c r="O232">
        <f>GDS_Monthly!F349</f>
        <v>2.589119651590305</v>
      </c>
      <c r="P232">
        <f>GDS_Monthly!G349</f>
        <v>2.4765709401841707</v>
      </c>
      <c r="Q232">
        <f>GDS_Monthly!T349</f>
        <v>120.20752205376672</v>
      </c>
      <c r="R232">
        <f>GDS_Monthly!V349</f>
        <v>119.56455723966992</v>
      </c>
      <c r="S232">
        <f>GDS_Monthly!W349</f>
        <v>106.90542239454022</v>
      </c>
      <c r="T232">
        <f>GDS_Monthly!X349</f>
        <v>132.46644058924042</v>
      </c>
      <c r="U232">
        <f>GDS_Monthly!AA349</f>
        <v>111.42711537578381</v>
      </c>
      <c r="V232">
        <f>GDS_Monthly!AC349</f>
        <v>147.97158536221465</v>
      </c>
      <c r="W232">
        <f>GDS_Monthly!AE349</f>
        <v>143.343643107487</v>
      </c>
      <c r="X232">
        <f>GDS_Monthly!AF349</f>
        <v>110.59138830262094</v>
      </c>
      <c r="Y232">
        <f>OECD!B232</f>
        <v>100.69199999999999</v>
      </c>
      <c r="Z232">
        <f>OECD!C232</f>
        <v>121.99</v>
      </c>
      <c r="AA232">
        <f>'Monthly Haver'!K235</f>
        <v>108.83337</v>
      </c>
      <c r="AB232" s="10">
        <f>'Monthly Haver'!L235</f>
        <v>1154</v>
      </c>
      <c r="AC232" s="8">
        <f>Quarterly!B78</f>
        <v>115.89</v>
      </c>
      <c r="AD232" s="8">
        <f>Quarterly!C78</f>
        <v>105.39</v>
      </c>
      <c r="AE232" s="8">
        <f>Quarterly!D78</f>
        <v>123.06975953748869</v>
      </c>
      <c r="AF232" s="8">
        <f>Quarterly!E78</f>
        <v>3.4500096047045625</v>
      </c>
    </row>
    <row r="233" spans="1:32">
      <c r="A233" s="12">
        <v>43191</v>
      </c>
      <c r="B233">
        <f>'Monthly Haver'!C236</f>
        <v>54.901200000000003</v>
      </c>
      <c r="C233">
        <f>'Monthly Haver'!D236</f>
        <v>56.647199999999998</v>
      </c>
      <c r="D233">
        <f>'Monthly Haver'!E236</f>
        <v>51.081800000000001</v>
      </c>
      <c r="E233">
        <f>'Monthly Haver'!G236</f>
        <v>52.783299999999997</v>
      </c>
      <c r="F233">
        <f>'Monthly Haver'!H236</f>
        <v>53.257100000000001</v>
      </c>
      <c r="G233">
        <f>'Monthly Haver'!I236</f>
        <v>49.6995</v>
      </c>
      <c r="H233">
        <f>'Monthly Haver'!J236</f>
        <v>53.790799999999997</v>
      </c>
      <c r="I233">
        <f>GDS_Monthly!O350</f>
        <v>65.026294611286545</v>
      </c>
      <c r="J233">
        <f>GDS_Monthly!D350</f>
        <v>129.79625433488971</v>
      </c>
      <c r="K233">
        <f>GDS_Monthly!AH350</f>
        <v>1269.0644897</v>
      </c>
      <c r="L233">
        <f>GDS_Monthly!AI350</f>
        <v>1243.2323630999999</v>
      </c>
      <c r="M233">
        <f>GDS_Monthly!N350</f>
        <v>5.173212880336199</v>
      </c>
      <c r="N233">
        <f>GDS_Monthly!C350</f>
        <v>114.31807517376878</v>
      </c>
      <c r="O233">
        <f>GDS_Monthly!F350</f>
        <v>2.5855925092365397</v>
      </c>
      <c r="P233">
        <f>GDS_Monthly!G350</f>
        <v>2.4791946867892358</v>
      </c>
      <c r="Q233">
        <f>GDS_Monthly!T350</f>
        <v>120.40723585870259</v>
      </c>
      <c r="R233">
        <f>GDS_Monthly!V350</f>
        <v>119.78533181669697</v>
      </c>
      <c r="S233">
        <f>GDS_Monthly!W350</f>
        <v>106.71889200595579</v>
      </c>
      <c r="T233">
        <f>GDS_Monthly!X350</f>
        <v>133.89184750268973</v>
      </c>
      <c r="U233">
        <f>GDS_Monthly!AA350</f>
        <v>111.51372500041472</v>
      </c>
      <c r="V233">
        <f>GDS_Monthly!AC350</f>
        <v>152.74296883599979</v>
      </c>
      <c r="W233">
        <f>GDS_Monthly!AE350</f>
        <v>153.86468410190969</v>
      </c>
      <c r="X233">
        <f>GDS_Monthly!AF350</f>
        <v>109.69182929370605</v>
      </c>
      <c r="Y233">
        <f>OECD!B233</f>
        <v>100.61539999999999</v>
      </c>
      <c r="Z233">
        <f>OECD!C233</f>
        <v>122.11</v>
      </c>
      <c r="AA233">
        <f>'Monthly Haver'!K236</f>
        <v>108.83994</v>
      </c>
      <c r="AB233" s="10">
        <f>'Monthly Haver'!L236</f>
        <v>1129</v>
      </c>
      <c r="AC233" s="8"/>
      <c r="AD233" s="8"/>
      <c r="AE233" s="8"/>
    </row>
    <row r="234" spans="1:32">
      <c r="A234" s="12">
        <v>43221</v>
      </c>
      <c r="B234">
        <f>'Monthly Haver'!C237</f>
        <v>54.132399999999997</v>
      </c>
      <c r="C234">
        <f>'Monthly Haver'!D237</f>
        <v>57.509500000000003</v>
      </c>
      <c r="D234">
        <f>'Monthly Haver'!E237</f>
        <v>50.798099999999998</v>
      </c>
      <c r="E234">
        <f>'Monthly Haver'!G237</f>
        <v>52.5334</v>
      </c>
      <c r="F234">
        <f>'Monthly Haver'!H237</f>
        <v>52.965600000000002</v>
      </c>
      <c r="G234">
        <f>'Monthly Haver'!I237</f>
        <v>49.470799999999997</v>
      </c>
      <c r="H234">
        <f>'Monthly Haver'!J237</f>
        <v>54.299100000000003</v>
      </c>
      <c r="I234">
        <f>GDS_Monthly!O351</f>
        <v>65.710873176499931</v>
      </c>
      <c r="J234">
        <f>GDS_Monthly!D351</f>
        <v>129.67168265557788</v>
      </c>
      <c r="K234">
        <f>GDS_Monthly!AH351</f>
        <v>1285.0678507</v>
      </c>
      <c r="L234">
        <f>GDS_Monthly!AI351</f>
        <v>1241.1169970999999</v>
      </c>
      <c r="M234">
        <f>GDS_Monthly!N351</f>
        <v>5.1363173641509983</v>
      </c>
      <c r="N234">
        <f>GDS_Monthly!C351</f>
        <v>115.22310345230841</v>
      </c>
      <c r="O234">
        <f>GDS_Monthly!F351</f>
        <v>2.5627804212268384</v>
      </c>
      <c r="P234">
        <f>GDS_Monthly!G351</f>
        <v>2.5096235115354806</v>
      </c>
      <c r="Q234">
        <f>GDS_Monthly!T351</f>
        <v>120.75004563790766</v>
      </c>
      <c r="R234">
        <f>GDS_Monthly!V351</f>
        <v>120.0571430101474</v>
      </c>
      <c r="S234">
        <f>GDS_Monthly!W351</f>
        <v>108.3625263785131</v>
      </c>
      <c r="T234">
        <f>GDS_Monthly!X351</f>
        <v>134.34934249560143</v>
      </c>
      <c r="U234">
        <f>GDS_Monthly!AA351</f>
        <v>111.94435394812878</v>
      </c>
      <c r="V234">
        <f>GDS_Monthly!AC351</f>
        <v>163.58003250947678</v>
      </c>
      <c r="W234">
        <f>GDS_Monthly!AE351</f>
        <v>167.07797555754371</v>
      </c>
      <c r="X234">
        <f>GDS_Monthly!AF351</f>
        <v>110.07146504973407</v>
      </c>
      <c r="Y234">
        <f>OECD!B234</f>
        <v>100.52889999999999</v>
      </c>
      <c r="Z234">
        <f>OECD!C234</f>
        <v>121.97</v>
      </c>
      <c r="AA234">
        <f>'Monthly Haver'!K237</f>
        <v>112.58188</v>
      </c>
      <c r="AB234" s="10">
        <f>'Monthly Haver'!L237</f>
        <v>1293</v>
      </c>
      <c r="AC234" s="8"/>
      <c r="AD234" s="8"/>
      <c r="AE234" s="8"/>
    </row>
    <row r="235" spans="1:32">
      <c r="A235" s="12">
        <v>43252</v>
      </c>
      <c r="B235">
        <f>'Monthly Haver'!C238</f>
        <v>54.278199999999998</v>
      </c>
      <c r="C235">
        <f>'Monthly Haver'!D238</f>
        <v>58.612499999999997</v>
      </c>
      <c r="D235">
        <f>'Monthly Haver'!E238</f>
        <v>50.528599999999997</v>
      </c>
      <c r="E235">
        <f>'Monthly Haver'!G238</f>
        <v>52.684699999999999</v>
      </c>
      <c r="F235">
        <f>'Monthly Haver'!H238</f>
        <v>52.8444</v>
      </c>
      <c r="G235">
        <f>'Monthly Haver'!I238</f>
        <v>49.148499999999999</v>
      </c>
      <c r="H235">
        <f>'Monthly Haver'!J238</f>
        <v>54.6205</v>
      </c>
      <c r="I235">
        <f>GDS_Monthly!O352</f>
        <v>66.146747021973994</v>
      </c>
      <c r="J235">
        <f>GDS_Monthly!D352</f>
        <v>130.0145560307912</v>
      </c>
      <c r="K235">
        <f>GDS_Monthly!AH352</f>
        <v>1271.3739187000001</v>
      </c>
      <c r="L235">
        <f>GDS_Monthly!AI352</f>
        <v>1243.3567740999999</v>
      </c>
      <c r="M235">
        <f>GDS_Monthly!N352</f>
        <v>5.1570442963648615</v>
      </c>
      <c r="N235">
        <f>GDS_Monthly!C352</f>
        <v>114.40700799975988</v>
      </c>
      <c r="O235">
        <f>GDS_Monthly!F352</f>
        <v>2.6146298460615247</v>
      </c>
      <c r="P235">
        <f>GDS_Monthly!G352</f>
        <v>2.7313957080946452</v>
      </c>
      <c r="Q235">
        <f>GDS_Monthly!T352</f>
        <v>121.0700595602213</v>
      </c>
      <c r="R235">
        <f>GDS_Monthly!V352</f>
        <v>120.22670979852354</v>
      </c>
      <c r="S235">
        <f>GDS_Monthly!W352</f>
        <v>104.08010576570329</v>
      </c>
      <c r="T235">
        <f>GDS_Monthly!X352</f>
        <v>135.3144991089612</v>
      </c>
      <c r="U235">
        <f>GDS_Monthly!AA352</f>
        <v>109.87141919809292</v>
      </c>
      <c r="V235">
        <f>GDS_Monthly!AC352</f>
        <v>163.92932391484666</v>
      </c>
      <c r="W235">
        <f>GDS_Monthly!AE352</f>
        <v>165.23983489110779</v>
      </c>
      <c r="X235">
        <f>GDS_Monthly!AF352</f>
        <v>110.54823964239554</v>
      </c>
      <c r="Y235">
        <f>OECD!B235</f>
        <v>100.4348</v>
      </c>
      <c r="Z235">
        <f>OECD!C235</f>
        <v>122.3</v>
      </c>
      <c r="AA235">
        <f>'Monthly Haver'!K238</f>
        <v>114.70826</v>
      </c>
      <c r="AB235" s="10">
        <f>'Monthly Haver'!L238</f>
        <v>1352</v>
      </c>
      <c r="AC235" s="8">
        <f>Quarterly!B79</f>
        <v>116.43</v>
      </c>
      <c r="AD235" s="8">
        <f>Quarterly!C79</f>
        <v>106.26</v>
      </c>
      <c r="AE235" s="8">
        <f>Quarterly!D79</f>
        <v>123.99203431326067</v>
      </c>
      <c r="AF235" s="8">
        <f>Quarterly!E79</f>
        <v>3.6450356750515667</v>
      </c>
    </row>
    <row r="236" spans="1:32">
      <c r="A236" s="12">
        <v>43282</v>
      </c>
      <c r="B236">
        <f>'Monthly Haver'!C239</f>
        <v>53.667000000000002</v>
      </c>
      <c r="C236">
        <f>'Monthly Haver'!D239</f>
        <v>57.9129</v>
      </c>
      <c r="D236">
        <f>'Monthly Haver'!E239</f>
        <v>50.311100000000003</v>
      </c>
      <c r="E236">
        <f>'Monthly Haver'!G239</f>
        <v>52.465600000000002</v>
      </c>
      <c r="F236">
        <f>'Monthly Haver'!H239</f>
        <v>52.6113</v>
      </c>
      <c r="G236">
        <f>'Monthly Haver'!I239</f>
        <v>49.083300000000001</v>
      </c>
      <c r="H236">
        <f>'Monthly Haver'!J239</f>
        <v>53.999499999999998</v>
      </c>
      <c r="I236">
        <f>GDS_Monthly!O353</f>
        <v>66.576414935618573</v>
      </c>
      <c r="J236">
        <f>GDS_Monthly!D353</f>
        <v>130.48403421885669</v>
      </c>
      <c r="K236">
        <f>GDS_Monthly!AH353</f>
        <v>1288.8675777000001</v>
      </c>
      <c r="L236">
        <f>GDS_Monthly!AI353</f>
        <v>1232.8455021</v>
      </c>
      <c r="M236">
        <f>GDS_Monthly!N353</f>
        <v>5.1144416698547248</v>
      </c>
      <c r="N236">
        <f>GDS_Monthly!C353</f>
        <v>114.52264587479399</v>
      </c>
      <c r="O236">
        <f>GDS_Monthly!F353</f>
        <v>2.5681535663004058</v>
      </c>
      <c r="P236">
        <f>GDS_Monthly!G353</f>
        <v>2.782346414088011</v>
      </c>
      <c r="Q236">
        <f>GDS_Monthly!T353</f>
        <v>121.34907656418908</v>
      </c>
      <c r="R236">
        <f>GDS_Monthly!V353</f>
        <v>120.48863867697909</v>
      </c>
      <c r="S236">
        <f>GDS_Monthly!W353</f>
        <v>101.33013955678165</v>
      </c>
      <c r="T236">
        <f>GDS_Monthly!X353</f>
        <v>126.90834139620853</v>
      </c>
      <c r="U236">
        <f>GDS_Monthly!AA353</f>
        <v>106.07895398769128</v>
      </c>
      <c r="V236">
        <f>GDS_Monthly!AC353</f>
        <v>165.27325628990255</v>
      </c>
      <c r="W236">
        <f>GDS_Monthly!AE353</f>
        <v>167.91817919298322</v>
      </c>
      <c r="X236">
        <f>GDS_Monthly!AF353</f>
        <v>108.61766004526496</v>
      </c>
      <c r="Y236">
        <f>OECD!B236</f>
        <v>100.3302</v>
      </c>
      <c r="Z236">
        <f>OECD!C236</f>
        <v>122.38</v>
      </c>
      <c r="AA236">
        <f>'Monthly Haver'!K239</f>
        <v>115.09818</v>
      </c>
      <c r="AB236" s="10">
        <f>'Monthly Haver'!L239</f>
        <v>1650</v>
      </c>
      <c r="AC236" s="8"/>
      <c r="AD236" s="8"/>
      <c r="AE236" s="8"/>
    </row>
    <row r="237" spans="1:32">
      <c r="A237" s="12">
        <v>43313</v>
      </c>
      <c r="B237">
        <f>'Monthly Haver'!C240</f>
        <v>53.535800000000002</v>
      </c>
      <c r="C237">
        <f>'Monthly Haver'!D240</f>
        <v>57.6372</v>
      </c>
      <c r="D237">
        <f>'Monthly Haver'!E240</f>
        <v>50.093899999999998</v>
      </c>
      <c r="E237">
        <f>'Monthly Haver'!G240</f>
        <v>52.3367</v>
      </c>
      <c r="F237">
        <f>'Monthly Haver'!H240</f>
        <v>52.409300000000002</v>
      </c>
      <c r="G237">
        <f>'Monthly Haver'!I240</f>
        <v>49.187199999999997</v>
      </c>
      <c r="H237">
        <f>'Monthly Haver'!J240</f>
        <v>53.475999999999999</v>
      </c>
      <c r="I237">
        <f>GDS_Monthly!O354</f>
        <v>67.233221066165399</v>
      </c>
      <c r="J237">
        <f>GDS_Monthly!D354</f>
        <v>131.28371445204075</v>
      </c>
      <c r="K237">
        <f>GDS_Monthly!AH354</f>
        <v>1288.9983027000001</v>
      </c>
      <c r="L237">
        <f>GDS_Monthly!AI354</f>
        <v>1241.4495810999999</v>
      </c>
      <c r="M237">
        <f>GDS_Monthly!N354</f>
        <v>5.122086442716042</v>
      </c>
      <c r="N237">
        <f>GDS_Monthly!C354</f>
        <v>115.64650511237886</v>
      </c>
      <c r="O237">
        <f>GDS_Monthly!F354</f>
        <v>2.6332025682381874</v>
      </c>
      <c r="P237">
        <f>GDS_Monthly!G354</f>
        <v>2.8185011424488242</v>
      </c>
      <c r="Q237">
        <f>GDS_Monthly!T354</f>
        <v>121.67873046992264</v>
      </c>
      <c r="R237">
        <f>GDS_Monthly!V354</f>
        <v>120.70055462329883</v>
      </c>
      <c r="S237">
        <f>GDS_Monthly!W354</f>
        <v>97.361344418990285</v>
      </c>
      <c r="T237">
        <f>GDS_Monthly!X354</f>
        <v>125.09954079090188</v>
      </c>
      <c r="U237">
        <f>GDS_Monthly!AA354</f>
        <v>103.12717201939572</v>
      </c>
      <c r="V237">
        <f>GDS_Monthly!AC354</f>
        <v>163.92208569809767</v>
      </c>
      <c r="W237">
        <f>GDS_Monthly!AE354</f>
        <v>165.28162835852461</v>
      </c>
      <c r="X237">
        <f>GDS_Monthly!AF354</f>
        <v>105.97916883833585</v>
      </c>
      <c r="Y237">
        <f>OECD!B237</f>
        <v>100.2107</v>
      </c>
      <c r="Z237">
        <f>OECD!C237</f>
        <v>122.46</v>
      </c>
      <c r="AA237">
        <f>'Monthly Haver'!K240</f>
        <v>115.68134999999999</v>
      </c>
      <c r="AB237" s="10">
        <f>'Monthly Haver'!L240</f>
        <v>1710</v>
      </c>
      <c r="AC237" s="8"/>
      <c r="AD237" s="8"/>
      <c r="AE237" s="8"/>
    </row>
    <row r="238" spans="1:32">
      <c r="A238" s="12">
        <v>43344</v>
      </c>
      <c r="B238">
        <f>'Monthly Haver'!C241</f>
        <v>53.474400000000003</v>
      </c>
      <c r="C238">
        <f>'Monthly Haver'!D241</f>
        <v>57.948300000000003</v>
      </c>
      <c r="D238">
        <f>'Monthly Haver'!E241</f>
        <v>49.692500000000003</v>
      </c>
      <c r="E238">
        <f>'Monthly Haver'!G241</f>
        <v>52.619</v>
      </c>
      <c r="F238">
        <f>'Monthly Haver'!H241</f>
        <v>52.030900000000003</v>
      </c>
      <c r="G238">
        <f>'Monthly Haver'!I241</f>
        <v>49.222799999999999</v>
      </c>
      <c r="H238">
        <f>'Monthly Haver'!J241</f>
        <v>52.943899999999999</v>
      </c>
      <c r="I238">
        <f>GDS_Monthly!O355</f>
        <v>67.486167748493898</v>
      </c>
      <c r="J238">
        <f>GDS_Monthly!D355</f>
        <v>130.97849370040896</v>
      </c>
      <c r="K238">
        <f>GDS_Monthly!AH355</f>
        <v>1273.9350626999999</v>
      </c>
      <c r="L238">
        <f>GDS_Monthly!AI355</f>
        <v>1239.0019440999999</v>
      </c>
      <c r="M238">
        <f>GDS_Monthly!N355</f>
        <v>5.0991849533814646</v>
      </c>
      <c r="N238">
        <f>GDS_Monthly!C355</f>
        <v>115.42221854912434</v>
      </c>
      <c r="O238">
        <f>GDS_Monthly!F355</f>
        <v>2.5832725471443103</v>
      </c>
      <c r="P238">
        <f>GDS_Monthly!G355</f>
        <v>3.0612361936767147</v>
      </c>
      <c r="Q238">
        <f>GDS_Monthly!T355</f>
        <v>121.99553767711573</v>
      </c>
      <c r="R238">
        <f>GDS_Monthly!V355</f>
        <v>120.96660996527055</v>
      </c>
      <c r="S238">
        <f>GDS_Monthly!W355</f>
        <v>98.62668218060314</v>
      </c>
      <c r="T238">
        <f>GDS_Monthly!X355</f>
        <v>124.52451501606619</v>
      </c>
      <c r="U238">
        <f>GDS_Monthly!AA355</f>
        <v>103.62346474614098</v>
      </c>
      <c r="V238">
        <f>GDS_Monthly!AC355</f>
        <v>174.08774663215516</v>
      </c>
      <c r="W238">
        <f>GDS_Monthly!AE355</f>
        <v>174.66010102932151</v>
      </c>
      <c r="X238">
        <f>GDS_Monthly!AF355</f>
        <v>104.79703834732918</v>
      </c>
      <c r="Y238">
        <f>OECD!B238</f>
        <v>100.0753</v>
      </c>
      <c r="Z238">
        <f>OECD!C238</f>
        <v>123.1</v>
      </c>
      <c r="AA238">
        <f>'Monthly Haver'!K241</f>
        <v>115.10071000000001</v>
      </c>
      <c r="AB238" s="10">
        <f>'Monthly Haver'!L241</f>
        <v>1447</v>
      </c>
      <c r="AC238" s="8">
        <f>Quarterly!B80</f>
        <v>116.86</v>
      </c>
      <c r="AD238" s="8">
        <f>Quarterly!C80</f>
        <v>106.64</v>
      </c>
      <c r="AE238" s="8">
        <f>Quarterly!D80</f>
        <v>124.68749029763262</v>
      </c>
      <c r="AF238" s="8">
        <f>Quarterly!E80</f>
        <v>2.9995798731003331</v>
      </c>
    </row>
    <row r="239" spans="1:32">
      <c r="A239" s="12">
        <v>43374</v>
      </c>
      <c r="B239">
        <f>'Monthly Haver'!C242</f>
        <v>53.4238</v>
      </c>
      <c r="C239">
        <f>'Monthly Haver'!D242</f>
        <v>58.350200000000001</v>
      </c>
      <c r="D239">
        <f>'Monthly Haver'!E242</f>
        <v>49.937899999999999</v>
      </c>
      <c r="E239">
        <f>'Monthly Haver'!G242</f>
        <v>52.4786</v>
      </c>
      <c r="F239">
        <f>'Monthly Haver'!H242</f>
        <v>51.894500000000001</v>
      </c>
      <c r="G239">
        <f>'Monthly Haver'!I242</f>
        <v>49.386000000000003</v>
      </c>
      <c r="H239">
        <f>'Monthly Haver'!J242</f>
        <v>53.430100000000003</v>
      </c>
      <c r="I239">
        <f>GDS_Monthly!O356</f>
        <v>68.119847342080163</v>
      </c>
      <c r="J239">
        <f>GDS_Monthly!D356</f>
        <v>131.71936190991667</v>
      </c>
      <c r="K239">
        <f>GDS_Monthly!AH356</f>
        <v>1307.7698637000001</v>
      </c>
      <c r="L239">
        <f>GDS_Monthly!AI356</f>
        <v>1254.1486030999999</v>
      </c>
      <c r="M239">
        <f>GDS_Monthly!N356</f>
        <v>5.1258965109021624</v>
      </c>
      <c r="N239">
        <f>GDS_Monthly!C356</f>
        <v>115.859384894372</v>
      </c>
      <c r="O239">
        <f>GDS_Monthly!F356</f>
        <v>2.7615473496242027</v>
      </c>
      <c r="P239">
        <f>GDS_Monthly!G356</f>
        <v>3.1159618809788845</v>
      </c>
      <c r="Q239">
        <f>GDS_Monthly!T356</f>
        <v>122.2992767507407</v>
      </c>
      <c r="R239">
        <f>GDS_Monthly!V356</f>
        <v>121.20696270392799</v>
      </c>
      <c r="S239">
        <f>GDS_Monthly!W356</f>
        <v>100.42137832663246</v>
      </c>
      <c r="T239">
        <f>GDS_Monthly!X356</f>
        <v>127.68475662017556</v>
      </c>
      <c r="U239">
        <f>GDS_Monthly!AA356</f>
        <v>105.53431014452546</v>
      </c>
      <c r="V239">
        <f>GDS_Monthly!AC356</f>
        <v>173.77068540608778</v>
      </c>
      <c r="W239">
        <f>GDS_Monthly!AE356</f>
        <v>179.05631258157891</v>
      </c>
      <c r="X239">
        <f>GDS_Monthly!AF356</f>
        <v>103.14671798088915</v>
      </c>
      <c r="Y239">
        <f>OECD!B239</f>
        <v>99.931820000000002</v>
      </c>
      <c r="Z239">
        <f>OECD!C239</f>
        <v>122.65</v>
      </c>
      <c r="AA239">
        <f>'Monthly Haver'!K242</f>
        <v>116.21906</v>
      </c>
      <c r="AB239" s="10">
        <f>'Monthly Haver'!L242</f>
        <v>1545</v>
      </c>
      <c r="AC239" s="8"/>
      <c r="AD239" s="8"/>
      <c r="AE239" s="8"/>
    </row>
    <row r="240" spans="1:32">
      <c r="A240" s="12">
        <v>43405</v>
      </c>
      <c r="B240">
        <f>'Monthly Haver'!C243</f>
        <v>53.1571</v>
      </c>
      <c r="C240">
        <f>'Monthly Haver'!D243</f>
        <v>56.887799999999999</v>
      </c>
      <c r="D240">
        <f>'Monthly Haver'!E243</f>
        <v>49.910499999999999</v>
      </c>
      <c r="E240">
        <f>'Monthly Haver'!G243</f>
        <v>51.945700000000002</v>
      </c>
      <c r="F240">
        <f>'Monthly Haver'!H243</f>
        <v>51.820700000000002</v>
      </c>
      <c r="G240">
        <f>'Monthly Haver'!I243</f>
        <v>50.162100000000002</v>
      </c>
      <c r="H240">
        <f>'Monthly Haver'!J243</f>
        <v>53.726199999999999</v>
      </c>
      <c r="I240">
        <f>GDS_Monthly!O357</f>
        <v>68.57583011697929</v>
      </c>
      <c r="J240">
        <f>GDS_Monthly!D357</f>
        <v>131.39965955976544</v>
      </c>
      <c r="K240">
        <f>GDS_Monthly!AH357</f>
        <v>1264.1048106999999</v>
      </c>
      <c r="L240">
        <f>GDS_Monthly!AI357</f>
        <v>1229.0979560999999</v>
      </c>
      <c r="M240">
        <f>GDS_Monthly!N357</f>
        <v>5.1272569109659978</v>
      </c>
      <c r="N240">
        <f>GDS_Monthly!C357</f>
        <v>115.38154851604256</v>
      </c>
      <c r="O240">
        <f>GDS_Monthly!F357</f>
        <v>2.6907932852655558</v>
      </c>
      <c r="P240">
        <f>GDS_Monthly!G357</f>
        <v>3.1137971413538739</v>
      </c>
      <c r="Q240">
        <f>GDS_Monthly!T357</f>
        <v>122.24205831957597</v>
      </c>
      <c r="R240">
        <f>GDS_Monthly!V357</f>
        <v>121.3595440484403</v>
      </c>
      <c r="S240">
        <f>GDS_Monthly!W357</f>
        <v>95.855224223726736</v>
      </c>
      <c r="T240">
        <f>GDS_Monthly!X357</f>
        <v>125.88849415410787</v>
      </c>
      <c r="U240">
        <f>GDS_Monthly!AA357</f>
        <v>102.85241530392061</v>
      </c>
      <c r="V240">
        <f>GDS_Monthly!AC357</f>
        <v>149.3363558188704</v>
      </c>
      <c r="W240">
        <f>GDS_Monthly!AE357</f>
        <v>146.29192816983564</v>
      </c>
      <c r="X240">
        <f>GDS_Monthly!AF357</f>
        <v>100.99904434529813</v>
      </c>
      <c r="Y240">
        <f>OECD!B240</f>
        <v>99.792209999999997</v>
      </c>
      <c r="Z240">
        <f>OECD!C240</f>
        <v>121.66</v>
      </c>
      <c r="AA240">
        <f>'Monthly Haver'!K243</f>
        <v>116.66649</v>
      </c>
      <c r="AB240" s="10">
        <f>'Monthly Haver'!L243</f>
        <v>1192</v>
      </c>
      <c r="AC240" s="8"/>
      <c r="AD240" s="8"/>
      <c r="AE240" s="8"/>
    </row>
    <row r="241" spans="1:32">
      <c r="A241" s="12">
        <v>43435</v>
      </c>
      <c r="B241">
        <f>'Monthly Haver'!C244</f>
        <v>52.4801</v>
      </c>
      <c r="C241">
        <f>'Monthly Haver'!D244</f>
        <v>55.554200000000002</v>
      </c>
      <c r="D241">
        <f>'Monthly Haver'!E244</f>
        <v>49.797400000000003</v>
      </c>
      <c r="E241">
        <f>'Monthly Haver'!G244</f>
        <v>51.863700000000001</v>
      </c>
      <c r="F241">
        <f>'Monthly Haver'!H244</f>
        <v>51.383400000000002</v>
      </c>
      <c r="G241">
        <f>'Monthly Haver'!I244</f>
        <v>49.702399999999997</v>
      </c>
      <c r="H241">
        <f>'Monthly Haver'!J244</f>
        <v>53.020400000000002</v>
      </c>
      <c r="I241">
        <f>GDS_Monthly!O358</f>
        <v>68.260750202273073</v>
      </c>
      <c r="J241">
        <f>GDS_Monthly!D358</f>
        <v>131.35979427675588</v>
      </c>
      <c r="K241">
        <f>GDS_Monthly!AH358</f>
        <v>1222.2407197</v>
      </c>
      <c r="L241">
        <f>GDS_Monthly!AI358</f>
        <v>1189.0275061</v>
      </c>
      <c r="M241">
        <f>GDS_Monthly!N358</f>
        <v>5.1476319954740788</v>
      </c>
      <c r="N241">
        <f>GDS_Monthly!C358</f>
        <v>113.78891219843059</v>
      </c>
      <c r="O241">
        <f>GDS_Monthly!F358</f>
        <v>2.3738783184898375</v>
      </c>
      <c r="P241">
        <f>GDS_Monthly!G358</f>
        <v>3.163668629756077</v>
      </c>
      <c r="Q241">
        <f>GDS_Monthly!T358</f>
        <v>122.2249696586825</v>
      </c>
      <c r="R241">
        <f>GDS_Monthly!V358</f>
        <v>121.59280893275297</v>
      </c>
      <c r="S241">
        <f>GDS_Monthly!W358</f>
        <v>98.689926328298</v>
      </c>
      <c r="T241">
        <f>GDS_Monthly!X358</f>
        <v>123.08952675923935</v>
      </c>
      <c r="U241">
        <f>GDS_Monthly!AA358</f>
        <v>103.94345344210386</v>
      </c>
      <c r="V241">
        <f>GDS_Monthly!AC358</f>
        <v>133.34854575769072</v>
      </c>
      <c r="W241">
        <f>GDS_Monthly!AE358</f>
        <v>126.07675794771711</v>
      </c>
      <c r="X241">
        <f>GDS_Monthly!AF358</f>
        <v>103.55922589321774</v>
      </c>
      <c r="Y241">
        <f>OECD!B241</f>
        <v>99.660809999999998</v>
      </c>
      <c r="Z241">
        <f>OECD!C241</f>
        <v>121.41</v>
      </c>
      <c r="AA241">
        <f>'Monthly Haver'!K244</f>
        <v>116.50185</v>
      </c>
      <c r="AB241" s="10">
        <f>'Monthly Haver'!L244</f>
        <v>1335</v>
      </c>
      <c r="AC241" s="8">
        <f>Quarterly!B81</f>
        <v>117.48</v>
      </c>
      <c r="AD241" s="8">
        <f>Quarterly!C81</f>
        <v>106.9</v>
      </c>
      <c r="AE241" s="8">
        <f>Quarterly!D81</f>
        <v>125.36766800398762</v>
      </c>
      <c r="AF241" s="8">
        <f>Quarterly!E81</f>
        <v>2.8421520960892455</v>
      </c>
    </row>
    <row r="242" spans="1:32">
      <c r="A242" s="12">
        <v>43466</v>
      </c>
      <c r="B242">
        <f>'Monthly Haver'!C245</f>
        <v>51.834000000000003</v>
      </c>
      <c r="C242">
        <f>'Monthly Haver'!D245</f>
        <v>54.600099999999998</v>
      </c>
      <c r="D242">
        <f>'Monthly Haver'!E245</f>
        <v>49.523299999999999</v>
      </c>
      <c r="E242">
        <f>'Monthly Haver'!G245</f>
        <v>51.615000000000002</v>
      </c>
      <c r="F242">
        <f>'Monthly Haver'!H245</f>
        <v>50.658299999999997</v>
      </c>
      <c r="G242">
        <f>'Monthly Haver'!I245</f>
        <v>49.4803</v>
      </c>
      <c r="H242">
        <f>'Monthly Haver'!J245</f>
        <v>52.672499999999999</v>
      </c>
      <c r="I242">
        <f>GDS_Monthly!O359</f>
        <v>68.900648239314734</v>
      </c>
      <c r="J242">
        <f>GDS_Monthly!D359</f>
        <v>131.50430229275366</v>
      </c>
      <c r="K242">
        <f>GDS_Monthly!AH359</f>
        <v>1267.7213197000001</v>
      </c>
      <c r="L242">
        <f>GDS_Monthly!AI359</f>
        <v>1223.5731651000001</v>
      </c>
      <c r="M242">
        <f>GDS_Monthly!N359</f>
        <v>5.1276595994272762</v>
      </c>
      <c r="N242">
        <f>GDS_Monthly!C359</f>
        <v>112.91561836895646</v>
      </c>
      <c r="O242">
        <f>GDS_Monthly!F359</f>
        <v>2.4168989838045656</v>
      </c>
      <c r="P242">
        <f>GDS_Monthly!G359</f>
        <v>3.0962931225850769</v>
      </c>
      <c r="Q242">
        <f>GDS_Monthly!T359</f>
        <v>122.33422465306056</v>
      </c>
      <c r="R242">
        <f>GDS_Monthly!V359</f>
        <v>121.84383613086219</v>
      </c>
      <c r="S242">
        <f>GDS_Monthly!W359</f>
        <v>100.46654163406639</v>
      </c>
      <c r="T242">
        <f>GDS_Monthly!X359</f>
        <v>124.91861002901555</v>
      </c>
      <c r="U242">
        <f>GDS_Monthly!AA359</f>
        <v>105.86210741543901</v>
      </c>
      <c r="V242">
        <f>GDS_Monthly!AC359</f>
        <v>133.30209756610921</v>
      </c>
      <c r="W242">
        <f>GDS_Monthly!AE359</f>
        <v>131.42337710754234</v>
      </c>
      <c r="X242">
        <f>GDS_Monthly!AF359</f>
        <v>103.53614960111605</v>
      </c>
      <c r="Y242">
        <f>OECD!B242</f>
        <v>99.546970000000002</v>
      </c>
      <c r="Z242">
        <f>OECD!C242</f>
        <v>121.4</v>
      </c>
      <c r="AA242">
        <f>'Monthly Haver'!K245</f>
        <v>113.4462</v>
      </c>
      <c r="AB242" s="10">
        <f>'Monthly Haver'!L245</f>
        <v>1063</v>
      </c>
    </row>
    <row r="243" spans="1:32">
      <c r="A243" s="12">
        <v>43497</v>
      </c>
      <c r="B243">
        <f>'Monthly Haver'!C246</f>
        <v>52.521599999999999</v>
      </c>
      <c r="C243">
        <f>'Monthly Haver'!D246</f>
        <v>54.968899999999998</v>
      </c>
      <c r="D243">
        <f>'Monthly Haver'!E246</f>
        <v>49.513199999999998</v>
      </c>
      <c r="E243">
        <f>'Monthly Haver'!G246</f>
        <v>52.422499999999999</v>
      </c>
      <c r="F243">
        <f>'Monthly Haver'!H246</f>
        <v>50.554499999999997</v>
      </c>
      <c r="G243">
        <f>'Monthly Haver'!I246</f>
        <v>49.004399999999997</v>
      </c>
      <c r="H243">
        <f>'Monthly Haver'!J246</f>
        <v>53.307099999999998</v>
      </c>
      <c r="I243">
        <f>GDS_Monthly!O360</f>
        <v>69.309299248893737</v>
      </c>
      <c r="J243">
        <f>GDS_Monthly!D360</f>
        <v>131.22730141900973</v>
      </c>
      <c r="K243">
        <f>GDS_Monthly!AH360</f>
        <v>1235.9688477</v>
      </c>
      <c r="L243">
        <f>GDS_Monthly!AI360</f>
        <v>1207.8516721000001</v>
      </c>
      <c r="M243">
        <f>GDS_Monthly!N360</f>
        <v>5.096985527413624</v>
      </c>
      <c r="N243">
        <f>GDS_Monthly!C360</f>
        <v>114.96084097321905</v>
      </c>
      <c r="O243">
        <f>GDS_Monthly!F360</f>
        <v>2.3938620105047916</v>
      </c>
      <c r="P243">
        <f>GDS_Monthly!G360</f>
        <v>3.0533721807708556</v>
      </c>
      <c r="Q243">
        <f>GDS_Monthly!T360</f>
        <v>122.61045626131136</v>
      </c>
      <c r="R243">
        <f>GDS_Monthly!V360</f>
        <v>122.07082013894448</v>
      </c>
      <c r="S243">
        <f>GDS_Monthly!W360</f>
        <v>98.772205073072286</v>
      </c>
      <c r="T243">
        <f>GDS_Monthly!X360</f>
        <v>134.63246596083704</v>
      </c>
      <c r="U243">
        <f>GDS_Monthly!AA360</f>
        <v>107.2330292246542</v>
      </c>
      <c r="V243">
        <f>GDS_Monthly!AC360</f>
        <v>136.04881689200963</v>
      </c>
      <c r="W243">
        <f>GDS_Monthly!AE360</f>
        <v>142.52826157374665</v>
      </c>
      <c r="X243">
        <f>GDS_Monthly!AF360</f>
        <v>103.60877950830836</v>
      </c>
      <c r="Y243">
        <f>OECD!B243</f>
        <v>99.454589999999996</v>
      </c>
      <c r="Z243">
        <f>OECD!C243</f>
        <v>121.42</v>
      </c>
      <c r="AA243">
        <f>'Monthly Haver'!K246</f>
        <v>113.45129</v>
      </c>
      <c r="AB243" s="10">
        <f>'Monthly Haver'!L246</f>
        <v>629</v>
      </c>
      <c r="AC243" s="8"/>
      <c r="AD243" s="8"/>
      <c r="AE243" s="8"/>
    </row>
    <row r="244" spans="1:32">
      <c r="A244" s="12">
        <v>43525</v>
      </c>
      <c r="B244">
        <f>'Monthly Haver'!C247</f>
        <v>52.734299999999998</v>
      </c>
      <c r="C244">
        <f>'Monthly Haver'!D247</f>
        <v>54.444800000000001</v>
      </c>
      <c r="D244">
        <f>'Monthly Haver'!E247</f>
        <v>49.402299999999997</v>
      </c>
      <c r="E244">
        <f>'Monthly Haver'!G247</f>
        <v>51.671199999999999</v>
      </c>
      <c r="F244">
        <f>'Monthly Haver'!H247</f>
        <v>50.492699999999999</v>
      </c>
      <c r="G244">
        <f>'Monthly Haver'!I247</f>
        <v>50.012</v>
      </c>
      <c r="H244">
        <f>'Monthly Haver'!J247</f>
        <v>53.709800000000001</v>
      </c>
      <c r="I244">
        <f>GDS_Monthly!O361</f>
        <v>70.028348612108672</v>
      </c>
      <c r="J244">
        <f>GDS_Monthly!D361</f>
        <v>132.3987987006382</v>
      </c>
      <c r="K244">
        <f>GDS_Monthly!AH361</f>
        <v>1243.9838187</v>
      </c>
      <c r="L244">
        <f>GDS_Monthly!AI361</f>
        <v>1221.5573961</v>
      </c>
      <c r="M244">
        <f>GDS_Monthly!N361</f>
        <v>5.0982954883525862</v>
      </c>
      <c r="N244">
        <f>GDS_Monthly!C361</f>
        <v>113.55819284342567</v>
      </c>
      <c r="O244">
        <f>GDS_Monthly!F361</f>
        <v>2.2877857481152657</v>
      </c>
      <c r="P244">
        <f>GDS_Monthly!G361</f>
        <v>3.1554237806548437</v>
      </c>
      <c r="Q244">
        <f>GDS_Monthly!T361</f>
        <v>122.9977337381779</v>
      </c>
      <c r="R244">
        <f>GDS_Monthly!V361</f>
        <v>122.21843134318571</v>
      </c>
      <c r="S244">
        <f>GDS_Monthly!W361</f>
        <v>98.063109720746482</v>
      </c>
      <c r="T244">
        <f>GDS_Monthly!X361</f>
        <v>136.33539545234868</v>
      </c>
      <c r="U244">
        <f>GDS_Monthly!AA361</f>
        <v>107.22655502922346</v>
      </c>
      <c r="V244">
        <f>GDS_Monthly!AC361</f>
        <v>138.25636650054446</v>
      </c>
      <c r="W244">
        <f>GDS_Monthly!AE361</f>
        <v>148.86004533811609</v>
      </c>
      <c r="X244">
        <f>GDS_Monthly!AF361</f>
        <v>105.40904645448667</v>
      </c>
      <c r="Y244">
        <f>OECD!B244</f>
        <v>99.383960000000002</v>
      </c>
      <c r="Z244">
        <f>OECD!C244</f>
        <v>122.17</v>
      </c>
      <c r="AA244">
        <f>'Monthly Haver'!K247</f>
        <v>114.07975</v>
      </c>
      <c r="AB244" s="10">
        <f>'Monthly Haver'!L247</f>
        <v>680</v>
      </c>
      <c r="AC244" s="8">
        <f>Quarterly!B82</f>
        <v>118.3</v>
      </c>
      <c r="AD244" s="8">
        <f>Quarterly!C82</f>
        <v>107.44</v>
      </c>
      <c r="AE244" s="8">
        <f>Quarterly!D82</f>
        <v>126.21835179216805</v>
      </c>
      <c r="AF244" s="8">
        <f>Quarterly!E82</f>
        <v>3.002344805132795</v>
      </c>
    </row>
    <row r="245" spans="1:32">
      <c r="A245" s="12">
        <v>43556</v>
      </c>
      <c r="B245" s="13">
        <f>'Monthly Haver'!C248</f>
        <v>52.130200000000002</v>
      </c>
      <c r="C245" s="13">
        <f>'Monthly Haver'!D248</f>
        <v>54.329799999999999</v>
      </c>
      <c r="D245" s="13">
        <f>'Monthly Haver'!E248</f>
        <v>49.456099999999999</v>
      </c>
      <c r="E245" s="13">
        <f>'Monthly Haver'!G248</f>
        <v>51.784199999999998</v>
      </c>
      <c r="F245" s="13">
        <f>'Monthly Haver'!H248</f>
        <v>50.417900000000003</v>
      </c>
      <c r="G245" s="13">
        <f>'Monthly Haver'!I248</f>
        <v>49.485199999999999</v>
      </c>
      <c r="H245" s="13">
        <f>'Monthly Haver'!J248</f>
        <v>52.707999999999998</v>
      </c>
      <c r="I245" s="13">
        <f>GDS_Monthly!O362</f>
        <v>70.363317058281396</v>
      </c>
      <c r="J245" s="13">
        <f>GDS_Monthly!D362</f>
        <v>131.86880844055696</v>
      </c>
      <c r="K245" s="13">
        <f>GDS_Monthly!AH362</f>
        <v>1258.2402047</v>
      </c>
      <c r="L245" s="13">
        <f>GDS_Monthly!AI362</f>
        <v>1206.6252581000001</v>
      </c>
      <c r="M245" s="13">
        <f>GDS_Monthly!N362</f>
        <v>5.05004762485272</v>
      </c>
      <c r="N245" s="13">
        <f>GDS_Monthly!C362</f>
        <v>114.30448701789039</v>
      </c>
      <c r="O245" s="13">
        <f>GDS_Monthly!F362</f>
        <v>2.2292637362911152</v>
      </c>
      <c r="P245" s="13">
        <f>GDS_Monthly!G362</f>
        <v>3.2208125134803982</v>
      </c>
      <c r="Q245" s="13">
        <f>GDS_Monthly!T362</f>
        <v>123.38388746765285</v>
      </c>
      <c r="R245" s="13">
        <f>GDS_Monthly!V362</f>
        <v>122.43063258522275</v>
      </c>
      <c r="S245" s="13">
        <f>GDS_Monthly!W362</f>
        <v>101.56920127626263</v>
      </c>
      <c r="T245" s="13">
        <f>GDS_Monthly!X362</f>
        <v>139.5837227549811</v>
      </c>
      <c r="U245" s="13">
        <f>GDS_Monthly!AA362</f>
        <v>109.34695896415499</v>
      </c>
      <c r="V245" s="13">
        <f>GDS_Monthly!AC362</f>
        <v>143.76829423648795</v>
      </c>
      <c r="W245" s="13">
        <f>GDS_Monthly!AE362</f>
        <v>160.45414525027914</v>
      </c>
      <c r="X245" s="13">
        <f>GDS_Monthly!AF362</f>
        <v>104.6810168967323</v>
      </c>
      <c r="Y245" s="13">
        <f>OECD!B245</f>
        <v>99.325580000000002</v>
      </c>
      <c r="Z245" s="13">
        <f>OECD!C245</f>
        <v>122.79</v>
      </c>
      <c r="AA245" s="13">
        <f>'Monthly Haver'!K248</f>
        <v>114.212</v>
      </c>
      <c r="AB245" s="10">
        <f>'Monthly Haver'!L248</f>
        <v>773</v>
      </c>
      <c r="AC245" s="8"/>
      <c r="AD245" s="8"/>
    </row>
    <row r="246" spans="1:32">
      <c r="A246" s="12">
        <v>43586</v>
      </c>
      <c r="B246" s="13">
        <f>'Monthly Haver'!C249</f>
        <v>51.298499999999997</v>
      </c>
      <c r="C246" s="13">
        <f>'Monthly Haver'!D249</f>
        <v>53.836500000000001</v>
      </c>
      <c r="D246" s="13">
        <f>'Monthly Haver'!E249</f>
        <v>49.363199999999999</v>
      </c>
      <c r="E246" s="13">
        <f>'Monthly Haver'!G249</f>
        <v>51.560600000000001</v>
      </c>
      <c r="F246" s="13">
        <f>'Monthly Haver'!H249</f>
        <v>49.816600000000001</v>
      </c>
      <c r="G246" s="13">
        <f>'Monthly Haver'!I249</f>
        <v>49.133099999999999</v>
      </c>
      <c r="H246" s="13">
        <f>'Monthly Haver'!J249</f>
        <v>51.598999999999997</v>
      </c>
      <c r="I246" s="13">
        <f>GDS_Monthly!O363</f>
        <v>70.777930521775332</v>
      </c>
      <c r="J246" s="13">
        <f>GDS_Monthly!D363</f>
        <v>132.41899700005555</v>
      </c>
      <c r="K246" s="13">
        <f>GDS_Monthly!AH363</f>
        <v>1247.4623836999999</v>
      </c>
      <c r="L246" s="13">
        <f>GDS_Monthly!AI363</f>
        <v>1219.6742881</v>
      </c>
      <c r="M246" s="13">
        <f>GDS_Monthly!N363</f>
        <v>5.0521274437201349</v>
      </c>
      <c r="N246" s="13">
        <f>GDS_Monthly!C363</f>
        <v>114.60406663716606</v>
      </c>
      <c r="O246" s="13">
        <f>GDS_Monthly!F363</f>
        <v>2.2304237015277106</v>
      </c>
      <c r="P246" s="13">
        <f>GDS_Monthly!G363</f>
        <v>3.3018345045762403</v>
      </c>
      <c r="Q246" s="13">
        <f>GDS_Monthly!T363</f>
        <v>123.62158874734506</v>
      </c>
      <c r="R246" s="13">
        <f>GDS_Monthly!V363</f>
        <v>122.59773600187687</v>
      </c>
      <c r="S246" s="13">
        <f>GDS_Monthly!W363</f>
        <v>98.094289080567989</v>
      </c>
      <c r="T246" s="13">
        <f>GDS_Monthly!X363</f>
        <v>138.82798101391154</v>
      </c>
      <c r="U246" s="13">
        <f>GDS_Monthly!AA363</f>
        <v>107.3884622827361</v>
      </c>
      <c r="V246" s="13">
        <f>GDS_Monthly!AC363</f>
        <v>139.41055701161275</v>
      </c>
      <c r="W246" s="13">
        <f>GDS_Monthly!AE363</f>
        <v>157.12435658797332</v>
      </c>
      <c r="X246" s="13">
        <f>GDS_Monthly!AF363</f>
        <v>105.43636036340688</v>
      </c>
      <c r="Y246" s="13">
        <f>OECD!B246</f>
        <v>99.269570000000002</v>
      </c>
      <c r="Z246" s="13">
        <f>OECD!C246</f>
        <v>122.29</v>
      </c>
      <c r="AA246" s="13">
        <f>'Monthly Haver'!K249</f>
        <v>115.33038000000001</v>
      </c>
      <c r="AB246" s="10">
        <f>'Monthly Haver'!L249</f>
        <v>1036</v>
      </c>
      <c r="AC246" s="8"/>
      <c r="AD246" s="8"/>
      <c r="AE246" s="8"/>
    </row>
    <row r="247" spans="1:32">
      <c r="A247" s="12">
        <v>43617</v>
      </c>
      <c r="B247" s="13">
        <f>'Monthly Haver'!C250</f>
        <v>51.596400000000003</v>
      </c>
      <c r="C247" s="13">
        <f>'Monthly Haver'!D250</f>
        <v>53.692500000000003</v>
      </c>
      <c r="D247" s="13">
        <f>'Monthly Haver'!E250</f>
        <v>49.103000000000002</v>
      </c>
      <c r="E247" s="13">
        <f>'Monthly Haver'!G250</f>
        <v>51.286200000000001</v>
      </c>
      <c r="F247" s="13">
        <f>'Monthly Haver'!H250</f>
        <v>49.398000000000003</v>
      </c>
      <c r="G247" s="13">
        <f>'Monthly Haver'!I250</f>
        <v>49.360700000000001</v>
      </c>
      <c r="H247" s="13">
        <f>'Monthly Haver'!J250</f>
        <v>51.913499999999999</v>
      </c>
      <c r="I247" s="13">
        <f>GDS_Monthly!O364</f>
        <v>71.276356320790484</v>
      </c>
      <c r="J247" s="13">
        <f>GDS_Monthly!D364</f>
        <v>131.45813790802495</v>
      </c>
      <c r="K247" s="13">
        <f>GDS_Monthly!AH364</f>
        <v>1212.4542107</v>
      </c>
      <c r="L247" s="13">
        <f>GDS_Monthly!AI364</f>
        <v>1193.6931130999999</v>
      </c>
      <c r="M247" s="13">
        <f>GDS_Monthly!N364</f>
        <v>5.0383062166696355</v>
      </c>
      <c r="N247" s="13">
        <f>GDS_Monthly!C364</f>
        <v>113.27017007452032</v>
      </c>
      <c r="O247" s="13">
        <f>GDS_Monthly!F364</f>
        <v>2.0072386203374775</v>
      </c>
      <c r="P247" s="13">
        <f>GDS_Monthly!G364</f>
        <v>3.2510657751741068</v>
      </c>
      <c r="Q247" s="13">
        <f>GDS_Monthly!T364</f>
        <v>123.79810825671296</v>
      </c>
      <c r="R247" s="13">
        <f>GDS_Monthly!V364</f>
        <v>122.85774893543187</v>
      </c>
      <c r="S247" s="13">
        <f>GDS_Monthly!W364</f>
        <v>100.21284140868016</v>
      </c>
      <c r="T247" s="13">
        <f>GDS_Monthly!X364</f>
        <v>141.33562362654658</v>
      </c>
      <c r="U247" s="13">
        <f>GDS_Monthly!AA364</f>
        <v>109.9959187497121</v>
      </c>
      <c r="V247" s="13">
        <f>GDS_Monthly!AC364</f>
        <v>123.53231918995917</v>
      </c>
      <c r="W247" s="13">
        <f>GDS_Monthly!AE364</f>
        <v>139.91703988015234</v>
      </c>
      <c r="X247" s="13">
        <f>GDS_Monthly!AF364</f>
        <v>104.95859498860995</v>
      </c>
      <c r="Y247" s="13">
        <f>OECD!B247</f>
        <v>99.219470000000001</v>
      </c>
      <c r="Z247" s="13">
        <f>OECD!C247</f>
        <v>122.42</v>
      </c>
      <c r="AA247" s="13">
        <f>'Monthly Haver'!K250</f>
        <v>114.9323</v>
      </c>
      <c r="AB247" s="10">
        <f>'Monthly Haver'!L250</f>
        <v>1174</v>
      </c>
      <c r="AC247" s="8">
        <f>Quarterly!B83</f>
        <v>118.61</v>
      </c>
      <c r="AD247" s="8">
        <f>Quarterly!C83</f>
        <v>107.94</v>
      </c>
      <c r="AE247" s="8">
        <f>Quarterly!D83</f>
        <v>127.0402367721524</v>
      </c>
      <c r="AF247" s="8">
        <f>Quarterly!E83</f>
        <v>3.4013271283909852</v>
      </c>
    </row>
    <row r="248" spans="1:32">
      <c r="A248" s="12">
        <v>43647</v>
      </c>
      <c r="B248" s="13">
        <f>'Monthly Haver'!C251</f>
        <v>52.060699999999997</v>
      </c>
      <c r="C248" s="13">
        <f>'Monthly Haver'!D251</f>
        <v>53.365900000000003</v>
      </c>
      <c r="D248" s="13">
        <f>'Monthly Haver'!E251</f>
        <v>48.980899999999998</v>
      </c>
      <c r="E248" s="13">
        <f>'Monthly Haver'!G251</f>
        <v>51.090200000000003</v>
      </c>
      <c r="F248" s="13">
        <f>'Monthly Haver'!H251</f>
        <v>49.331499999999998</v>
      </c>
      <c r="G248" s="13">
        <f>'Monthly Haver'!I251</f>
        <v>48.792000000000002</v>
      </c>
      <c r="H248" s="13">
        <f>'Monthly Haver'!J251</f>
        <v>52.525799999999997</v>
      </c>
      <c r="I248" s="13">
        <f>GDS_Monthly!O365</f>
        <v>71.532836027412117</v>
      </c>
      <c r="J248" s="13">
        <f>GDS_Monthly!D365</f>
        <v>132.50231154897347</v>
      </c>
      <c r="K248" s="13">
        <f>GDS_Monthly!AH365</f>
        <v>1241.5350307000001</v>
      </c>
      <c r="L248" s="13">
        <f>GDS_Monthly!AI365</f>
        <v>1224.0418850999999</v>
      </c>
      <c r="M248" s="18">
        <f>GDS_Monthly!N365</f>
        <v>5.053650539064658</v>
      </c>
      <c r="N248" s="13">
        <f>GDS_Monthly!C365</f>
        <v>115.40740234525339</v>
      </c>
      <c r="O248" s="13">
        <f>GDS_Monthly!F365</f>
        <v>1.818451391634041</v>
      </c>
      <c r="P248" s="13">
        <f>GDS_Monthly!G365</f>
        <v>3.1420682231272044</v>
      </c>
      <c r="Q248" s="13">
        <f>GDS_Monthly!T365</f>
        <v>124.06543184669432</v>
      </c>
      <c r="R248" s="13">
        <f>GDS_Monthly!V365</f>
        <v>123.11398307764026</v>
      </c>
      <c r="S248" s="13">
        <f>GDS_Monthly!W365</f>
        <v>100.2719739356133</v>
      </c>
      <c r="T248" s="13">
        <f>GDS_Monthly!X365</f>
        <v>147.527668724086</v>
      </c>
      <c r="U248" s="13">
        <f>GDS_Monthly!AA365</f>
        <v>111.79997594582807</v>
      </c>
      <c r="V248" s="13">
        <f>GDS_Monthly!AC365</f>
        <v>126.88977699809683</v>
      </c>
      <c r="W248" s="13">
        <f>GDS_Monthly!AE365</f>
        <v>144.44670037750404</v>
      </c>
      <c r="X248" s="13">
        <f>GDS_Monthly!AF365</f>
        <v>101.49049927442621</v>
      </c>
      <c r="Y248" s="15">
        <f>OECD!B248</f>
        <v>99.182829999999996</v>
      </c>
      <c r="Z248" s="13">
        <f>OECD!C248</f>
        <v>122.93</v>
      </c>
      <c r="AA248" s="13">
        <f>'Monthly Haver'!K251</f>
        <v>114.73869999999999</v>
      </c>
      <c r="AB248" s="10">
        <f>'Monthly Haver'!L251</f>
        <v>1870</v>
      </c>
      <c r="AE248" s="8"/>
    </row>
    <row r="249" spans="1:32">
      <c r="A249" s="12">
        <v>43678</v>
      </c>
      <c r="B249" s="18">
        <f>'Monthly Haver'!C252</f>
        <v>51.071100000000001</v>
      </c>
      <c r="C249" s="18">
        <f>'Monthly Haver'!D252</f>
        <v>52.214700000000001</v>
      </c>
      <c r="D249" s="18">
        <f>'Monthly Haver'!E252</f>
        <v>47.9617</v>
      </c>
      <c r="E249" s="18">
        <f>'Monthly Haver'!G252</f>
        <v>50.720700000000001</v>
      </c>
      <c r="F249" s="18">
        <f>'Monthly Haver'!H252</f>
        <v>49.546399999999998</v>
      </c>
      <c r="G249" s="18">
        <f>'Monthly Haver'!I252</f>
        <v>49.368299999999998</v>
      </c>
      <c r="H249" s="18">
        <f>'Monthly Haver'!J252</f>
        <v>51.749299999999998</v>
      </c>
      <c r="I249" s="18">
        <f>GDS_Monthly!O366</f>
        <v>72.073599138157945</v>
      </c>
      <c r="J249" s="18">
        <f>GDS_Monthly!D366</f>
        <v>132.04085528274481</v>
      </c>
      <c r="K249" s="18">
        <f>GDS_Monthly!AH366</f>
        <v>1221.8156627000001</v>
      </c>
      <c r="L249" s="18">
        <f>GDS_Monthly!AI366</f>
        <v>1204.7693231000001</v>
      </c>
      <c r="M249" s="18">
        <f>GDS_Monthly!N366</f>
        <v>5.0348962107142317</v>
      </c>
      <c r="N249" s="18">
        <f>GDS_Monthly!C366</f>
        <v>114.91377617980004</v>
      </c>
      <c r="O249" s="18">
        <f>GDS_Monthly!F366</f>
        <v>1.6690350407215082</v>
      </c>
      <c r="P249" s="18">
        <f>GDS_Monthly!G366</f>
        <v>3.0364877317249293</v>
      </c>
      <c r="Q249" s="18">
        <f>GDS_Monthly!T366</f>
        <v>124.28371179424789</v>
      </c>
      <c r="R249" s="18">
        <f>GDS_Monthly!V366</f>
        <v>123.32609062318222</v>
      </c>
      <c r="S249" s="18">
        <f>GDS_Monthly!W366</f>
        <v>98.260429796590472</v>
      </c>
      <c r="T249" s="18">
        <f>GDS_Monthly!X366</f>
        <v>133.36486957829743</v>
      </c>
      <c r="U249" s="18">
        <f>GDS_Monthly!AA366</f>
        <v>108.93216249732114</v>
      </c>
      <c r="V249" s="18">
        <f>GDS_Monthly!AC366</f>
        <v>118.18012795815469</v>
      </c>
      <c r="W249" s="18">
        <f>GDS_Monthly!AE366</f>
        <v>136.17066557838777</v>
      </c>
      <c r="X249" s="18">
        <f>GDS_Monthly!AF366</f>
        <v>97.621065873412633</v>
      </c>
      <c r="Y249" s="18">
        <f>OECD!B249</f>
        <v>99.16628</v>
      </c>
      <c r="Z249" s="18">
        <f>OECD!C249</f>
        <v>122.33</v>
      </c>
      <c r="AA249" s="18">
        <f>'Monthly Haver'!K252</f>
        <v>116.47369999999999</v>
      </c>
      <c r="AB249" s="10">
        <f>'Monthly Haver'!L252</f>
        <v>1982</v>
      </c>
      <c r="AC249" s="8"/>
      <c r="AD249" s="8"/>
      <c r="AE249" s="8"/>
    </row>
    <row r="250" spans="1:32">
      <c r="A250" s="12">
        <v>43709</v>
      </c>
      <c r="B250" s="18">
        <f>'Monthly Haver'!C253</f>
        <v>50.883200000000002</v>
      </c>
      <c r="C250" s="18">
        <f>'Monthly Haver'!D253</f>
        <v>51.9709</v>
      </c>
      <c r="D250" s="18">
        <f>'Monthly Haver'!E253</f>
        <v>48.203000000000003</v>
      </c>
      <c r="E250" s="18">
        <f>'Monthly Haver'!G253</f>
        <v>50.251300000000001</v>
      </c>
      <c r="F250" s="18">
        <f>'Monthly Haver'!H253</f>
        <v>49.756</v>
      </c>
      <c r="G250" s="18">
        <f>'Monthly Haver'!I253</f>
        <v>49.258600000000001</v>
      </c>
      <c r="H250" s="18">
        <f>'Monthly Haver'!J253</f>
        <v>51.3949</v>
      </c>
      <c r="I250" s="18">
        <f>GDS_Monthly!O367</f>
        <v>72.556219286739307</v>
      </c>
      <c r="J250" s="18">
        <f>GDS_Monthly!D367</f>
        <v>132.21459204216188</v>
      </c>
      <c r="K250" s="18">
        <f>GDS_Monthly!AH367</f>
        <v>1215.2334847</v>
      </c>
      <c r="L250" s="18">
        <f>GDS_Monthly!AI367</f>
        <v>1198.9574651</v>
      </c>
      <c r="M250" s="18">
        <f>GDS_Monthly!N367</f>
        <v>5.0155851863366072</v>
      </c>
      <c r="N250" s="18">
        <f>GDS_Monthly!C367</f>
        <v>113.46376271333695</v>
      </c>
      <c r="O250" s="18">
        <f>GDS_Monthly!F367</f>
        <v>1.7075320581509668</v>
      </c>
      <c r="P250" s="18">
        <f>GDS_Monthly!G367</f>
        <v>3.0001568234500504</v>
      </c>
      <c r="Q250" s="18">
        <f>GDS_Monthly!T367</f>
        <v>124.50922972747875</v>
      </c>
      <c r="R250" s="18">
        <f>GDS_Monthly!V367</f>
        <v>123.50156186317456</v>
      </c>
      <c r="S250" s="18">
        <f>GDS_Monthly!W367</f>
        <v>96.053057750248115</v>
      </c>
      <c r="T250" s="18">
        <f>GDS_Monthly!X367</f>
        <v>134.73112056274007</v>
      </c>
      <c r="U250" s="18">
        <f>GDS_Monthly!AA367</f>
        <v>108.6330393687476</v>
      </c>
      <c r="V250" s="18">
        <f>GDS_Monthly!AC367</f>
        <v>123.74253068228556</v>
      </c>
      <c r="W250" s="18">
        <f>GDS_Monthly!AE367</f>
        <v>142.32623254299719</v>
      </c>
      <c r="X250" s="18">
        <f>GDS_Monthly!AF367</f>
        <v>97.359428717849738</v>
      </c>
      <c r="Y250" s="18">
        <f>OECD!B250</f>
        <v>99.179040000000001</v>
      </c>
      <c r="Z250" s="18">
        <f>OECD!C250</f>
        <v>122.57</v>
      </c>
      <c r="AA250" s="18">
        <f>'Monthly Haver'!K253</f>
        <v>115.84856000000001</v>
      </c>
      <c r="AB250" s="10">
        <f>'Monthly Haver'!L253</f>
        <v>2255</v>
      </c>
      <c r="AC250" s="8">
        <f>Quarterly!B84</f>
        <v>119.1</v>
      </c>
      <c r="AD250" s="8">
        <f>Quarterly!C84</f>
        <v>108.55</v>
      </c>
      <c r="AE250" s="8">
        <f>Quarterly!D84</f>
        <v>127.80661894210897</v>
      </c>
      <c r="AF250" s="8">
        <f>Quarterly!E84</f>
        <v>3.0027110527812484</v>
      </c>
    </row>
    <row r="251" spans="1:32">
      <c r="A251" s="12">
        <v>43739</v>
      </c>
      <c r="B251" s="18">
        <f>'Monthly Haver'!C254</f>
        <v>50.798099999999998</v>
      </c>
      <c r="C251" s="18">
        <f>'Monthly Haver'!D254</f>
        <v>53.134700000000002</v>
      </c>
      <c r="D251" s="18">
        <f>'Monthly Haver'!E254</f>
        <v>49.0839</v>
      </c>
      <c r="E251" s="18">
        <f>'Monthly Haver'!G254</f>
        <v>49.826599999999999</v>
      </c>
      <c r="F251" s="18">
        <f>'Monthly Haver'!H254</f>
        <v>49.843499999999999</v>
      </c>
      <c r="G251" s="18">
        <f>'Monthly Haver'!I254</f>
        <v>48.179099999999998</v>
      </c>
      <c r="H251" s="18">
        <f>'Monthly Haver'!J254</f>
        <v>51.018900000000002</v>
      </c>
      <c r="I251" s="18">
        <f>GDS_Monthly!O368</f>
        <v>72.409953200785495</v>
      </c>
      <c r="J251" s="18">
        <f>GDS_Monthly!D368</f>
        <v>131.95115080341409</v>
      </c>
      <c r="K251" s="18">
        <f>GDS_Monthly!AH368</f>
        <v>1217.8030166999999</v>
      </c>
      <c r="L251" s="18">
        <f>GDS_Monthly!AI368</f>
        <v>1209.9095611</v>
      </c>
      <c r="M251" s="18">
        <f>GDS_Monthly!N368</f>
        <v>5.0167478868105766</v>
      </c>
      <c r="N251" s="18">
        <f>GDS_Monthly!C368</f>
        <v>113.33402070125993</v>
      </c>
      <c r="O251" s="18">
        <f>GDS_Monthly!F368</f>
        <v>1.770421921323668</v>
      </c>
      <c r="P251" s="18">
        <f>GDS_Monthly!G368</f>
        <v>2.8017179435927098</v>
      </c>
      <c r="Q251" s="18">
        <f>GDS_Monthly!T368</f>
        <v>124.92708890348511</v>
      </c>
      <c r="R251" s="18">
        <f>GDS_Monthly!V368</f>
        <v>123.67218547022303</v>
      </c>
      <c r="S251" s="18">
        <f>GDS_Monthly!W368</f>
        <v>96.42774735125127</v>
      </c>
      <c r="T251" s="18">
        <f>GDS_Monthly!X368</f>
        <v>131.99762358516924</v>
      </c>
      <c r="U251" s="18">
        <f>GDS_Monthly!AA368</f>
        <v>107.84782899386974</v>
      </c>
      <c r="V251" s="18">
        <f>GDS_Monthly!AC368</f>
        <v>120.50540505135179</v>
      </c>
      <c r="W251" s="18">
        <f>GDS_Monthly!AE368</f>
        <v>135.54600065811735</v>
      </c>
      <c r="X251" s="18">
        <f>GDS_Monthly!AF368</f>
        <v>95.92017897415441</v>
      </c>
      <c r="Y251" s="18">
        <f>OECD!B251</f>
        <v>99.230289999999997</v>
      </c>
      <c r="Z251" s="18">
        <f>OECD!C251</f>
        <v>121.97</v>
      </c>
      <c r="AA251" s="18">
        <f>'Monthly Haver'!K254</f>
        <v>115.67399</v>
      </c>
      <c r="AB251" s="10">
        <f>'Monthly Haver'!L254</f>
        <v>1826</v>
      </c>
      <c r="AC251" s="8"/>
      <c r="AD251" s="8"/>
    </row>
    <row r="252" spans="1:32" s="19" customFormat="1">
      <c r="A252" s="12">
        <v>43770</v>
      </c>
      <c r="B252" s="19">
        <f>'Monthly Haver'!C255</f>
        <v>51.168399999999998</v>
      </c>
      <c r="C252" s="19">
        <f>'Monthly Haver'!D255</f>
        <v>53.0593</v>
      </c>
      <c r="D252" s="19">
        <f>'Monthly Haver'!E255</f>
        <v>49.088500000000003</v>
      </c>
      <c r="E252" s="19">
        <f>'Monthly Haver'!G255</f>
        <v>50.8596</v>
      </c>
      <c r="F252" s="19">
        <f>'Monthly Haver'!H255</f>
        <v>50.326999999999998</v>
      </c>
      <c r="G252" s="19">
        <f>'Monthly Haver'!I255</f>
        <v>48.761099999999999</v>
      </c>
      <c r="H252" s="19">
        <f>'Monthly Haver'!J255</f>
        <v>51.630800000000001</v>
      </c>
      <c r="I252" s="19">
        <f>GDS_Monthly!O369</f>
        <v>73.132493010131512</v>
      </c>
      <c r="J252" s="19">
        <f>GDS_Monthly!D369</f>
        <v>132.64747615324691</v>
      </c>
      <c r="K252" s="19">
        <f>GDS_Monthly!AH369</f>
        <v>1203.6110756999999</v>
      </c>
      <c r="L252" s="19">
        <f>GDS_Monthly!AI369</f>
        <v>1199.1340680999999</v>
      </c>
      <c r="M252" s="19">
        <f>GDS_Monthly!N369</f>
        <v>4.9990385713722931</v>
      </c>
      <c r="N252" s="19">
        <f>GDS_Monthly!C369</f>
        <v>113.62491612464909</v>
      </c>
      <c r="O252" s="19">
        <f>GDS_Monthly!F369</f>
        <v>1.7321376384219236</v>
      </c>
      <c r="P252" s="19">
        <f>GDS_Monthly!G369</f>
        <v>2.7300392426821425</v>
      </c>
      <c r="Q252" s="19">
        <f>GDS_Monthly!T369</f>
        <v>125.28325204142581</v>
      </c>
      <c r="R252" s="19">
        <f>GDS_Monthly!V369</f>
        <v>123.87563177923768</v>
      </c>
      <c r="S252" s="19">
        <f>GDS_Monthly!W369</f>
        <v>100.01078203644526</v>
      </c>
      <c r="T252" s="19">
        <f>GDS_Monthly!X369</f>
        <v>126.88952281072542</v>
      </c>
      <c r="U252" s="19">
        <f>GDS_Monthly!AA369</f>
        <v>108.47558688098249</v>
      </c>
      <c r="V252" s="19">
        <f>GDS_Monthly!AC369</f>
        <v>129.10417054079247</v>
      </c>
      <c r="W252" s="19">
        <f>GDS_Monthly!AE369</f>
        <v>142.59580836943252</v>
      </c>
      <c r="X252" s="19">
        <f>GDS_Monthly!AF369</f>
        <v>99.175882076785683</v>
      </c>
      <c r="Y252" s="19">
        <f>OECD!B252</f>
        <v>99.316360000000003</v>
      </c>
      <c r="Z252" s="19">
        <f>OECD!C252</f>
        <v>122.42</v>
      </c>
      <c r="AA252" s="19">
        <f>'Monthly Haver'!K255</f>
        <v>115.69779</v>
      </c>
      <c r="AB252" s="10">
        <f>'Monthly Haver'!L255</f>
        <v>1419</v>
      </c>
      <c r="AC252" s="8"/>
      <c r="AD252" s="8"/>
      <c r="AE252" s="8"/>
    </row>
    <row r="253" spans="1:32" s="19" customFormat="1">
      <c r="A253" s="12">
        <v>43800</v>
      </c>
      <c r="B253" s="19">
        <f>'Monthly Haver'!C256</f>
        <v>51.906700000000001</v>
      </c>
      <c r="C253" s="19">
        <f>'Monthly Haver'!D256</f>
        <v>53.325699999999998</v>
      </c>
      <c r="D253" s="19">
        <f>'Monthly Haver'!E256</f>
        <v>49.351599999999998</v>
      </c>
      <c r="E253" s="19">
        <f>'Monthly Haver'!G256</f>
        <v>50.932099999999998</v>
      </c>
      <c r="F253" s="19">
        <f>'Monthly Haver'!H256</f>
        <v>50.070500000000003</v>
      </c>
      <c r="G253" s="19">
        <f>'Monthly Haver'!I256</f>
        <v>49.223700000000001</v>
      </c>
      <c r="H253" s="19">
        <f>'Monthly Haver'!J256</f>
        <v>51.988700000000001</v>
      </c>
      <c r="I253" s="19">
        <f>GDS_Monthly!O370</f>
        <v>73.386831831655414</v>
      </c>
      <c r="J253" s="19">
        <f>GDS_Monthly!D370</f>
        <v>132.74844455964595</v>
      </c>
      <c r="K253" s="19">
        <f>GDS_Monthly!AH370</f>
        <v>1219.4924106999999</v>
      </c>
      <c r="L253" s="19">
        <f>GDS_Monthly!AI370</f>
        <v>1219.8298701000001</v>
      </c>
      <c r="M253" s="19">
        <f>GDS_Monthly!N370</f>
        <v>4.9814986188692414</v>
      </c>
      <c r="N253" s="19">
        <f>GDS_Monthly!C370</f>
        <v>114.0144301580664</v>
      </c>
      <c r="O253" s="19">
        <f>GDS_Monthly!F370</f>
        <v>1.8686779687910933</v>
      </c>
      <c r="P253" s="19">
        <f>GDS_Monthly!G370</f>
        <v>2.6892117052107056</v>
      </c>
      <c r="Q253" s="19">
        <f>GDS_Monthly!T370</f>
        <v>125.6152416427679</v>
      </c>
      <c r="R253" s="19">
        <f>GDS_Monthly!V370</f>
        <v>124.06316697127036</v>
      </c>
      <c r="S253" s="19">
        <f>GDS_Monthly!W370</f>
        <v>103.73135981722206</v>
      </c>
      <c r="T253" s="19">
        <f>GDS_Monthly!X370</f>
        <v>131.21475254982565</v>
      </c>
      <c r="U253" s="19">
        <f>GDS_Monthly!AA370</f>
        <v>111.30343536645424</v>
      </c>
      <c r="V253" s="19">
        <f>GDS_Monthly!AC370</f>
        <v>132.36824095167262</v>
      </c>
      <c r="W253" s="19">
        <f>GDS_Monthly!AE370</f>
        <v>149.21508218750705</v>
      </c>
      <c r="X253" s="19">
        <f>GDS_Monthly!AF370</f>
        <v>99.143821036657997</v>
      </c>
      <c r="Y253" s="19">
        <f>OECD!B253</f>
        <v>99.432379999999995</v>
      </c>
      <c r="Z253" s="19">
        <f>OECD!C253</f>
        <v>122.74</v>
      </c>
      <c r="AA253" s="19">
        <f>'Monthly Haver'!K256</f>
        <v>114.88596</v>
      </c>
      <c r="AB253" s="10">
        <f>'Monthly Haver'!L256</f>
        <v>1381</v>
      </c>
      <c r="AC253" s="8"/>
      <c r="AD253" s="8"/>
      <c r="AE253" s="8">
        <f>Quarterly!D85</f>
        <v>128.38092974473832</v>
      </c>
      <c r="AF253" s="8">
        <f>Quarterly!E85</f>
        <v>2.6073256805054568</v>
      </c>
    </row>
    <row r="254" spans="1:32" s="19" customFormat="1">
      <c r="A254" s="12">
        <v>43831</v>
      </c>
      <c r="B254" s="33">
        <f>'Monthly Haver'!C257</f>
        <v>52.256100000000004</v>
      </c>
      <c r="C254" s="33">
        <f>'Monthly Haver'!D257</f>
        <v>53.894399999999997</v>
      </c>
      <c r="D254" s="33">
        <f>'Monthly Haver'!E257</f>
        <v>49.5242</v>
      </c>
      <c r="E254" s="33">
        <f>'Monthly Haver'!G257</f>
        <v>51.163200000000003</v>
      </c>
      <c r="F254" s="33">
        <f>'Monthly Haver'!H257</f>
        <v>50.357799999999997</v>
      </c>
      <c r="G254" s="33">
        <f>'Monthly Haver'!I257</f>
        <v>48.663600000000002</v>
      </c>
      <c r="H254" s="33">
        <f>'Monthly Haver'!J257</f>
        <v>52.7288</v>
      </c>
      <c r="I254" s="33">
        <f>GDS_Monthly!O371</f>
        <v>68.370955582852019</v>
      </c>
      <c r="J254" s="33">
        <f>GDS_Monthly!D371</f>
        <v>127.98143038791711</v>
      </c>
      <c r="K254" s="33">
        <f>GDS_Monthly!AH371</f>
        <v>1222.9438877</v>
      </c>
      <c r="L254" s="33">
        <f>GDS_Monthly!AI371</f>
        <v>1175.1976531</v>
      </c>
      <c r="M254" s="33"/>
      <c r="N254" s="33">
        <f>GDS_Monthly!C371</f>
        <v>114.64714606786094</v>
      </c>
      <c r="O254" s="33">
        <f>GDS_Monthly!F371</f>
        <v>1.8092976687987665</v>
      </c>
      <c r="P254" s="33">
        <f>GDS_Monthly!G371</f>
        <v>2.5391059592609304</v>
      </c>
      <c r="Q254" s="33">
        <f>GDS_Monthly!T371</f>
        <v>125.92502813227253</v>
      </c>
      <c r="R254" s="33">
        <f>GDS_Monthly!V371</f>
        <v>124.27877924870742</v>
      </c>
      <c r="S254" s="33">
        <f>GDS_Monthly!W371</f>
        <v>105.36144797899708</v>
      </c>
      <c r="T254" s="33">
        <f>GDS_Monthly!X371</f>
        <v>133.35121804838161</v>
      </c>
      <c r="U254" s="33">
        <f>GDS_Monthly!AA371</f>
        <v>113.98177979485864</v>
      </c>
      <c r="V254" s="33">
        <f>GDS_Monthly!AC371</f>
        <v>127.41432450815657</v>
      </c>
      <c r="W254" s="33">
        <f>GDS_Monthly!AE371</f>
        <v>145.13585605005483</v>
      </c>
      <c r="X254" s="33">
        <f>GDS_Monthly!AF371</f>
        <v>100.33459591496492</v>
      </c>
      <c r="Y254" s="33"/>
      <c r="Z254" s="33">
        <f>OECD!C254</f>
        <v>124.64</v>
      </c>
      <c r="AA254" s="33">
        <f>'Monthly Haver'!K257</f>
        <v>113.84913</v>
      </c>
      <c r="AB254" s="10">
        <f>'Monthly Haver'!L257</f>
        <v>701</v>
      </c>
      <c r="AC254" s="8"/>
      <c r="AD254" s="8"/>
      <c r="AE254" s="8"/>
      <c r="AF254" s="33"/>
    </row>
    <row r="255" spans="1:32" s="33" customFormat="1">
      <c r="A255" s="12">
        <v>43862</v>
      </c>
      <c r="B255" s="33">
        <f>'Monthly Haver'!C258</f>
        <v>46.344099999999997</v>
      </c>
      <c r="C255" s="33">
        <f>'Monthly Haver'!D258</f>
        <v>52.490200000000002</v>
      </c>
      <c r="D255" s="33">
        <f>'Monthly Haver'!E258</f>
        <v>45.179200000000002</v>
      </c>
      <c r="E255" s="33">
        <f>'Monthly Haver'!G258</f>
        <v>49.781399999999998</v>
      </c>
      <c r="F255" s="33">
        <f>'Monthly Haver'!H258</f>
        <v>47.1678</v>
      </c>
      <c r="G255" s="33">
        <f>'Monthly Haver'!I258</f>
        <v>48.115499999999997</v>
      </c>
      <c r="H255" s="33">
        <f>'Monthly Haver'!J258</f>
        <v>47.123899999999999</v>
      </c>
      <c r="N255" s="33">
        <f>GDS_Monthly!C372</f>
        <v>114.565537747918</v>
      </c>
      <c r="O255" s="33">
        <f>GDS_Monthly!F372</f>
        <v>1.6145329944360574</v>
      </c>
      <c r="P255" s="33">
        <f>GDS_Monthly!G372</f>
        <v>2.385378267983751</v>
      </c>
      <c r="Q255" s="33">
        <f>GDS_Monthly!T372</f>
        <v>126.26048343441599</v>
      </c>
      <c r="R255" s="33">
        <f>GDS_Monthly!V372</f>
        <v>124.47676666120641</v>
      </c>
      <c r="S255" s="33">
        <f>GDS_Monthly!W372</f>
        <v>101.4973764462753</v>
      </c>
      <c r="T255" s="33">
        <f>GDS_Monthly!X372</f>
        <v>126.00289384350455</v>
      </c>
      <c r="U255" s="33">
        <f>GDS_Monthly!AA372</f>
        <v>111.53698350886212</v>
      </c>
      <c r="V255" s="33">
        <f>GDS_Monthly!AC372</f>
        <v>110.31233151655762</v>
      </c>
      <c r="W255" s="33">
        <f>GDS_Monthly!AE372</f>
        <v>126.52869516698097</v>
      </c>
      <c r="X255" s="33">
        <f>GDS_Monthly!AF372</f>
        <v>98.733020949943565</v>
      </c>
      <c r="Z255" s="33">
        <f>OECD!C255</f>
        <v>124.08</v>
      </c>
      <c r="AA255" s="33">
        <f>'Monthly Haver'!K258</f>
        <v>115.21493</v>
      </c>
      <c r="AB255" s="10">
        <f>'Monthly Haver'!L258</f>
        <v>461</v>
      </c>
      <c r="AC255" s="8"/>
      <c r="AD255" s="8"/>
      <c r="AE255" s="8"/>
    </row>
    <row r="256" spans="1:32" s="33" customFormat="1">
      <c r="A256" s="12">
        <v>43891</v>
      </c>
      <c r="P256" s="33">
        <f>GDS_Monthly!G373</f>
        <v>1.8756743474516826</v>
      </c>
      <c r="AB256" s="10"/>
      <c r="AC256" s="8"/>
      <c r="AD256" s="8"/>
      <c r="AE256" s="8"/>
    </row>
    <row r="261" spans="32:32">
      <c r="AF261" s="37"/>
    </row>
    <row r="262" spans="32:32">
      <c r="AF262" s="37"/>
    </row>
    <row r="263" spans="32:32">
      <c r="AF263" s="37"/>
    </row>
    <row r="264" spans="32:32">
      <c r="AF264" s="37"/>
    </row>
    <row r="265" spans="32:32">
      <c r="AF265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GDS_Monthly</vt:lpstr>
      <vt:lpstr>Bloomberg</vt:lpstr>
      <vt:lpstr>OECD</vt:lpstr>
      <vt:lpstr>GDS_Quarterly</vt:lpstr>
      <vt:lpstr>Sheet1</vt:lpstr>
      <vt:lpstr>Commodity_Prices</vt:lpstr>
      <vt:lpstr>Monthly Haver</vt:lpstr>
      <vt:lpstr>Quarterly Haver</vt:lpstr>
      <vt:lpstr>Monthly</vt:lpstr>
      <vt:lpstr>Quarterly</vt:lpstr>
      <vt:lpstr>data</vt:lpstr>
      <vt:lpstr>_DLX2.USE</vt:lpstr>
      <vt:lpstr>_DLX3.USE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2020-03-24T13:58:03Z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20200324091824859</vt:lpwstr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
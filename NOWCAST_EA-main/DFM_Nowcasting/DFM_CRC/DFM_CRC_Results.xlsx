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8_{8DF98069-E261-453E-B628-BC7DE14FF52B}" xr6:coauthVersionLast="36" xr6:coauthVersionMax="36" xr10:uidLastSave="{00000000-0000-0000-0000-000000000000}"/>
  <bookViews>
    <workbookView xWindow="0" yWindow="0" windowWidth="23040" windowHeight="8955" xr2:uid="{D18A0661-1219-49BB-A20D-CD0204729060}"/>
  </bookViews>
  <sheets>
    <sheet name="Aug21_NoCosensus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4" i="12" l="1"/>
  <c r="D14" i="12"/>
  <c r="C14" i="12"/>
  <c r="B14" i="12"/>
  <c r="E9" i="12"/>
  <c r="D9" i="12"/>
  <c r="C9" i="12"/>
  <c r="B9" i="12"/>
  <c r="E4" i="12"/>
  <c r="D4" i="12"/>
  <c r="C4" i="12"/>
  <c r="B4" i="12" s="1"/>
</calcChain>
</file>

<file path=xl/sharedStrings.xml><?xml version="1.0" encoding="utf-8"?>
<sst xmlns="http://schemas.openxmlformats.org/spreadsheetml/2006/main" count="47" uniqueCount="22">
  <si>
    <t>DFM Nowcast</t>
  </si>
  <si>
    <t>2018Q4</t>
  </si>
  <si>
    <t>2019Q1</t>
  </si>
  <si>
    <t>GPM Nowcast*</t>
  </si>
  <si>
    <t>Actual</t>
  </si>
  <si>
    <t>March</t>
  </si>
  <si>
    <t>September</t>
  </si>
  <si>
    <t>October</t>
  </si>
  <si>
    <t>November</t>
  </si>
  <si>
    <t>December</t>
  </si>
  <si>
    <t>January</t>
  </si>
  <si>
    <t>February</t>
  </si>
  <si>
    <t>2018Q3</t>
  </si>
  <si>
    <t>June</t>
  </si>
  <si>
    <t>July</t>
  </si>
  <si>
    <t>August</t>
  </si>
  <si>
    <t>2019Q2</t>
  </si>
  <si>
    <t>April</t>
  </si>
  <si>
    <t>May</t>
  </si>
  <si>
    <t>2019Q3</t>
  </si>
  <si>
    <t>GPM Nowcast refers to monitoring closest to data retrieval date (21st of month)</t>
  </si>
  <si>
    <t>Model estimation: Aug 21,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</si>
</sst>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Aug21_NoCosensus!$B$2:$F$2</c:f>
              <c:numCache>
                <c:formatCode>0.00</c:formatCode>
                <c:ptCount val="5"/>
                <c:pt idx="0">
                  <c:v>4.47</c:v>
                </c:pt>
                <c:pt idx="1">
                  <c:v>4.25</c:v>
                </c:pt>
                <c:pt idx="2">
                  <c:v>4.1399999999999997</c:v>
                </c:pt>
                <c:pt idx="3">
                  <c:v>3.88</c:v>
                </c:pt>
                <c:pt idx="4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B-4C46-A40F-B177D498728A}"/>
            </c:ext>
          </c:extLst>
        </c:ser>
        <c:ser>
          <c:idx val="1"/>
          <c:order val="1"/>
          <c:tx>
            <c:strRef>
              <c:f>Aug21_NoCosensus!$A$3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Aug21_NoCosensus!$B$3:$F$3</c:f>
              <c:numCache>
                <c:formatCode>0.00</c:formatCode>
                <c:ptCount val="5"/>
                <c:pt idx="0">
                  <c:v>3.5</c:v>
                </c:pt>
                <c:pt idx="1">
                  <c:v>3.6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B-4C46-A40F-B177D498728A}"/>
            </c:ext>
          </c:extLst>
        </c:ser>
        <c:ser>
          <c:idx val="2"/>
          <c:order val="2"/>
          <c:tx>
            <c:strRef>
              <c:f>Aug21_NoCosensus!$A$4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Aug21_NoCosensus!$B$4:$F$4</c:f>
              <c:numCache>
                <c:formatCode>0.00</c:formatCode>
                <c:ptCount val="5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  <c:pt idx="4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2B-4C46-A40F-B177D4987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Aug21_NoCosensus!$B$7:$F$7</c:f>
              <c:numCache>
                <c:formatCode>0.00</c:formatCode>
                <c:ptCount val="5"/>
                <c:pt idx="0">
                  <c:v>3.26</c:v>
                </c:pt>
                <c:pt idx="1">
                  <c:v>3.21</c:v>
                </c:pt>
                <c:pt idx="2">
                  <c:v>2.5499999999999998</c:v>
                </c:pt>
                <c:pt idx="3">
                  <c:v>2.31</c:v>
                </c:pt>
                <c:pt idx="4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5-4CE8-AE1C-53CF938FAE6F}"/>
            </c:ext>
          </c:extLst>
        </c:ser>
        <c:ser>
          <c:idx val="1"/>
          <c:order val="1"/>
          <c:tx>
            <c:strRef>
              <c:f>Aug21_NoCosensus!$A$8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Aug21_NoCosensus!$B$8:$F$8</c:f>
              <c:numCache>
                <c:formatCode>0.00</c:formatCode>
                <c:ptCount val="5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2.9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5-4CE8-AE1C-53CF938FAE6F}"/>
            </c:ext>
          </c:extLst>
        </c:ser>
        <c:ser>
          <c:idx val="2"/>
          <c:order val="2"/>
          <c:tx>
            <c:strRef>
              <c:f>Aug21_NoCosensus!$A$9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Aug21_NoCosensus!$B$9:$F$9</c:f>
              <c:numCache>
                <c:formatCode>0.00</c:formatCode>
                <c:ptCount val="5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  <c:pt idx="4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A5-4CE8-AE1C-53CF938F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Aug21_NoCosensus!$B$12:$F$12</c:f>
              <c:numCache>
                <c:formatCode>0.00</c:formatCode>
                <c:ptCount val="5"/>
                <c:pt idx="0">
                  <c:v>3.26</c:v>
                </c:pt>
                <c:pt idx="1">
                  <c:v>2.3199999999999998</c:v>
                </c:pt>
                <c:pt idx="2">
                  <c:v>1.59</c:v>
                </c:pt>
                <c:pt idx="3">
                  <c:v>1.1599999999999999</c:v>
                </c:pt>
                <c:pt idx="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D-4546-A243-28C03266FF48}"/>
            </c:ext>
          </c:extLst>
        </c:ser>
        <c:ser>
          <c:idx val="1"/>
          <c:order val="1"/>
          <c:tx>
            <c:strRef>
              <c:f>Aug21_NoCosensus!$A$13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Aug21_NoCosensus!$B$13:$F$13</c:f>
              <c:numCache>
                <c:formatCode>0.00</c:formatCode>
                <c:ptCount val="5"/>
                <c:pt idx="0">
                  <c:v>2.9</c:v>
                </c:pt>
                <c:pt idx="1">
                  <c:v>2.7</c:v>
                </c:pt>
                <c:pt idx="2">
                  <c:v>1.1000000000000001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D-4546-A243-28C03266FF48}"/>
            </c:ext>
          </c:extLst>
        </c:ser>
        <c:ser>
          <c:idx val="2"/>
          <c:order val="2"/>
          <c:tx>
            <c:strRef>
              <c:f>Aug21_NoCosensus!$A$14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Aug21_NoCosensus!$B$14:$F$14</c:f>
              <c:numCache>
                <c:formatCode>0.00</c:formatCode>
                <c:ptCount val="5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  <c:pt idx="4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DD-4546-A243-28C03266F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Aug21_NoCosensus!$B$17:$F$17</c:f>
              <c:numCache>
                <c:formatCode>0.00</c:formatCode>
                <c:ptCount val="5"/>
                <c:pt idx="0">
                  <c:v>4.04</c:v>
                </c:pt>
                <c:pt idx="1">
                  <c:v>3.57</c:v>
                </c:pt>
                <c:pt idx="2">
                  <c:v>4.63</c:v>
                </c:pt>
                <c:pt idx="3">
                  <c:v>2.98</c:v>
                </c:pt>
                <c:pt idx="4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4-4920-A1BF-51DF0F136C75}"/>
            </c:ext>
          </c:extLst>
        </c:ser>
        <c:ser>
          <c:idx val="1"/>
          <c:order val="1"/>
          <c:tx>
            <c:strRef>
              <c:f>Aug21_NoCosensus!$A$18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Aug21_NoCosensus!$B$18:$F$18</c:f>
              <c:numCache>
                <c:formatCode>0.00</c:formatCode>
                <c:ptCount val="5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  <c:pt idx="4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14-4920-A1BF-51DF0F136C75}"/>
            </c:ext>
          </c:extLst>
        </c:ser>
        <c:ser>
          <c:idx val="2"/>
          <c:order val="2"/>
          <c:tx>
            <c:strRef>
              <c:f>Aug21_NoCosensus!$A$19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Aug21_NoCosensus!$B$19:$F$19</c:f>
              <c:numCache>
                <c:formatCode>0.00</c:formatCode>
                <c:ptCount val="5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  <c:pt idx="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14-4920-A1BF-51DF0F136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Aug21_NoCosensus!$B$22:$F$22</c:f>
              <c:numCache>
                <c:formatCode>0.00</c:formatCode>
                <c:ptCount val="5"/>
                <c:pt idx="0">
                  <c:v>2.44</c:v>
                </c:pt>
                <c:pt idx="1">
                  <c:v>1.46</c:v>
                </c:pt>
                <c:pt idx="2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5-46CD-959D-CB081422EC22}"/>
            </c:ext>
          </c:extLst>
        </c:ser>
        <c:ser>
          <c:idx val="1"/>
          <c:order val="1"/>
          <c:tx>
            <c:strRef>
              <c:f>Aug21_NoCosensus!$A$23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Aug21_NoCosensus!$B$23:$F$23</c:f>
              <c:numCache>
                <c:formatCode>0.00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5-46CD-959D-CB081422EC22}"/>
            </c:ext>
          </c:extLst>
        </c:ser>
        <c:ser>
          <c:idx val="2"/>
          <c:order val="2"/>
          <c:tx>
            <c:strRef>
              <c:f>Aug21_NoCosensus!$A$24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Aug21_NoCosensus!$B$21:$F$21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Aug21_NoCosensus!$B$24:$F$24</c:f>
              <c:numCache>
                <c:formatCode>0.00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5-46CD-959D-CB081422E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48B3A-9FDC-4509-A029-C3F22CBD3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E1B899-CC6E-498A-9FF7-1FDF5344E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06F195-65B5-472D-9F54-71E75119F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C35374-C4F4-45DF-AEE6-28658BA9B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9EBFA9-8653-43CF-B1A4-049CB6DA4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9FC8-3C81-479F-AFF8-87EAABEA4C69}">
  <dimension ref="A1:F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2" sqref="B32"/>
    </sheetView>
  </sheetViews>
  <sheetFormatPr defaultRowHeight="15" x14ac:dyDescent="0.25"/>
  <cols>
    <col min="1" max="1" width="17.7109375" customWidth="1"/>
    <col min="2" max="5" width="11.140625" customWidth="1"/>
  </cols>
  <sheetData>
    <row r="1" spans="1:6" x14ac:dyDescent="0.25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3" t="s">
        <v>7</v>
      </c>
    </row>
    <row r="2" spans="1:6" x14ac:dyDescent="0.25">
      <c r="A2" s="4" t="s">
        <v>0</v>
      </c>
      <c r="B2" s="5">
        <v>4.47</v>
      </c>
      <c r="C2" s="5">
        <v>4.25</v>
      </c>
      <c r="D2" s="5">
        <v>4.1399999999999997</v>
      </c>
      <c r="E2" s="5">
        <v>3.88</v>
      </c>
      <c r="F2" s="6">
        <v>4.17</v>
      </c>
    </row>
    <row r="3" spans="1:6" x14ac:dyDescent="0.25">
      <c r="A3" s="4" t="s">
        <v>3</v>
      </c>
      <c r="B3" s="5">
        <v>3.5</v>
      </c>
      <c r="C3" s="5">
        <v>3.6</v>
      </c>
      <c r="D3" s="5">
        <v>3</v>
      </c>
      <c r="E3" s="5">
        <v>3</v>
      </c>
      <c r="F3" s="6">
        <v>3</v>
      </c>
    </row>
    <row r="4" spans="1:6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8">
        <f>F4</f>
        <v>2.3299274242445156</v>
      </c>
      <c r="F4" s="9">
        <v>2.3299274242445156</v>
      </c>
    </row>
    <row r="5" spans="1:6" x14ac:dyDescent="0.25">
      <c r="A5" s="10"/>
      <c r="B5" s="10"/>
      <c r="C5" s="10"/>
      <c r="D5" s="10"/>
      <c r="E5" s="10"/>
    </row>
    <row r="6" spans="1:6" x14ac:dyDescent="0.25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3" t="s">
        <v>10</v>
      </c>
    </row>
    <row r="7" spans="1:6" x14ac:dyDescent="0.25">
      <c r="A7" s="4" t="s">
        <v>0</v>
      </c>
      <c r="B7" s="5">
        <v>3.26</v>
      </c>
      <c r="C7" s="5">
        <v>3.21</v>
      </c>
      <c r="D7" s="5">
        <v>2.5499999999999998</v>
      </c>
      <c r="E7" s="5">
        <v>2.31</v>
      </c>
      <c r="F7" s="6">
        <v>1.24</v>
      </c>
    </row>
    <row r="8" spans="1:6" x14ac:dyDescent="0.25">
      <c r="A8" s="4" t="s">
        <v>3</v>
      </c>
      <c r="B8" s="5">
        <v>2.5</v>
      </c>
      <c r="C8" s="5">
        <v>2.5</v>
      </c>
      <c r="D8" s="5">
        <v>3.9</v>
      </c>
      <c r="E8" s="5">
        <v>2.9</v>
      </c>
      <c r="F8" s="6">
        <v>1.8</v>
      </c>
    </row>
    <row r="9" spans="1:6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8">
        <f>F9</f>
        <v>3.7720181748625681</v>
      </c>
      <c r="F9" s="9">
        <v>3.7720181748625681</v>
      </c>
    </row>
    <row r="10" spans="1:6" x14ac:dyDescent="0.25">
      <c r="A10" s="10"/>
      <c r="B10" s="10"/>
      <c r="C10" s="10"/>
      <c r="D10" s="10"/>
      <c r="E10" s="10"/>
    </row>
    <row r="11" spans="1:6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3" t="s">
        <v>17</v>
      </c>
    </row>
    <row r="12" spans="1:6" x14ac:dyDescent="0.25">
      <c r="A12" s="4" t="s">
        <v>0</v>
      </c>
      <c r="B12" s="5">
        <v>3.26</v>
      </c>
      <c r="C12" s="5">
        <v>2.3199999999999998</v>
      </c>
      <c r="D12" s="5">
        <v>1.59</v>
      </c>
      <c r="E12" s="5">
        <v>1.1599999999999999</v>
      </c>
      <c r="F12" s="6">
        <v>0.15</v>
      </c>
    </row>
    <row r="13" spans="1:6" x14ac:dyDescent="0.25">
      <c r="A13" s="4" t="s">
        <v>3</v>
      </c>
      <c r="B13" s="5">
        <v>2.9</v>
      </c>
      <c r="C13" s="5">
        <v>2.7</v>
      </c>
      <c r="D13" s="5">
        <v>1.1000000000000001</v>
      </c>
      <c r="E13" s="5">
        <v>0.8</v>
      </c>
      <c r="F13" s="6">
        <v>0.8</v>
      </c>
    </row>
    <row r="14" spans="1:6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8">
        <f>F14</f>
        <v>-1.47</v>
      </c>
      <c r="F14" s="9">
        <v>-1.47</v>
      </c>
    </row>
    <row r="15" spans="1:6" x14ac:dyDescent="0.25">
      <c r="A15" s="10"/>
      <c r="B15" s="10"/>
      <c r="C15" s="10"/>
      <c r="D15" s="10"/>
      <c r="E15" s="10"/>
    </row>
    <row r="16" spans="1:6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3" t="s">
        <v>14</v>
      </c>
    </row>
    <row r="17" spans="1:6" x14ac:dyDescent="0.25">
      <c r="A17" s="4" t="s">
        <v>0</v>
      </c>
      <c r="B17" s="5">
        <v>4.04</v>
      </c>
      <c r="C17" s="5">
        <v>3.57</v>
      </c>
      <c r="D17" s="5">
        <v>4.63</v>
      </c>
      <c r="E17" s="5">
        <v>2.98</v>
      </c>
      <c r="F17" s="6">
        <v>2.61</v>
      </c>
    </row>
    <row r="18" spans="1:6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5">
        <v>4.5</v>
      </c>
      <c r="F18" s="6">
        <v>4.5</v>
      </c>
    </row>
    <row r="19" spans="1:6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8">
        <v>4.3600000000000003</v>
      </c>
      <c r="F19" s="9">
        <v>4.3600000000000003</v>
      </c>
    </row>
    <row r="20" spans="1:6" x14ac:dyDescent="0.25">
      <c r="A20" s="10"/>
      <c r="B20" s="10"/>
      <c r="C20" s="10"/>
      <c r="D20" s="10"/>
      <c r="E20" s="10"/>
    </row>
    <row r="21" spans="1:6" x14ac:dyDescent="0.25">
      <c r="A21" s="1" t="s">
        <v>19</v>
      </c>
      <c r="B21" s="2" t="s">
        <v>13</v>
      </c>
      <c r="C21" s="2" t="s">
        <v>14</v>
      </c>
      <c r="D21" s="2" t="s">
        <v>15</v>
      </c>
      <c r="E21" s="2" t="s">
        <v>6</v>
      </c>
      <c r="F21" s="3" t="s">
        <v>7</v>
      </c>
    </row>
    <row r="22" spans="1:6" x14ac:dyDescent="0.25">
      <c r="A22" s="4" t="s">
        <v>0</v>
      </c>
      <c r="B22" s="5">
        <v>2.44</v>
      </c>
      <c r="C22" s="5">
        <v>1.46</v>
      </c>
      <c r="D22" s="5">
        <v>2.88</v>
      </c>
      <c r="E22" s="5"/>
      <c r="F22" s="6"/>
    </row>
    <row r="23" spans="1:6" x14ac:dyDescent="0.25">
      <c r="A23" s="4" t="s">
        <v>3</v>
      </c>
      <c r="B23" s="5">
        <v>3.5</v>
      </c>
      <c r="C23" s="5">
        <v>3.5</v>
      </c>
      <c r="D23" s="5">
        <v>3.5</v>
      </c>
      <c r="E23" s="5"/>
      <c r="F23" s="6"/>
    </row>
    <row r="24" spans="1:6" x14ac:dyDescent="0.25">
      <c r="A24" s="7" t="s">
        <v>4</v>
      </c>
      <c r="B24" s="8"/>
      <c r="C24" s="8"/>
      <c r="D24" s="8"/>
      <c r="E24" s="8"/>
      <c r="F24" s="9"/>
    </row>
    <row r="25" spans="1:6" x14ac:dyDescent="0.25">
      <c r="A25" s="12" t="s">
        <v>20</v>
      </c>
      <c r="B25" s="12"/>
      <c r="C25" s="12"/>
      <c r="D25" s="12"/>
      <c r="E25" s="12"/>
      <c r="F25" s="12"/>
    </row>
    <row r="26" spans="1:6" x14ac:dyDescent="0.25">
      <c r="A26" s="11" t="s">
        <v>21</v>
      </c>
      <c r="B26" s="11"/>
      <c r="C26" s="11"/>
      <c r="D26" s="11"/>
      <c r="E26" s="11"/>
    </row>
  </sheetData>
  <mergeCells count="2">
    <mergeCell ref="A25:F25"/>
    <mergeCell ref="A26:E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Aug21_NoCosensus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2019-06-26T15:25:40Z</dcterms:created>
  <dcterms:modified xsi:type="dcterms:W3CDTF">2019-08-21T21:28:56Z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